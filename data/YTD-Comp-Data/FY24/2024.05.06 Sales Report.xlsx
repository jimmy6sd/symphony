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rker\AppData\Local\Microsoft\Windows\INetCache\Content.Outlook\5790G0ED\"/>
    </mc:Choice>
  </mc:AlternateContent>
  <xr:revisionPtr revIDLastSave="0" documentId="13_ncr:1_{86BB8791-19B0-4D82-91EA-B50E283626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<sst xmlns="http://schemas.openxmlformats.org/spreadsheetml/2006/main" count="164" uniqueCount="140">
  <si>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</si>
  <si>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</si>
  <si>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</si>
  <si>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</si>
  <si>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</si>
  <si>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</si>
  <si>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</si>
  <si>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</si>
  <si>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</si>
  <si>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</si>
  <si>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</si>
  <si>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</si>
  <si>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</si>
  <si>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</si>
  <si>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</si>
  <si>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</si>
  <si>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</si>
  <si>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</si>
  <si>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</si>
  <si>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</si>
  <si>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</si>
  <si>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</si>
  <si>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</si>
  <si>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</si>
  <si>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</si>
  <si>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</si>
  <si>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</si>
  <si>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</si>
  <si>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</si>
  <si>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</si>
  <si>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</si>
  <si>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</si>
  <si>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</si>
  <si>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</si>
  <si>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</si>
  <si>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</si>
  <si>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</si>
  <si>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</si>
  <si>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</si>
  <si>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</si>
  <si>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</si>
  <si>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</si>
  <si>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</si>
  <si>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</si>
  <si>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</si>
  <si>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</si>
  <si>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</si>
  <si>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</si>
  <si>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</si>
  <si>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</si>
  <si>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</si>
  <si>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</si>
  <si>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</si>
  <si>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</si>
  <si>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</si>
  <si>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</si>
  <si>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</si>
  <si>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</si>
  <si>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</si>
  <si>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</si>
  <si>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</si>
  <si>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</si>
  <si>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</si>
  <si>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</si>
  <si>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</si>
  <si>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</si>
  <si>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</si>
  <si>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</si>
  <si>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</si>
  <si>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</si>
  <si>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</si>
  <si>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</si>
  <si>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</si>
  <si>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</si>
  <si>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</si>
  <si>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</si>
  <si>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</si>
  <si>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</si>
  <si>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</si>
  <si>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</si>
  <si>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</si>
  <si>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</si>
  <si>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</si>
  <si>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</si>
  <si>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</si>
  <si>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</si>
  <si>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</si>
  <si>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</si>
  <si>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</si>
  <si>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</si>
  <si>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</si>
  <si>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</si>
  <si>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</si>
  <si>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</si>
  <si>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</si>
  <si>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</si>
  <si>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</si>
  <si>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</si>
  <si>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</si>
  <si>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</si>
  <si>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</si>
  <si>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</si>
  <si>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</si>
  <si>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</si>
  <si>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</si>
  <si>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</si>
  <si>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</si>
  <si>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</si>
  <si>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</si>
  <si>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</si>
  <si>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</si>
  <si>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</si>
  <si>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</si>
  <si>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</si>
  <si>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</si>
  <si>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</si>
  <si>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</si>
  <si>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</si>
  <si>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</si>
  <si>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</si>
  <si>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</si>
  <si>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</si>
  <si>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</si>
  <si>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</si>
  <si>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</si>
  <si>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</si>
  <si>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</si>
  <si>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</si>
  <si>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</si>
  <si>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</si>
  <si>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</si>
  <si>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</si>
  <si>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</si>
  <si>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</si>
  <si>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</si>
  <si>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</si>
  <si>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</si>
  <si>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</si>
  <si>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</si>
  <si>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$96,866; for Pops $39,579; FINAL for Family $76,563; and Other Concerts $193,998.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</si>
</sst>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8" fontId="0" fillId="0" borderId="4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V27" sqref="V27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45418</v>
      </c>
    </row>
    <row r="2" spans="1:21" x14ac:dyDescent="0.2">
      <c r="A2" s="9"/>
      <c r="E2" s="13" t="s">
        <v>27</v>
      </c>
    </row>
    <row r="3" spans="1:21" x14ac:dyDescent="0.2">
      <c r="E3" s="16"/>
      <c r="F3" s="87" t="s">
        <v>115</v>
      </c>
      <c r="G3" s="87"/>
      <c r="H3" s="87"/>
      <c r="I3" s="87"/>
      <c r="J3" s="88" t="s">
        <v>116</v>
      </c>
      <c r="K3" s="88"/>
      <c r="L3" s="88"/>
      <c r="M3" s="89" t="s">
        <v>117</v>
      </c>
      <c r="N3" s="89"/>
      <c r="O3" s="89"/>
      <c r="P3" s="91" t="s">
        <v>124</v>
      </c>
      <c r="Q3" s="91"/>
      <c r="R3" s="91"/>
      <c r="S3" s="90" t="s">
        <v>130</v>
      </c>
      <c r="T3" s="90"/>
      <c r="U3" s="90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1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1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1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1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2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2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1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1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1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1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3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57761</v>
      </c>
      <c r="H17" s="33"/>
      <c r="I17" s="25">
        <v>941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178107</v>
      </c>
      <c r="O17" s="25">
        <f t="shared" si="2"/>
        <v>3031</v>
      </c>
      <c r="P17" s="42">
        <v>4725</v>
      </c>
      <c r="Q17" s="20">
        <f t="shared" si="4"/>
        <v>0.64148148148148143</v>
      </c>
      <c r="R17" s="29">
        <f t="shared" si="3"/>
        <v>58.761794787198944</v>
      </c>
      <c r="S17" s="25">
        <v>109</v>
      </c>
      <c r="T17" s="82">
        <v>1464</v>
      </c>
      <c r="U17" s="25">
        <f t="shared" si="5"/>
        <v>1573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46821</v>
      </c>
      <c r="H18" s="33"/>
      <c r="I18" s="25">
        <v>805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168695</v>
      </c>
      <c r="O18" s="25">
        <f t="shared" si="2"/>
        <v>2953</v>
      </c>
      <c r="P18" s="42">
        <v>4254</v>
      </c>
      <c r="Q18" s="20">
        <f t="shared" si="4"/>
        <v>0.69417019275975556</v>
      </c>
      <c r="R18" s="29">
        <f t="shared" si="3"/>
        <v>57.126650863528617</v>
      </c>
      <c r="S18" s="25">
        <v>97</v>
      </c>
      <c r="T18" s="82">
        <v>1420</v>
      </c>
      <c r="U18" s="25">
        <f t="shared" si="5"/>
        <v>1517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45419</v>
      </c>
      <c r="H19" s="34"/>
      <c r="I19" s="26">
        <v>680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168472</v>
      </c>
      <c r="O19" s="26">
        <f t="shared" si="2"/>
        <v>2809</v>
      </c>
      <c r="P19" s="45">
        <v>4725</v>
      </c>
      <c r="Q19" s="21">
        <f t="shared" si="4"/>
        <v>0.59449735449735452</v>
      </c>
      <c r="R19" s="30">
        <f t="shared" si="3"/>
        <v>59.975792096831611</v>
      </c>
      <c r="S19" s="25">
        <v>30</v>
      </c>
      <c r="T19" s="82">
        <v>1432</v>
      </c>
      <c r="U19" s="25">
        <f t="shared" si="5"/>
        <v>1462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702867</v>
      </c>
      <c r="H20" s="35">
        <v>86867</v>
      </c>
      <c r="I20" s="23">
        <f t="shared" si="6"/>
        <v>14551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2392069</v>
      </c>
      <c r="O20" s="23">
        <f t="shared" ref="O20" si="10">SUM(O6:O19)</f>
        <v>44283</v>
      </c>
      <c r="P20" s="43">
        <f>SUM(P6:P19)</f>
        <v>65208</v>
      </c>
      <c r="Q20" s="28">
        <f>O20/P20</f>
        <v>0.67910379094589624</v>
      </c>
      <c r="R20" s="24">
        <f t="shared" si="3"/>
        <v>54.017772056997039</v>
      </c>
      <c r="S20" s="43">
        <f>SUM(S6:S19)</f>
        <v>2117</v>
      </c>
      <c r="T20" s="43">
        <f>SUM(T6:T19)</f>
        <v>21363</v>
      </c>
      <c r="U20" s="43">
        <f>SUM(U6:U19)</f>
        <v>23480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9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4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4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0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114683</v>
      </c>
      <c r="H27" s="67"/>
      <c r="I27" s="25">
        <v>1652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234860</v>
      </c>
      <c r="O27" s="25">
        <f>I27+L27</f>
        <v>3563</v>
      </c>
      <c r="P27" s="42">
        <v>4254</v>
      </c>
      <c r="Q27" s="21">
        <f t="shared" si="12"/>
        <v>0.83756464503996242</v>
      </c>
      <c r="R27" s="10">
        <f t="shared" si="13"/>
        <v>65.916362615773224</v>
      </c>
      <c r="S27" s="25">
        <v>240</v>
      </c>
      <c r="T27" s="25">
        <v>1354</v>
      </c>
      <c r="U27" s="25">
        <f t="shared" si="14"/>
        <v>1594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749262</v>
      </c>
      <c r="H28" s="39">
        <v>29262</v>
      </c>
      <c r="I28" s="27">
        <f t="shared" si="15"/>
        <v>9601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1343139</v>
      </c>
      <c r="O28" s="27">
        <f t="shared" si="15"/>
        <v>18832</v>
      </c>
      <c r="P28" s="43">
        <f t="shared" si="15"/>
        <v>23082</v>
      </c>
      <c r="Q28" s="28">
        <f>O28/P28</f>
        <v>0.81587384108829386</v>
      </c>
      <c r="R28" s="31">
        <f t="shared" si="13"/>
        <v>71.322164401019535</v>
      </c>
      <c r="S28" s="43">
        <f>SUM(S23:S27)</f>
        <v>1657</v>
      </c>
      <c r="T28" s="43">
        <f t="shared" ref="T28:U28" si="16">SUM(T23:T27)</f>
        <v>6700</v>
      </c>
      <c r="U28" s="43">
        <f t="shared" si="16"/>
        <v>8357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6">
        <v>100000</v>
      </c>
      <c r="G47" s="67">
        <v>103705</v>
      </c>
      <c r="H47" s="67"/>
      <c r="I47" s="68">
        <v>1383</v>
      </c>
      <c r="J47" s="66">
        <v>0</v>
      </c>
      <c r="K47" s="67">
        <v>0</v>
      </c>
      <c r="L47" s="68">
        <v>22</v>
      </c>
      <c r="M47" s="71">
        <f t="shared" si="22"/>
        <v>100000</v>
      </c>
      <c r="N47" s="71">
        <f t="shared" si="23"/>
        <v>103705</v>
      </c>
      <c r="O47" s="68">
        <f t="shared" si="24"/>
        <v>1405</v>
      </c>
      <c r="P47" s="69">
        <v>1575</v>
      </c>
      <c r="Q47" s="20">
        <f t="shared" si="25"/>
        <v>0.89206349206349211</v>
      </c>
      <c r="R47" s="41">
        <f t="shared" si="26"/>
        <v>73.811387900355868</v>
      </c>
      <c r="S47" s="68">
        <v>168</v>
      </c>
      <c r="T47" s="68">
        <v>441</v>
      </c>
      <c r="U47" s="68">
        <f t="shared" si="27"/>
        <v>609</v>
      </c>
    </row>
    <row r="48" spans="1:21" ht="12.75" customHeight="1" x14ac:dyDescent="0.2">
      <c r="A48" s="54" t="s">
        <v>135</v>
      </c>
      <c r="B48" s="63"/>
      <c r="C48" s="63"/>
      <c r="D48" s="85" t="s">
        <v>134</v>
      </c>
      <c r="E48" s="54" t="s">
        <v>138</v>
      </c>
      <c r="F48" s="49">
        <v>150000</v>
      </c>
      <c r="G48" s="50">
        <v>207240</v>
      </c>
      <c r="H48" s="50"/>
      <c r="I48" s="51">
        <v>2434</v>
      </c>
      <c r="J48" s="49"/>
      <c r="K48" s="50"/>
      <c r="L48" s="51"/>
      <c r="M48" s="64"/>
      <c r="N48" s="64">
        <v>207240</v>
      </c>
      <c r="O48" s="51">
        <v>2434</v>
      </c>
      <c r="P48" s="52">
        <v>2468</v>
      </c>
      <c r="Q48" s="65">
        <v>0.99</v>
      </c>
      <c r="R48" s="86">
        <v>85.14</v>
      </c>
      <c r="S48" s="51">
        <v>742</v>
      </c>
      <c r="T48" s="51">
        <v>257</v>
      </c>
      <c r="U48" s="51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363638</v>
      </c>
      <c r="H49" s="33"/>
      <c r="I49" s="25">
        <v>1554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363638</v>
      </c>
      <c r="O49" s="25">
        <f t="shared" si="24"/>
        <v>1554</v>
      </c>
      <c r="P49" s="42">
        <v>1575</v>
      </c>
      <c r="Q49" s="21">
        <f t="shared" si="25"/>
        <v>0.98666666666666669</v>
      </c>
      <c r="R49" s="10">
        <f t="shared" si="26"/>
        <v>234.00128700128701</v>
      </c>
      <c r="S49" s="25">
        <v>58</v>
      </c>
      <c r="T49" s="25">
        <v>690</v>
      </c>
      <c r="U49" s="25">
        <f t="shared" si="27"/>
        <v>748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2790636</v>
      </c>
      <c r="H50" s="39">
        <v>207636</v>
      </c>
      <c r="I50" s="27">
        <f t="shared" si="28"/>
        <v>35170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2801584</v>
      </c>
      <c r="O50" s="27">
        <f t="shared" si="28"/>
        <v>35491</v>
      </c>
      <c r="P50" s="43">
        <f t="shared" si="28"/>
        <v>37961</v>
      </c>
      <c r="Q50" s="28">
        <f>O50/P50</f>
        <v>0.93493322093727771</v>
      </c>
      <c r="R50" s="31">
        <f t="shared" si="26"/>
        <v>78.937871573074858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4756328</v>
      </c>
      <c r="H51" s="39">
        <v>400328</v>
      </c>
      <c r="I51" s="27">
        <f>SUM(I20,I28,I35,I50)</f>
        <v>67812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7095455</v>
      </c>
      <c r="O51" s="27">
        <f>SUM(O20,O28,O35,O50)</f>
        <v>109346</v>
      </c>
      <c r="P51" s="43">
        <f>SUM(P20,P28,P35,P50)</f>
        <v>139217</v>
      </c>
      <c r="Q51" s="28">
        <f>O51/P51</f>
        <v>0.78543568673366038</v>
      </c>
      <c r="R51" s="31">
        <f t="shared" si="26"/>
        <v>64.889936531743274</v>
      </c>
      <c r="S51" s="43">
        <f>SUM(S20,S28,S35,S50)</f>
        <v>9518</v>
      </c>
      <c r="T51" s="43">
        <f t="shared" ref="T51:U51" si="33">SUM(T20,T28,T35,T50)</f>
        <v>37380</v>
      </c>
      <c r="U51" s="43">
        <f t="shared" si="33"/>
        <v>46898</v>
      </c>
    </row>
    <row r="52" spans="1:21" ht="12.75" customHeight="1" x14ac:dyDescent="0.2">
      <c r="A52" s="76"/>
      <c r="B52" s="76"/>
      <c r="C52" s="76"/>
      <c r="D52" s="76"/>
      <c r="E52" s="76"/>
      <c r="F52" s="76"/>
      <c r="G52" s="76"/>
      <c r="T52" s="6"/>
    </row>
    <row r="53" spans="1:21" ht="15.75" x14ac:dyDescent="0.25">
      <c r="A53" s="78" t="s">
        <v>139</v>
      </c>
      <c r="B53" s="76"/>
      <c r="C53" s="76"/>
      <c r="D53" s="76"/>
      <c r="E53" s="76"/>
      <c r="F53" s="76"/>
      <c r="G53" s="76"/>
    </row>
    <row r="54" spans="1:21" x14ac:dyDescent="0.2">
      <c r="A54" s="16"/>
    </row>
    <row r="55" spans="1:21" x14ac:dyDescent="0.2">
      <c r="A55" s="76"/>
      <c r="B55" s="76"/>
      <c r="C55" s="76"/>
      <c r="D55" s="76"/>
      <c r="E55" s="76"/>
      <c r="F55" s="76"/>
      <c r="G55" s="76"/>
    </row>
    <row r="56" spans="1:21" x14ac:dyDescent="0.2">
      <c r="A56" s="77"/>
      <c r="B56" s="76"/>
      <c r="C56" s="76"/>
      <c r="D56" s="76"/>
      <c r="E56" s="76"/>
      <c r="F56" s="76"/>
      <c r="G56" s="7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2024-05-06T15:16:46Z</dcterms:modified>
</cp:coreProperties>
</file>