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beckley/Library/CloudStorage/Dropbox/_KCS/Marketing/Ticket Sales Reports/FY24/"/>
    </mc:Choice>
  </mc:AlternateContent>
  <xr:revisionPtr revIDLastSave="0" documentId="8_{0C8EBB13-478B-694D-8ADF-E33CA8858CDA}" xr6:coauthVersionLast="47" xr6:coauthVersionMax="47" xr10:uidLastSave="{00000000-0000-0000-0000-000000000000}"/>
  <bookViews>
    <workbookView xWindow="0" yWindow="76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7" i="1" l="1"/>
  <c r="F27" i="1"/>
  <c r="G19" i="1"/>
</calcChain>
</file>

<file path=xl/sharedStrings.xml><?xml version="1.0" encoding="utf-8"?>
<sst xmlns="http://schemas.openxmlformats.org/spreadsheetml/2006/main" count="138" uniqueCount="123">
  <si>
    <t>CLASSICAL SERIES</t>
  </si>
  <si>
    <t>POPS SERIES</t>
  </si>
  <si>
    <t>FAMILY SERIES</t>
  </si>
  <si>
    <t>OTHER CONCERTS</t>
  </si>
  <si>
    <t>ACTUAL</t>
  </si>
  <si>
    <t>VARIANCE</t>
  </si>
  <si>
    <t>GRAND TOTAL</t>
  </si>
  <si>
    <t>FAMILY SERIES TOTAL</t>
  </si>
  <si>
    <t>POPS SERIES TOTAL</t>
  </si>
  <si>
    <t>CLASSICAL SERIES TOTAL</t>
  </si>
  <si>
    <t>OTHER CONCERT TOTAL</t>
  </si>
  <si>
    <r>
      <t>Final</t>
    </r>
    <r>
      <rPr>
        <sz val="10"/>
        <rFont val="Arial"/>
        <family val="2"/>
      </rPr>
      <t xml:space="preserve"> </t>
    </r>
    <r>
      <rPr>
        <sz val="10"/>
        <rFont val="Wingdings 3"/>
        <family val="1"/>
        <charset val="2"/>
      </rPr>
      <t>p</t>
    </r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</si>
  <si>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</si>
  <si>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</si>
  <si>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</si>
  <si>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</si>
  <si>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</si>
  <si>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</si>
  <si>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</si>
  <si>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</si>
  <si>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</si>
  <si>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</si>
  <si>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</si>
  <si>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</si>
  <si>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</si>
  <si>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</si>
  <si>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</si>
  <si>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</si>
  <si>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</si>
  <si>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</si>
  <si>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</si>
  <si>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</si>
  <si>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</si>
  <si>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CUMULATIVE</t>
  </si>
  <si>
    <t xml:space="preserve"> VARIANCE</t>
  </si>
  <si>
    <t>BUDGET</t>
  </si>
  <si>
    <t>Everly</t>
  </si>
  <si>
    <t>%CAP</t>
  </si>
  <si>
    <t>AVG/</t>
  </si>
  <si>
    <t>TCKT</t>
  </si>
  <si>
    <t>PAID</t>
  </si>
  <si>
    <t>2023-24 SINGLE TICKET REVENUE</t>
  </si>
  <si>
    <t>Oct. 6-8</t>
  </si>
  <si>
    <t>Oct. 27-29</t>
  </si>
  <si>
    <t>Nov. 17-19</t>
  </si>
  <si>
    <t>Nov. 24-26</t>
  </si>
  <si>
    <t>Strausser</t>
  </si>
  <si>
    <t>Bortolameolli</t>
  </si>
  <si>
    <t>Joyce DiDonato</t>
  </si>
  <si>
    <t>Jan. 12-14</t>
  </si>
  <si>
    <t>Mozart VC No. 5</t>
  </si>
  <si>
    <t>Jan. 26-28</t>
  </si>
  <si>
    <t>Feb. 2-4</t>
  </si>
  <si>
    <t>Mar. 1-3</t>
  </si>
  <si>
    <t>Mar. 22-24</t>
  </si>
  <si>
    <t>Apr. 5-7</t>
  </si>
  <si>
    <t>Apr. 19-21</t>
  </si>
  <si>
    <t>Joshua Bell</t>
  </si>
  <si>
    <t>May 31-June 2</t>
  </si>
  <si>
    <t>Mahler's Resurrection</t>
  </si>
  <si>
    <t>Jun. 14-16</t>
  </si>
  <si>
    <t>Jun. 21-23</t>
  </si>
  <si>
    <t>Mendelssohn/Barber/Sibelius</t>
  </si>
  <si>
    <t>Audra McDonald</t>
  </si>
  <si>
    <t>Sept. 15-17</t>
  </si>
  <si>
    <t>Einhorn</t>
  </si>
  <si>
    <t>Bond &amp; Beyond</t>
  </si>
  <si>
    <t>Oct. 13-15</t>
  </si>
  <si>
    <t>Jan. 19-21</t>
  </si>
  <si>
    <t>Symphonic Genesis &amp; Phil Collins</t>
  </si>
  <si>
    <t>Feb. 23-25</t>
  </si>
  <si>
    <t>Chafetz</t>
  </si>
  <si>
    <t>Sci-Fi Spectacular</t>
  </si>
  <si>
    <t>May 17-19</t>
  </si>
  <si>
    <t>Heros and Villains</t>
  </si>
  <si>
    <t>Nov. 5</t>
  </si>
  <si>
    <t xml:space="preserve">Dec. 14-17 </t>
  </si>
  <si>
    <t>Legend of the Northern Lights</t>
  </si>
  <si>
    <t>Feb. 11</t>
  </si>
  <si>
    <t>Around the World in 80 Days</t>
  </si>
  <si>
    <t>Mar. 10</t>
  </si>
  <si>
    <t>Dec. 1-3</t>
  </si>
  <si>
    <t>Kalb</t>
  </si>
  <si>
    <t>Film: Muppet Christmas Carol</t>
  </si>
  <si>
    <t>Dec. 8-9</t>
  </si>
  <si>
    <t>Film: Nightmare Before Christmas</t>
  </si>
  <si>
    <t>Dec. 21-23</t>
  </si>
  <si>
    <t>Sept. 6-8, 10</t>
  </si>
  <si>
    <t>Music of Led Zeppelin</t>
  </si>
  <si>
    <t>Sept. 22</t>
  </si>
  <si>
    <t>Havens</t>
  </si>
  <si>
    <t>Tower of Power</t>
  </si>
  <si>
    <t>Sept. 30</t>
  </si>
  <si>
    <t>Phantom of the Opera</t>
  </si>
  <si>
    <t>Oct. 25</t>
  </si>
  <si>
    <t>None</t>
  </si>
  <si>
    <t>Film: Goonies in Concert</t>
  </si>
  <si>
    <t>Feb. 8-10</t>
  </si>
  <si>
    <t>Cathie Ryan</t>
  </si>
  <si>
    <t>Mar. 16</t>
  </si>
  <si>
    <t>Film: Harry Potter 7 Deathly Hallows        Sept. 6-8, 10</t>
  </si>
  <si>
    <t>Film: Harry Potter 8 Deathly Hallows   Sept. 6-8, 10</t>
  </si>
  <si>
    <t>Apr. 11-14</t>
  </si>
  <si>
    <t>Yo-Yo Ma</t>
  </si>
  <si>
    <t>Jun. 6</t>
  </si>
  <si>
    <t>Cirque Carmen</t>
  </si>
  <si>
    <t>Pamela Frank/Beethoven VC</t>
  </si>
  <si>
    <t>Joyce Yang/Tchaikovsky PC 1</t>
  </si>
  <si>
    <t>The Music of Tina Turner</t>
  </si>
  <si>
    <t>Apr. 25</t>
  </si>
  <si>
    <t>Abdullah</t>
  </si>
  <si>
    <t>Hotoda</t>
  </si>
  <si>
    <t>Matthias Pintscher/Quint</t>
  </si>
  <si>
    <t>Pintscher</t>
  </si>
  <si>
    <t>Bolero/Xavier Foley</t>
  </si>
  <si>
    <t>Kahane/Beethoven PC4</t>
  </si>
  <si>
    <t>Seber</t>
  </si>
  <si>
    <t>Freer</t>
  </si>
  <si>
    <t>The Music is Calling</t>
  </si>
  <si>
    <t>Explore Your Imagination</t>
  </si>
  <si>
    <t>Music Illuminates the Soul</t>
  </si>
  <si>
    <t>You Belong</t>
  </si>
  <si>
    <t>Revised: 7/31/23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</si>
</sst>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Wingdings 3"/>
      <family val="1"/>
      <charset val="2"/>
    </font>
    <font>
      <b/>
      <sz val="8"/>
      <name val="Arial"/>
      <family val="2"/>
    </font>
    <font>
      <b/>
      <sz val="12"/>
      <name val="Arial"/>
      <family val="2"/>
    </font>
    <font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 shrinkToFit="1" readingOrder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5" fillId="0" borderId="0" xfId="1" applyFont="1"/>
    <xf numFmtId="44" fontId="0" fillId="0" borderId="0" xfId="1" applyFont="1"/>
    <xf numFmtId="44" fontId="0" fillId="0" borderId="0" xfId="1" applyFont="1" applyFill="1" applyBorder="1"/>
    <xf numFmtId="44" fontId="5" fillId="0" borderId="0" xfId="1" applyFont="1" applyBorder="1"/>
    <xf numFmtId="44" fontId="0" fillId="0" borderId="0" xfId="1" applyFont="1" applyBorder="1"/>
    <xf numFmtId="44" fontId="2" fillId="2" borderId="2" xfId="1" applyFont="1" applyFill="1" applyBorder="1"/>
    <xf numFmtId="44" fontId="0" fillId="2" borderId="2" xfId="1" applyFont="1" applyFill="1" applyBorder="1"/>
    <xf numFmtId="16" fontId="0" fillId="0" borderId="0" xfId="0" applyNumberFormat="1"/>
    <xf numFmtId="0" fontId="8" fillId="0" borderId="0" xfId="0" applyFont="1"/>
    <xf numFmtId="0" fontId="5" fillId="0" borderId="0" xfId="0" applyFont="1"/>
    <xf numFmtId="0" fontId="9" fillId="0" borderId="0" xfId="0" applyFont="1"/>
    <xf numFmtId="8" fontId="0" fillId="2" borderId="2" xfId="0" applyNumberFormat="1" applyFill="1" applyBorder="1"/>
    <xf numFmtId="0" fontId="0" fillId="0" borderId="4" xfId="0" applyBorder="1"/>
    <xf numFmtId="3" fontId="2" fillId="3" borderId="4" xfId="0" applyNumberFormat="1" applyFont="1" applyFill="1" applyBorder="1"/>
    <xf numFmtId="3" fontId="2" fillId="3" borderId="2" xfId="0" applyNumberFormat="1" applyFont="1" applyFill="1" applyBorder="1"/>
    <xf numFmtId="9" fontId="5" fillId="2" borderId="3" xfId="0" applyNumberFormat="1" applyFont="1" applyFill="1" applyBorder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44" fontId="10" fillId="0" borderId="0" xfId="1" applyFont="1" applyBorder="1"/>
    <xf numFmtId="0" fontId="10" fillId="0" borderId="0" xfId="0" applyFont="1"/>
    <xf numFmtId="6" fontId="0" fillId="0" borderId="0" xfId="0" applyNumberFormat="1" applyAlignment="1">
      <alignment horizontal="center"/>
    </xf>
    <xf numFmtId="6" fontId="2" fillId="3" borderId="2" xfId="0" applyNumberFormat="1" applyFont="1" applyFill="1" applyBorder="1" applyAlignment="1">
      <alignment horizontal="center"/>
    </xf>
    <xf numFmtId="6" fontId="0" fillId="0" borderId="0" xfId="0" applyNumberFormat="1" applyAlignment="1">
      <alignment horizontal="right"/>
    </xf>
    <xf numFmtId="6" fontId="2" fillId="3" borderId="2" xfId="0" applyNumberFormat="1" applyFont="1" applyFill="1" applyBorder="1" applyAlignment="1">
      <alignment horizontal="right"/>
    </xf>
    <xf numFmtId="6" fontId="0" fillId="0" borderId="4" xfId="0" applyNumberFormat="1" applyBorder="1" applyAlignment="1">
      <alignment horizontal="center"/>
    </xf>
    <xf numFmtId="6" fontId="0" fillId="0" borderId="0" xfId="0" applyNumberFormat="1"/>
    <xf numFmtId="6" fontId="0" fillId="0" borderId="4" xfId="0" applyNumberFormat="1" applyBorder="1"/>
    <xf numFmtId="6" fontId="2" fillId="3" borderId="2" xfId="0" applyNumberFormat="1" applyFont="1" applyFill="1" applyBorder="1"/>
    <xf numFmtId="6" fontId="2" fillId="3" borderId="0" xfId="0" applyNumberFormat="1" applyFont="1" applyFill="1"/>
    <xf numFmtId="8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4" xfId="0" applyNumberFormat="1" applyBorder="1" applyAlignment="1">
      <alignment horizontal="center"/>
    </xf>
    <xf numFmtId="8" fontId="0" fillId="0" borderId="4" xfId="0" applyNumberFormat="1" applyBorder="1" applyAlignment="1">
      <alignment horizontal="center"/>
    </xf>
    <xf numFmtId="49" fontId="1" fillId="0" borderId="0" xfId="0" applyNumberFormat="1" applyFont="1"/>
    <xf numFmtId="6" fontId="0" fillId="0" borderId="4" xfId="0" applyNumberFormat="1" applyBorder="1" applyAlignment="1">
      <alignment horizontal="right"/>
    </xf>
    <xf numFmtId="6" fontId="2" fillId="3" borderId="4" xfId="0" applyNumberFormat="1" applyFont="1" applyFill="1" applyBorder="1" applyAlignment="1">
      <alignment horizontal="right"/>
    </xf>
    <xf numFmtId="6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6" fontId="0" fillId="0" borderId="0" xfId="1" applyNumberFormat="1" applyFont="1" applyBorder="1"/>
    <xf numFmtId="8" fontId="0" fillId="0" borderId="0" xfId="1" applyNumberFormat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"/>
  <sheetViews>
    <sheetView showGridLines="0" tabSelected="1" workbookViewId="0">
      <selection activeCell="V45" sqref="V45"/>
    </sheetView>
  </sheetViews>
  <sheetFormatPr baseColWidth="10" defaultColWidth="8.83203125" defaultRowHeight="13" x14ac:dyDescent="0.15"/>
  <cols>
    <col min="1" max="1" width="5.5" customWidth="1"/>
    <col min="3" max="3" width="17.1640625" customWidth="1"/>
    <col min="4" max="4" width="14.33203125" customWidth="1"/>
    <col min="5" max="5" width="12.83203125" customWidth="1"/>
    <col min="6" max="6" width="12.6640625" customWidth="1"/>
    <col min="7" max="7" width="11" customWidth="1"/>
    <col min="8" max="8" width="7.5" customWidth="1"/>
    <col min="9" max="9" width="2.33203125" customWidth="1"/>
    <col min="10" max="10" width="8.5" customWidth="1"/>
    <col min="11" max="11" width="1.1640625" customWidth="1"/>
    <col min="12" max="12" width="9.33203125" customWidth="1"/>
    <col min="13" max="13" width="11.6640625" customWidth="1"/>
    <col min="14" max="14" width="1.33203125" hidden="1" customWidth="1"/>
    <col min="15" max="15" width="12.6640625" customWidth="1"/>
    <col min="16" max="16" width="1.5" customWidth="1"/>
    <col min="17" max="17" width="7.33203125" customWidth="1"/>
    <col min="19" max="19" width="12.33203125" bestFit="1" customWidth="1"/>
  </cols>
  <sheetData>
    <row r="1" spans="1:17" ht="16" x14ac:dyDescent="0.2">
      <c r="A1" s="20"/>
      <c r="B1" s="11"/>
      <c r="C1" s="11"/>
      <c r="E1" s="22" t="s">
        <v>41</v>
      </c>
      <c r="F1" s="22"/>
      <c r="G1" s="22"/>
      <c r="O1" s="28" t="s">
        <v>122</v>
      </c>
    </row>
    <row r="2" spans="1:17" x14ac:dyDescent="0.15">
      <c r="A2" s="11"/>
      <c r="E2" s="21" t="s">
        <v>29</v>
      </c>
    </row>
    <row r="3" spans="1:17" x14ac:dyDescent="0.15">
      <c r="E3" s="29"/>
      <c r="J3" s="44" t="s">
        <v>40</v>
      </c>
      <c r="L3" s="44" t="s">
        <v>38</v>
      </c>
      <c r="O3" s="11" t="s">
        <v>33</v>
      </c>
    </row>
    <row r="4" spans="1:17" ht="12.75" customHeight="1" x14ac:dyDescent="0.15">
      <c r="A4" s="1" t="s">
        <v>0</v>
      </c>
      <c r="D4" s="2" t="s">
        <v>25</v>
      </c>
      <c r="E4" s="2" t="s">
        <v>26</v>
      </c>
      <c r="F4" s="9" t="s">
        <v>35</v>
      </c>
      <c r="G4" s="10" t="s">
        <v>4</v>
      </c>
      <c r="H4" s="1" t="s">
        <v>32</v>
      </c>
      <c r="I4" s="1"/>
      <c r="J4" s="10" t="s">
        <v>37</v>
      </c>
      <c r="K4" s="1"/>
      <c r="L4" s="10" t="s">
        <v>39</v>
      </c>
      <c r="M4" s="10" t="s">
        <v>5</v>
      </c>
      <c r="O4" s="8" t="s">
        <v>34</v>
      </c>
    </row>
    <row r="5" spans="1:17" x14ac:dyDescent="0.15">
      <c r="A5" t="s">
        <v>12</v>
      </c>
      <c r="B5" t="s">
        <v>118</v>
      </c>
      <c r="D5" t="s">
        <v>42</v>
      </c>
      <c r="E5" t="s">
        <v>27</v>
      </c>
      <c r="F5" s="34">
        <v>38000</v>
      </c>
      <c r="G5" s="36">
        <v>6135</v>
      </c>
      <c r="H5">
        <v>124</v>
      </c>
      <c r="J5" s="45"/>
      <c r="L5" s="43"/>
      <c r="M5" s="36"/>
      <c r="N5" s="16"/>
      <c r="O5" s="39"/>
      <c r="Q5" s="7" t="s">
        <v>11</v>
      </c>
    </row>
    <row r="6" spans="1:17" x14ac:dyDescent="0.15">
      <c r="A6" t="s">
        <v>13</v>
      </c>
      <c r="B6" t="s">
        <v>119</v>
      </c>
      <c r="D6" t="s">
        <v>43</v>
      </c>
      <c r="E6" t="s">
        <v>27</v>
      </c>
      <c r="F6" s="34">
        <v>38000</v>
      </c>
      <c r="G6" s="36">
        <v>1643</v>
      </c>
      <c r="H6">
        <v>42</v>
      </c>
      <c r="J6" s="45"/>
      <c r="L6" s="43"/>
      <c r="M6" s="36"/>
      <c r="N6" s="16"/>
      <c r="O6" s="39"/>
      <c r="Q6" s="7"/>
    </row>
    <row r="7" spans="1:17" x14ac:dyDescent="0.15">
      <c r="A7" t="s">
        <v>14</v>
      </c>
      <c r="B7" t="s">
        <v>120</v>
      </c>
      <c r="D7" t="s">
        <v>44</v>
      </c>
      <c r="E7" t="s">
        <v>46</v>
      </c>
      <c r="F7" s="34">
        <v>35000</v>
      </c>
      <c r="G7" s="36">
        <v>2101</v>
      </c>
      <c r="H7">
        <v>50</v>
      </c>
      <c r="J7" s="45"/>
      <c r="L7" s="43"/>
      <c r="M7" s="36"/>
      <c r="N7" s="16"/>
      <c r="O7" s="39"/>
      <c r="Q7" s="7"/>
    </row>
    <row r="8" spans="1:17" x14ac:dyDescent="0.15">
      <c r="A8" t="s">
        <v>15</v>
      </c>
      <c r="B8" t="s">
        <v>121</v>
      </c>
      <c r="D8" s="29" t="s">
        <v>45</v>
      </c>
      <c r="E8" t="s">
        <v>47</v>
      </c>
      <c r="F8" s="34">
        <v>50000</v>
      </c>
      <c r="G8" s="36">
        <v>3296</v>
      </c>
      <c r="H8">
        <v>67</v>
      </c>
      <c r="J8" s="45"/>
      <c r="L8" s="43"/>
      <c r="M8" s="36"/>
      <c r="N8" s="16"/>
      <c r="O8" s="39"/>
      <c r="Q8" s="7"/>
    </row>
    <row r="9" spans="1:17" x14ac:dyDescent="0.15">
      <c r="A9" t="s">
        <v>16</v>
      </c>
      <c r="B9" t="s">
        <v>48</v>
      </c>
      <c r="D9" t="s">
        <v>49</v>
      </c>
      <c r="E9" t="s">
        <v>27</v>
      </c>
      <c r="F9" s="34">
        <v>55000</v>
      </c>
      <c r="G9" s="36">
        <v>7054</v>
      </c>
      <c r="H9">
        <v>121</v>
      </c>
      <c r="J9" s="45"/>
      <c r="L9" s="43"/>
      <c r="M9" s="36"/>
      <c r="N9" s="16"/>
      <c r="O9" s="39"/>
      <c r="Q9" s="7"/>
    </row>
    <row r="10" spans="1:17" x14ac:dyDescent="0.15">
      <c r="A10" t="s">
        <v>17</v>
      </c>
      <c r="B10" t="s">
        <v>50</v>
      </c>
      <c r="D10" t="s">
        <v>51</v>
      </c>
      <c r="E10" t="s">
        <v>110</v>
      </c>
      <c r="F10" s="34">
        <v>40000</v>
      </c>
      <c r="G10" s="36">
        <v>869</v>
      </c>
      <c r="H10">
        <v>28</v>
      </c>
      <c r="J10" s="45"/>
      <c r="L10" s="43"/>
      <c r="M10" s="36"/>
      <c r="N10" s="16"/>
      <c r="O10" s="39"/>
      <c r="Q10" s="7"/>
    </row>
    <row r="11" spans="1:17" x14ac:dyDescent="0.15">
      <c r="A11" t="s">
        <v>18</v>
      </c>
      <c r="B11" t="s">
        <v>106</v>
      </c>
      <c r="D11" t="s">
        <v>52</v>
      </c>
      <c r="E11" s="29" t="s">
        <v>27</v>
      </c>
      <c r="F11" s="34">
        <v>40000</v>
      </c>
      <c r="G11" s="36">
        <v>1340</v>
      </c>
      <c r="H11">
        <v>31</v>
      </c>
      <c r="J11" s="45"/>
      <c r="L11" s="43"/>
      <c r="M11" s="36"/>
      <c r="N11" s="16"/>
      <c r="O11" s="39"/>
      <c r="Q11" s="7"/>
    </row>
    <row r="12" spans="1:17" x14ac:dyDescent="0.15">
      <c r="A12" t="s">
        <v>19</v>
      </c>
      <c r="B12" t="s">
        <v>107</v>
      </c>
      <c r="D12" s="29" t="s">
        <v>53</v>
      </c>
      <c r="E12" s="29" t="s">
        <v>111</v>
      </c>
      <c r="F12" s="34">
        <v>40000</v>
      </c>
      <c r="G12" s="36">
        <v>1392</v>
      </c>
      <c r="H12">
        <v>54</v>
      </c>
      <c r="J12" s="45"/>
      <c r="L12" s="43"/>
      <c r="M12" s="36"/>
      <c r="N12" s="14"/>
      <c r="O12" s="39"/>
      <c r="Q12" s="7"/>
    </row>
    <row r="13" spans="1:17" x14ac:dyDescent="0.15">
      <c r="A13" t="s">
        <v>20</v>
      </c>
      <c r="B13" t="s">
        <v>112</v>
      </c>
      <c r="D13" s="29" t="s">
        <v>54</v>
      </c>
      <c r="E13" t="s">
        <v>113</v>
      </c>
      <c r="F13" s="34">
        <v>40000</v>
      </c>
      <c r="G13" s="36">
        <v>1639</v>
      </c>
      <c r="H13">
        <v>48</v>
      </c>
      <c r="J13" s="45"/>
      <c r="L13" s="43"/>
      <c r="M13" s="36"/>
      <c r="N13" s="16"/>
      <c r="O13" s="39"/>
      <c r="Q13" s="7"/>
    </row>
    <row r="14" spans="1:17" x14ac:dyDescent="0.15">
      <c r="A14" t="s">
        <v>21</v>
      </c>
      <c r="B14" s="29" t="s">
        <v>114</v>
      </c>
      <c r="D14" s="29" t="s">
        <v>55</v>
      </c>
      <c r="E14" s="29" t="s">
        <v>27</v>
      </c>
      <c r="F14" s="34">
        <v>35000</v>
      </c>
      <c r="G14" s="36">
        <v>1562</v>
      </c>
      <c r="H14">
        <v>40</v>
      </c>
      <c r="J14" s="45"/>
      <c r="L14" s="43"/>
      <c r="M14" s="36"/>
      <c r="N14" s="16"/>
      <c r="O14" s="39"/>
      <c r="Q14" s="7"/>
    </row>
    <row r="15" spans="1:17" x14ac:dyDescent="0.15">
      <c r="A15" t="s">
        <v>22</v>
      </c>
      <c r="B15" s="29" t="s">
        <v>115</v>
      </c>
      <c r="D15" s="29" t="s">
        <v>56</v>
      </c>
      <c r="E15" s="29" t="s">
        <v>27</v>
      </c>
      <c r="F15" s="34">
        <v>45000</v>
      </c>
      <c r="G15" s="36">
        <v>1686</v>
      </c>
      <c r="H15">
        <v>44</v>
      </c>
      <c r="J15" s="45"/>
      <c r="L15" s="43"/>
      <c r="M15" s="36"/>
      <c r="N15" s="16"/>
      <c r="O15" s="39"/>
      <c r="Q15" s="7"/>
    </row>
    <row r="16" spans="1:17" x14ac:dyDescent="0.15">
      <c r="A16" s="21" t="s">
        <v>23</v>
      </c>
      <c r="B16" s="29" t="s">
        <v>57</v>
      </c>
      <c r="C16" s="21"/>
      <c r="D16" s="29" t="s">
        <v>58</v>
      </c>
      <c r="E16" s="29" t="s">
        <v>27</v>
      </c>
      <c r="F16" s="34">
        <v>55000</v>
      </c>
      <c r="G16" s="36">
        <v>8018</v>
      </c>
      <c r="H16">
        <v>144</v>
      </c>
      <c r="J16" s="45"/>
      <c r="L16" s="43"/>
      <c r="M16" s="36"/>
      <c r="N16" s="15"/>
      <c r="O16" s="39"/>
      <c r="Q16" s="7"/>
    </row>
    <row r="17" spans="1:17" x14ac:dyDescent="0.15">
      <c r="A17" t="s">
        <v>24</v>
      </c>
      <c r="B17" s="29" t="s">
        <v>59</v>
      </c>
      <c r="D17" s="29" t="s">
        <v>60</v>
      </c>
      <c r="E17" t="s">
        <v>27</v>
      </c>
      <c r="F17" s="34">
        <v>38000</v>
      </c>
      <c r="G17" s="36">
        <v>2694</v>
      </c>
      <c r="H17">
        <v>71</v>
      </c>
      <c r="J17" s="45"/>
      <c r="L17" s="43"/>
      <c r="M17" s="36"/>
      <c r="N17" s="16"/>
      <c r="O17" s="39"/>
      <c r="Q17" s="7"/>
    </row>
    <row r="18" spans="1:17" ht="14" thickBot="1" x14ac:dyDescent="0.2">
      <c r="A18" s="21" t="s">
        <v>28</v>
      </c>
      <c r="B18" s="29" t="s">
        <v>62</v>
      </c>
      <c r="D18" s="29" t="s">
        <v>61</v>
      </c>
      <c r="E18" s="29" t="s">
        <v>27</v>
      </c>
      <c r="F18" s="34">
        <v>67000</v>
      </c>
      <c r="G18" s="49">
        <v>6132</v>
      </c>
      <c r="H18" s="24">
        <v>120</v>
      </c>
      <c r="I18" s="24"/>
      <c r="J18" s="46"/>
      <c r="K18" s="24"/>
      <c r="L18" s="47"/>
      <c r="M18" s="40"/>
      <c r="O18" s="39"/>
      <c r="Q18" s="7"/>
    </row>
    <row r="19" spans="1:17" ht="14" thickBot="1" x14ac:dyDescent="0.2">
      <c r="A19" s="3" t="s">
        <v>9</v>
      </c>
      <c r="B19" s="5"/>
      <c r="C19" s="5"/>
      <c r="D19" s="5"/>
      <c r="E19" s="5"/>
      <c r="F19" s="35">
        <v>616000</v>
      </c>
      <c r="G19" s="37">
        <f>SUM(G5:G18)</f>
        <v>45561</v>
      </c>
      <c r="H19" s="25">
        <v>984</v>
      </c>
      <c r="I19" s="25"/>
      <c r="J19" s="25"/>
      <c r="K19" s="25"/>
      <c r="L19" s="25"/>
      <c r="M19" s="41"/>
      <c r="N19" s="18"/>
      <c r="O19" s="37"/>
      <c r="P19" s="5"/>
      <c r="Q19" s="6"/>
    </row>
    <row r="20" spans="1:17" ht="0.75" customHeight="1" x14ac:dyDescent="0.15">
      <c r="F20" s="12"/>
      <c r="G20" s="14"/>
      <c r="H20" s="13"/>
      <c r="I20" s="13"/>
      <c r="J20" s="13"/>
      <c r="K20" s="13"/>
      <c r="L20" s="13"/>
      <c r="M20" s="13"/>
      <c r="N20" s="13"/>
      <c r="O20" s="13"/>
    </row>
    <row r="21" spans="1:17" x14ac:dyDescent="0.15">
      <c r="A21" s="1" t="s">
        <v>1</v>
      </c>
      <c r="F21" s="12"/>
      <c r="G21" s="14"/>
      <c r="H21" s="13"/>
      <c r="I21" s="13"/>
      <c r="J21" s="13"/>
      <c r="K21" s="13"/>
      <c r="L21" s="13"/>
      <c r="M21" s="13"/>
      <c r="N21" s="13"/>
      <c r="O21" s="13"/>
    </row>
    <row r="22" spans="1:17" x14ac:dyDescent="0.15">
      <c r="A22" s="29" t="s">
        <v>63</v>
      </c>
      <c r="B22" s="21"/>
      <c r="C22" s="21"/>
      <c r="D22" s="30" t="s">
        <v>64</v>
      </c>
      <c r="E22" s="29" t="s">
        <v>65</v>
      </c>
      <c r="F22" s="34">
        <v>220000</v>
      </c>
      <c r="G22" s="36">
        <v>66042</v>
      </c>
      <c r="H22">
        <v>486</v>
      </c>
      <c r="J22" s="45"/>
      <c r="L22" s="43"/>
      <c r="M22" s="39"/>
      <c r="N22" s="15"/>
      <c r="O22" s="39"/>
      <c r="P22" s="21"/>
      <c r="Q22" s="7" t="s">
        <v>11</v>
      </c>
    </row>
    <row r="23" spans="1:17" x14ac:dyDescent="0.15">
      <c r="A23" s="29" t="s">
        <v>66</v>
      </c>
      <c r="D23" s="29" t="s">
        <v>67</v>
      </c>
      <c r="F23" s="34">
        <v>125000</v>
      </c>
      <c r="G23" s="36">
        <v>22111</v>
      </c>
      <c r="H23">
        <v>331</v>
      </c>
      <c r="J23" s="45"/>
      <c r="L23" s="43"/>
      <c r="M23" s="39"/>
      <c r="N23" s="16"/>
      <c r="O23" s="39"/>
      <c r="Q23" s="7"/>
    </row>
    <row r="24" spans="1:17" x14ac:dyDescent="0.15">
      <c r="A24" s="29" t="s">
        <v>105</v>
      </c>
      <c r="D24" s="29" t="s">
        <v>68</v>
      </c>
      <c r="E24" t="s">
        <v>36</v>
      </c>
      <c r="F24" s="34">
        <v>125000</v>
      </c>
      <c r="G24" s="36">
        <v>7046</v>
      </c>
      <c r="H24">
        <v>93</v>
      </c>
      <c r="J24" s="45"/>
      <c r="L24" s="43"/>
      <c r="M24" s="39"/>
      <c r="N24" s="16"/>
      <c r="O24" s="39"/>
      <c r="Q24" s="7"/>
    </row>
    <row r="25" spans="1:17" x14ac:dyDescent="0.15">
      <c r="A25" s="29" t="s">
        <v>69</v>
      </c>
      <c r="D25" s="30" t="s">
        <v>70</v>
      </c>
      <c r="E25" t="s">
        <v>71</v>
      </c>
      <c r="F25" s="34">
        <v>125000</v>
      </c>
      <c r="G25" s="36">
        <v>10125</v>
      </c>
      <c r="H25">
        <v>137</v>
      </c>
      <c r="J25" s="45"/>
      <c r="L25" s="43"/>
      <c r="M25" s="39"/>
      <c r="N25" s="16"/>
      <c r="O25" s="39"/>
      <c r="Q25" s="7"/>
    </row>
    <row r="26" spans="1:17" ht="14" thickBot="1" x14ac:dyDescent="0.2">
      <c r="A26" s="29" t="s">
        <v>72</v>
      </c>
      <c r="D26" s="19" t="s">
        <v>73</v>
      </c>
      <c r="E26" t="s">
        <v>36</v>
      </c>
      <c r="F26" s="38">
        <v>125000</v>
      </c>
      <c r="G26" s="49">
        <v>3448</v>
      </c>
      <c r="H26">
        <v>54</v>
      </c>
      <c r="J26" s="45"/>
      <c r="L26" s="43"/>
      <c r="M26" s="40"/>
      <c r="N26" s="16"/>
      <c r="O26" s="39"/>
      <c r="Q26" s="7"/>
    </row>
    <row r="27" spans="1:17" ht="14" thickBot="1" x14ac:dyDescent="0.2">
      <c r="A27" s="3" t="s">
        <v>8</v>
      </c>
      <c r="B27" s="5"/>
      <c r="C27" s="5"/>
      <c r="D27" s="5"/>
      <c r="E27" s="5"/>
      <c r="F27" s="35">
        <f>SUM(F22:F26)</f>
        <v>720000</v>
      </c>
      <c r="G27" s="37">
        <f>SUM(G22:G26)</f>
        <v>108772</v>
      </c>
      <c r="H27" s="26">
        <v>1101</v>
      </c>
      <c r="I27" s="26"/>
      <c r="J27" s="26"/>
      <c r="K27" s="26"/>
      <c r="L27" s="26"/>
      <c r="M27" s="41"/>
      <c r="N27" s="18"/>
      <c r="O27" s="41"/>
      <c r="P27" s="5"/>
      <c r="Q27" s="6"/>
    </row>
    <row r="28" spans="1:17" ht="0.75" customHeight="1" x14ac:dyDescent="0.15">
      <c r="F28" s="12"/>
      <c r="G28" s="14"/>
      <c r="H28" s="13"/>
      <c r="I28" s="13"/>
      <c r="J28" s="13"/>
      <c r="K28" s="13"/>
      <c r="L28" s="13"/>
      <c r="M28" s="13"/>
      <c r="N28" s="13"/>
      <c r="O28" s="13"/>
    </row>
    <row r="29" spans="1:17" x14ac:dyDescent="0.15">
      <c r="A29" s="1" t="s">
        <v>2</v>
      </c>
      <c r="F29" s="12"/>
      <c r="G29" s="14"/>
      <c r="H29" s="13"/>
      <c r="I29" s="13"/>
      <c r="J29" s="13"/>
      <c r="K29" s="13"/>
      <c r="L29" s="13"/>
      <c r="M29" s="13"/>
      <c r="N29" s="13"/>
      <c r="O29" s="13"/>
    </row>
    <row r="30" spans="1:17" x14ac:dyDescent="0.15">
      <c r="A30" s="29" t="s">
        <v>74</v>
      </c>
      <c r="B30" s="29"/>
      <c r="C30" s="29"/>
      <c r="D30" s="29" t="s">
        <v>75</v>
      </c>
      <c r="E30" s="29"/>
      <c r="F30" s="34">
        <v>9000</v>
      </c>
      <c r="G30" s="51">
        <v>1664</v>
      </c>
      <c r="H30">
        <v>51</v>
      </c>
      <c r="I30" s="16"/>
      <c r="J30" s="52"/>
      <c r="K30" s="16"/>
      <c r="L30" s="54"/>
      <c r="M30" s="53"/>
      <c r="N30" s="16"/>
      <c r="O30" s="53"/>
      <c r="Q30" s="7" t="s">
        <v>11</v>
      </c>
    </row>
    <row r="31" spans="1:17" x14ac:dyDescent="0.15">
      <c r="A31" t="s">
        <v>31</v>
      </c>
      <c r="D31" s="30" t="s">
        <v>76</v>
      </c>
      <c r="E31" s="29"/>
      <c r="F31" s="34">
        <v>410000</v>
      </c>
      <c r="G31" s="36">
        <v>50569</v>
      </c>
      <c r="H31">
        <v>773</v>
      </c>
      <c r="J31" s="45"/>
      <c r="L31" s="43"/>
      <c r="M31" s="39"/>
      <c r="N31" s="16"/>
      <c r="O31" s="39"/>
      <c r="Q31" s="7"/>
    </row>
    <row r="32" spans="1:17" x14ac:dyDescent="0.15">
      <c r="A32" s="29" t="s">
        <v>77</v>
      </c>
      <c r="D32" s="48" t="s">
        <v>78</v>
      </c>
      <c r="E32" s="29"/>
      <c r="F32" s="34">
        <v>9000</v>
      </c>
      <c r="G32" s="36">
        <v>2733</v>
      </c>
      <c r="H32">
        <v>66</v>
      </c>
      <c r="J32" s="45"/>
      <c r="L32" s="43"/>
      <c r="M32" s="39"/>
      <c r="N32" s="16"/>
      <c r="O32" s="39"/>
      <c r="Q32" s="7"/>
    </row>
    <row r="33" spans="1:17" ht="14" thickBot="1" x14ac:dyDescent="0.2">
      <c r="A33" s="29" t="s">
        <v>79</v>
      </c>
      <c r="D33" s="48" t="s">
        <v>80</v>
      </c>
      <c r="F33" s="34">
        <v>9000</v>
      </c>
      <c r="G33" s="36">
        <v>388</v>
      </c>
      <c r="H33">
        <v>14</v>
      </c>
      <c r="J33" s="45"/>
      <c r="L33" s="43"/>
      <c r="M33" s="39"/>
      <c r="N33" s="16"/>
      <c r="O33" s="39"/>
      <c r="Q33" s="7"/>
    </row>
    <row r="34" spans="1:17" ht="14" thickBot="1" x14ac:dyDescent="0.2">
      <c r="A34" s="3" t="s">
        <v>7</v>
      </c>
      <c r="B34" s="5"/>
      <c r="C34" s="5"/>
      <c r="D34" s="5"/>
      <c r="E34" s="5"/>
      <c r="F34" s="35">
        <v>437000</v>
      </c>
      <c r="G34" s="37">
        <v>55354</v>
      </c>
      <c r="H34" s="26">
        <v>904</v>
      </c>
      <c r="I34" s="26"/>
      <c r="J34" s="26"/>
      <c r="K34" s="26"/>
      <c r="L34" s="26"/>
      <c r="M34" s="41"/>
      <c r="N34" s="18"/>
      <c r="O34" s="41"/>
      <c r="P34" s="5"/>
      <c r="Q34" s="6"/>
    </row>
    <row r="35" spans="1:17" ht="13.5" customHeight="1" x14ac:dyDescent="0.15">
      <c r="A35" s="1" t="s">
        <v>3</v>
      </c>
      <c r="F35" s="12"/>
      <c r="G35" s="14"/>
      <c r="H35" s="13"/>
      <c r="I35" s="13"/>
      <c r="J35" s="13"/>
      <c r="K35" s="13"/>
      <c r="L35" s="13"/>
      <c r="M35" s="13"/>
      <c r="N35" s="13"/>
      <c r="O35" s="13"/>
    </row>
    <row r="36" spans="1:17" ht="13.5" customHeight="1" x14ac:dyDescent="0.15">
      <c r="A36" s="29" t="s">
        <v>100</v>
      </c>
      <c r="B36" s="21"/>
      <c r="C36" s="21"/>
      <c r="D36" s="29" t="s">
        <v>87</v>
      </c>
      <c r="E36" s="29" t="s">
        <v>117</v>
      </c>
      <c r="F36" s="34">
        <v>375000</v>
      </c>
      <c r="G36" s="36">
        <v>170142</v>
      </c>
      <c r="H36">
        <v>2540</v>
      </c>
      <c r="J36" s="45"/>
      <c r="L36" s="43"/>
      <c r="M36" s="39"/>
      <c r="N36" s="16"/>
      <c r="O36" s="39"/>
      <c r="Q36" s="7" t="s">
        <v>11</v>
      </c>
    </row>
    <row r="37" spans="1:17" ht="13.5" customHeight="1" x14ac:dyDescent="0.15">
      <c r="A37" s="29" t="s">
        <v>88</v>
      </c>
      <c r="B37" s="21"/>
      <c r="C37" s="21"/>
      <c r="D37" s="29" t="s">
        <v>89</v>
      </c>
      <c r="E37" s="29" t="s">
        <v>90</v>
      </c>
      <c r="F37" s="34">
        <v>104000</v>
      </c>
      <c r="G37" s="36">
        <v>63408</v>
      </c>
      <c r="H37">
        <v>841</v>
      </c>
      <c r="J37" s="45"/>
      <c r="L37" s="43"/>
      <c r="M37" s="39"/>
      <c r="N37" s="16"/>
      <c r="O37" s="39"/>
      <c r="Q37" s="7"/>
    </row>
    <row r="38" spans="1:17" ht="13.5" customHeight="1" x14ac:dyDescent="0.15">
      <c r="A38" s="29" t="s">
        <v>91</v>
      </c>
      <c r="B38" s="21"/>
      <c r="C38" s="21"/>
      <c r="D38" s="31" t="s">
        <v>92</v>
      </c>
      <c r="E38" s="29"/>
      <c r="F38" s="34">
        <v>100000</v>
      </c>
      <c r="G38" s="36">
        <v>29794</v>
      </c>
      <c r="H38">
        <v>366</v>
      </c>
      <c r="J38" s="45"/>
      <c r="L38" s="43"/>
      <c r="M38" s="39"/>
      <c r="N38" s="32"/>
      <c r="O38" s="39"/>
      <c r="P38" s="33"/>
      <c r="Q38" s="7"/>
    </row>
    <row r="39" spans="1:17" ht="13.5" customHeight="1" x14ac:dyDescent="0.15">
      <c r="A39" s="29" t="s">
        <v>93</v>
      </c>
      <c r="B39" s="21"/>
      <c r="C39" s="21"/>
      <c r="D39" s="31" t="s">
        <v>94</v>
      </c>
      <c r="E39" s="29" t="s">
        <v>95</v>
      </c>
      <c r="F39" s="34">
        <v>40000</v>
      </c>
      <c r="G39" s="36">
        <v>20734</v>
      </c>
      <c r="H39">
        <v>362</v>
      </c>
      <c r="J39" s="45"/>
      <c r="L39" s="43"/>
      <c r="M39" s="39"/>
      <c r="N39" s="32"/>
      <c r="O39" s="39"/>
      <c r="P39" s="33"/>
      <c r="Q39" s="7"/>
    </row>
    <row r="40" spans="1:17" ht="13.5" customHeight="1" x14ac:dyDescent="0.15">
      <c r="A40" s="29" t="s">
        <v>30</v>
      </c>
      <c r="B40" s="21"/>
      <c r="C40" s="21"/>
      <c r="D40" s="31" t="s">
        <v>81</v>
      </c>
      <c r="E40" s="29" t="s">
        <v>82</v>
      </c>
      <c r="F40" s="34">
        <v>180000</v>
      </c>
      <c r="G40" s="36">
        <v>26541</v>
      </c>
      <c r="H40">
        <v>422</v>
      </c>
      <c r="J40" s="45"/>
      <c r="L40" s="43"/>
      <c r="M40" s="39"/>
      <c r="N40" s="32"/>
      <c r="O40" s="39"/>
      <c r="P40" s="33"/>
      <c r="Q40" s="7"/>
    </row>
    <row r="41" spans="1:17" ht="13.5" customHeight="1" x14ac:dyDescent="0.15">
      <c r="A41" s="29" t="s">
        <v>83</v>
      </c>
      <c r="B41" s="21"/>
      <c r="C41" s="21"/>
      <c r="D41" s="31" t="s">
        <v>84</v>
      </c>
      <c r="E41" s="29"/>
      <c r="F41" s="34">
        <v>155000</v>
      </c>
      <c r="G41" s="36">
        <v>50464</v>
      </c>
      <c r="H41">
        <v>786</v>
      </c>
      <c r="J41" s="45"/>
      <c r="L41" s="43"/>
      <c r="M41" s="39"/>
      <c r="N41" s="32"/>
      <c r="O41" s="39"/>
      <c r="P41" s="33"/>
      <c r="Q41" s="7"/>
    </row>
    <row r="42" spans="1:17" ht="12.75" customHeight="1" x14ac:dyDescent="0.15">
      <c r="A42" s="29" t="s">
        <v>85</v>
      </c>
      <c r="B42" s="21"/>
      <c r="C42" s="21"/>
      <c r="D42" s="29" t="s">
        <v>86</v>
      </c>
      <c r="E42" s="29" t="s">
        <v>116</v>
      </c>
      <c r="F42" s="34">
        <v>232000</v>
      </c>
      <c r="G42" s="36">
        <v>53003</v>
      </c>
      <c r="H42">
        <v>823</v>
      </c>
      <c r="J42" s="45"/>
      <c r="L42" s="43"/>
      <c r="M42" s="39"/>
      <c r="N42" s="16"/>
      <c r="O42" s="39"/>
      <c r="Q42" s="7"/>
    </row>
    <row r="43" spans="1:17" ht="12.75" customHeight="1" x14ac:dyDescent="0.15">
      <c r="A43" s="29" t="s">
        <v>96</v>
      </c>
      <c r="B43" s="21"/>
      <c r="C43" s="21"/>
      <c r="D43" s="29" t="s">
        <v>97</v>
      </c>
      <c r="E43" s="29"/>
      <c r="F43" s="34">
        <v>232000</v>
      </c>
      <c r="G43" s="36">
        <v>26275</v>
      </c>
      <c r="H43">
        <v>391</v>
      </c>
      <c r="J43" s="45"/>
      <c r="L43" s="43"/>
      <c r="M43" s="39"/>
      <c r="N43" s="16"/>
      <c r="O43" s="39"/>
      <c r="Q43" s="7"/>
    </row>
    <row r="44" spans="1:17" ht="12.75" customHeight="1" x14ac:dyDescent="0.15">
      <c r="A44" s="29" t="s">
        <v>98</v>
      </c>
      <c r="B44" s="21"/>
      <c r="C44" s="21"/>
      <c r="D44" s="31" t="s">
        <v>99</v>
      </c>
      <c r="E44" s="29"/>
      <c r="F44" s="34">
        <v>92000</v>
      </c>
      <c r="G44" s="36">
        <v>3286</v>
      </c>
      <c r="H44">
        <v>45</v>
      </c>
      <c r="J44" s="45"/>
      <c r="L44" s="43"/>
      <c r="M44" s="39"/>
      <c r="N44" s="16"/>
      <c r="O44" s="39"/>
      <c r="Q44" s="7"/>
    </row>
    <row r="45" spans="1:17" ht="12.75" customHeight="1" x14ac:dyDescent="0.15">
      <c r="A45" s="29" t="s">
        <v>101</v>
      </c>
      <c r="B45" s="21"/>
      <c r="C45" s="21"/>
      <c r="D45" s="31" t="s">
        <v>102</v>
      </c>
      <c r="E45" s="29" t="s">
        <v>117</v>
      </c>
      <c r="F45" s="34">
        <v>375000</v>
      </c>
      <c r="G45" s="36">
        <v>56961</v>
      </c>
      <c r="H45">
        <v>803</v>
      </c>
      <c r="J45" s="45"/>
      <c r="L45" s="43"/>
      <c r="M45" s="39"/>
      <c r="N45" s="16"/>
      <c r="O45" s="39"/>
      <c r="Q45" s="7"/>
    </row>
    <row r="46" spans="1:17" ht="12.75" customHeight="1" x14ac:dyDescent="0.15">
      <c r="A46" s="29" t="s">
        <v>108</v>
      </c>
      <c r="B46" s="21"/>
      <c r="C46" s="21"/>
      <c r="D46" s="31" t="s">
        <v>109</v>
      </c>
      <c r="E46" s="29" t="s">
        <v>116</v>
      </c>
      <c r="F46" s="34">
        <v>100000</v>
      </c>
      <c r="G46" s="36">
        <v>12665</v>
      </c>
      <c r="H46">
        <v>151</v>
      </c>
      <c r="J46" s="45"/>
      <c r="L46" s="43"/>
      <c r="M46" s="39"/>
      <c r="N46" s="16"/>
      <c r="O46" s="39"/>
      <c r="Q46" s="7"/>
    </row>
    <row r="47" spans="1:17" ht="12.75" customHeight="1" thickBot="1" x14ac:dyDescent="0.2">
      <c r="A47" s="29" t="s">
        <v>103</v>
      </c>
      <c r="B47" s="21"/>
      <c r="C47" s="21"/>
      <c r="D47" s="29" t="s">
        <v>104</v>
      </c>
      <c r="E47" s="29" t="s">
        <v>27</v>
      </c>
      <c r="F47" s="34">
        <v>350000</v>
      </c>
      <c r="G47" s="36">
        <v>0</v>
      </c>
      <c r="H47">
        <v>0</v>
      </c>
      <c r="I47" s="24"/>
      <c r="J47" s="46"/>
      <c r="K47" s="24"/>
      <c r="L47" s="47"/>
      <c r="M47" s="40"/>
      <c r="N47" s="16"/>
      <c r="O47" s="39"/>
      <c r="Q47" s="7"/>
    </row>
    <row r="48" spans="1:17" ht="12.75" customHeight="1" thickBot="1" x14ac:dyDescent="0.2">
      <c r="A48" s="3" t="s">
        <v>10</v>
      </c>
      <c r="B48" s="4"/>
      <c r="C48" s="4"/>
      <c r="D48" s="4"/>
      <c r="E48" s="4"/>
      <c r="F48" s="35">
        <v>2335000</v>
      </c>
      <c r="G48" s="37">
        <v>513273</v>
      </c>
      <c r="H48" s="26">
        <v>7530</v>
      </c>
      <c r="I48" s="25"/>
      <c r="J48" s="25"/>
      <c r="K48" s="25"/>
      <c r="L48" s="25"/>
      <c r="M48" s="42"/>
      <c r="N48" s="17"/>
      <c r="O48" s="41"/>
      <c r="P48" s="5"/>
      <c r="Q48" s="6"/>
    </row>
    <row r="49" spans="1:19" ht="12.75" customHeight="1" thickBot="1" x14ac:dyDescent="0.2">
      <c r="A49" s="3" t="s">
        <v>6</v>
      </c>
      <c r="B49" s="4"/>
      <c r="C49" s="4"/>
      <c r="D49" s="4"/>
      <c r="E49" s="4"/>
      <c r="F49" s="35">
        <v>4108000</v>
      </c>
      <c r="G49" s="50">
        <v>722960</v>
      </c>
      <c r="H49" s="25">
        <v>10519</v>
      </c>
      <c r="I49" s="25"/>
      <c r="J49" s="25"/>
      <c r="K49" s="25"/>
      <c r="L49" s="25"/>
      <c r="M49" s="37"/>
      <c r="N49" s="17"/>
      <c r="O49" s="41"/>
      <c r="P49" s="23">
        <v>-8397</v>
      </c>
      <c r="Q49" s="27"/>
    </row>
    <row r="50" spans="1:19" ht="12.75" customHeight="1" x14ac:dyDescent="0.15">
      <c r="A50" s="11"/>
      <c r="S50" s="7"/>
    </row>
  </sheetData>
  <phoneticPr fontId="4" type="noConversion"/>
  <pageMargins left="0" right="0" top="0.25" bottom="0.25" header="0.5" footer="0.5"/>
  <pageSetup scale="95" orientation="landscape" r:id="rId1"/>
  <headerFooter alignWithMargins="0"/>
  <ignoredErrors>
    <ignoredError sqref="D26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Danny Beckley</cp:lastModifiedBy>
  <cp:lastPrinted>2023-01-23T19:46:41Z</cp:lastPrinted>
  <dcterms:created xsi:type="dcterms:W3CDTF">2005-10-20T22:05:14Z</dcterms:created>
  <dcterms:modified xsi:type="dcterms:W3CDTF">2025-08-21T21:04:12Z</dcterms:modified>
</cp:coreProperties>
</file>