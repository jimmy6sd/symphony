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248" documentId="8_{3E45E35C-2B2D-406E-9F95-3D7D9FC84DC2}" xr6:coauthVersionLast="47" xr6:coauthVersionMax="47" xr10:uidLastSave="{B50C6745-5F8A-4F52-8514-6A640C935ACE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<sst xmlns="http://schemas.openxmlformats.org/spreadsheetml/2006/main" count="164" uniqueCount="140">
  <si>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</si>
  <si>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</si>
  <si>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</si>
  <si>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</si>
  <si>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</si>
  <si>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</si>
  <si>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</si>
  <si>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</si>
  <si>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</si>
  <si>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</si>
  <si>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</si>
  <si>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</si>
  <si>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</si>
  <si>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</si>
  <si>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</si>
  <si>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</si>
  <si>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</si>
  <si>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</si>
  <si>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</si>
  <si>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</si>
  <si>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</si>
  <si>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</si>
  <si>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</si>
  <si>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</si>
  <si>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</si>
  <si>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</si>
  <si>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</si>
  <si>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</si>
  <si>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</si>
  <si>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</si>
  <si>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</si>
  <si>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</si>
  <si>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</si>
  <si>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</si>
  <si>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</si>
  <si>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</si>
  <si>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</si>
  <si>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</si>
  <si>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</si>
  <si>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</si>
  <si>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</si>
  <si>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</si>
  <si>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</si>
  <si>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</si>
  <si>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</si>
  <si>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</si>
  <si>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</si>
  <si>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</si>
  <si>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</si>
  <si>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</si>
  <si>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</si>
  <si>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</si>
  <si>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</si>
  <si>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</si>
  <si>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</si>
  <si>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</si>
  <si>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</si>
  <si>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</si>
  <si>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</si>
  <si>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</si>
  <si>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</si>
  <si>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</si>
  <si>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</si>
  <si>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</si>
  <si>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</si>
  <si>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</si>
  <si>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</si>
  <si>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</si>
  <si>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</si>
  <si>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</si>
  <si>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</si>
  <si>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</si>
  <si>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</si>
  <si>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</si>
  <si>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</si>
  <si>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</si>
  <si>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</si>
  <si>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</si>
  <si>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</si>
  <si>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</si>
  <si>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</si>
  <si>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</si>
  <si>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</si>
  <si>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</si>
  <si>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</si>
  <si>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</si>
  <si>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</si>
  <si>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</si>
  <si>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</si>
  <si>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</si>
  <si>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</si>
  <si>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</si>
  <si>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</si>
  <si>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</si>
  <si>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</si>
  <si>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</si>
  <si>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</si>
  <si>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</si>
  <si>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</si>
  <si>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</si>
  <si>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</si>
  <si>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</si>
  <si>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</si>
  <si>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</si>
  <si>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</si>
  <si>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</si>
  <si>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</si>
  <si>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</si>
  <si>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</si>
  <si>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</si>
  <si>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</si>
  <si>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</si>
  <si>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</si>
  <si>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</si>
  <si>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</si>
  <si>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</si>
  <si>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</si>
  <si>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</si>
  <si>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</si>
  <si>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</si>
  <si>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</si>
  <si>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</si>
  <si>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</si>
  <si>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</si>
  <si>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</si>
  <si>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</si>
  <si>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</si>
  <si>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</si>
  <si>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</si>
  <si>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</si>
  <si>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</si>
  <si>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</si>
  <si>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</si>
  <si>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</si>
  <si>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</si>
  <si>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</si>
  <si>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</si>
  <si>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</si>
  <si>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Tim Davies</t>
  </si>
  <si>
    <t>For performances year to date, actual sales over (under) budget for Classical are $198,495; FINAL for Pops $75,049; FINAL for Family $76,563; and FINAL for Other Concerts $219,921.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</si>
</sst>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8" fontId="0" fillId="0" borderId="0" xfId="1" applyNumberFormat="1" applyFont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0" borderId="4" xfId="0" applyBorder="1"/>
    <xf numFmtId="0" fontId="5" fillId="0" borderId="0" xfId="0" applyFont="1" applyBorder="1"/>
    <xf numFmtId="0" fontId="1" fillId="0" borderId="0" xfId="0" applyFont="1" applyBorder="1"/>
    <xf numFmtId="9" fontId="0" fillId="0" borderId="0" xfId="0" applyNumberFormat="1" applyBorder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workbookViewId="0">
      <selection activeCell="W30" sqref="W30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68">
        <v>45460</v>
      </c>
    </row>
    <row r="2" spans="1:21" x14ac:dyDescent="0.2">
      <c r="A2" s="9"/>
      <c r="E2" s="13" t="s">
        <v>27</v>
      </c>
    </row>
    <row r="3" spans="1:21" x14ac:dyDescent="0.2">
      <c r="E3" s="16"/>
      <c r="F3" s="81" t="s">
        <v>115</v>
      </c>
      <c r="G3" s="81"/>
      <c r="H3" s="81"/>
      <c r="I3" s="81"/>
      <c r="J3" s="82" t="s">
        <v>116</v>
      </c>
      <c r="K3" s="82"/>
      <c r="L3" s="82"/>
      <c r="M3" s="83" t="s">
        <v>117</v>
      </c>
      <c r="N3" s="83"/>
      <c r="O3" s="83"/>
      <c r="P3" s="85" t="s">
        <v>124</v>
      </c>
      <c r="Q3" s="85"/>
      <c r="R3" s="85"/>
      <c r="S3" s="84" t="s">
        <v>130</v>
      </c>
      <c r="T3" s="84"/>
      <c r="U3" s="84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3">
        <v>38000</v>
      </c>
      <c r="G6" s="64">
        <v>34287</v>
      </c>
      <c r="H6" s="64"/>
      <c r="I6" s="65">
        <v>755</v>
      </c>
      <c r="J6" s="63">
        <v>125179</v>
      </c>
      <c r="K6" s="64">
        <v>119397</v>
      </c>
      <c r="L6" s="65">
        <v>2094</v>
      </c>
      <c r="M6" s="63">
        <f t="shared" ref="M6:M19" si="0">F6+J6</f>
        <v>163179</v>
      </c>
      <c r="N6" s="64">
        <f t="shared" ref="N6:N19" si="1">G6+K6</f>
        <v>153684</v>
      </c>
      <c r="O6" s="65">
        <f t="shared" ref="O6:O19" si="2">I6+L6</f>
        <v>2849</v>
      </c>
      <c r="P6" s="66">
        <v>4725</v>
      </c>
      <c r="Q6" s="60">
        <f>O6/P6</f>
        <v>0.60296296296296292</v>
      </c>
      <c r="R6" s="41">
        <f t="shared" ref="R6:R20" si="3">N6/O6</f>
        <v>53.943137943137941</v>
      </c>
      <c r="S6" s="65">
        <v>169</v>
      </c>
      <c r="T6" s="75">
        <v>1422</v>
      </c>
      <c r="U6" s="65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3">
        <v>38000</v>
      </c>
      <c r="G7" s="64">
        <v>26492</v>
      </c>
      <c r="H7" s="64"/>
      <c r="I7" s="65">
        <v>775</v>
      </c>
      <c r="J7" s="63">
        <v>125217</v>
      </c>
      <c r="K7" s="64">
        <v>116837</v>
      </c>
      <c r="L7" s="65">
        <v>2029</v>
      </c>
      <c r="M7" s="63">
        <f t="shared" si="0"/>
        <v>163217</v>
      </c>
      <c r="N7" s="64">
        <f t="shared" si="1"/>
        <v>143329</v>
      </c>
      <c r="O7" s="65">
        <f t="shared" si="2"/>
        <v>2804</v>
      </c>
      <c r="P7" s="66">
        <v>4725</v>
      </c>
      <c r="Q7" s="20">
        <f t="shared" ref="Q7:Q19" si="4">O7/P7</f>
        <v>0.59343915343915343</v>
      </c>
      <c r="R7" s="41">
        <f t="shared" si="3"/>
        <v>51.115905848787449</v>
      </c>
      <c r="S7" s="65">
        <v>132</v>
      </c>
      <c r="T7" s="75">
        <v>1343</v>
      </c>
      <c r="U7" s="65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3">
        <v>35000</v>
      </c>
      <c r="G8" s="64">
        <v>55138</v>
      </c>
      <c r="H8" s="64"/>
      <c r="I8" s="65">
        <v>1149</v>
      </c>
      <c r="J8" s="63">
        <v>125217</v>
      </c>
      <c r="K8" s="64">
        <v>117086</v>
      </c>
      <c r="L8" s="65">
        <v>2047</v>
      </c>
      <c r="M8" s="63">
        <f t="shared" si="0"/>
        <v>160217</v>
      </c>
      <c r="N8" s="64">
        <f t="shared" si="1"/>
        <v>172224</v>
      </c>
      <c r="O8" s="65">
        <f t="shared" si="2"/>
        <v>3196</v>
      </c>
      <c r="P8" s="66">
        <v>4254</v>
      </c>
      <c r="Q8" s="20">
        <f t="shared" si="4"/>
        <v>0.75129290079924782</v>
      </c>
      <c r="R8" s="41">
        <f t="shared" si="3"/>
        <v>53.887359198998752</v>
      </c>
      <c r="S8" s="65">
        <v>229</v>
      </c>
      <c r="T8" s="75">
        <v>1470</v>
      </c>
      <c r="U8" s="65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3">
        <v>50000</v>
      </c>
      <c r="G9" s="64">
        <v>38464</v>
      </c>
      <c r="H9" s="64"/>
      <c r="I9" s="65">
        <v>789</v>
      </c>
      <c r="J9" s="63">
        <v>125217</v>
      </c>
      <c r="K9" s="64">
        <v>119174</v>
      </c>
      <c r="L9" s="65">
        <v>2084</v>
      </c>
      <c r="M9" s="63">
        <f t="shared" si="0"/>
        <v>175217</v>
      </c>
      <c r="N9" s="64">
        <f t="shared" si="1"/>
        <v>157638</v>
      </c>
      <c r="O9" s="65">
        <f t="shared" si="2"/>
        <v>2873</v>
      </c>
      <c r="P9" s="66">
        <v>4725</v>
      </c>
      <c r="Q9" s="20">
        <f t="shared" si="4"/>
        <v>0.60804232804232805</v>
      </c>
      <c r="R9" s="41">
        <f t="shared" si="3"/>
        <v>54.868778280542983</v>
      </c>
      <c r="S9" s="65">
        <v>135</v>
      </c>
      <c r="T9" s="75">
        <v>1404</v>
      </c>
      <c r="U9" s="65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76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76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3">
        <v>40000</v>
      </c>
      <c r="G12" s="64">
        <v>55051</v>
      </c>
      <c r="H12" s="64"/>
      <c r="I12" s="65">
        <v>1310</v>
      </c>
      <c r="J12" s="63">
        <v>125217</v>
      </c>
      <c r="K12" s="64">
        <v>124777</v>
      </c>
      <c r="L12" s="65">
        <v>2208</v>
      </c>
      <c r="M12" s="63">
        <f t="shared" si="0"/>
        <v>165217</v>
      </c>
      <c r="N12" s="64">
        <f t="shared" si="1"/>
        <v>179828</v>
      </c>
      <c r="O12" s="65">
        <f t="shared" si="2"/>
        <v>3518</v>
      </c>
      <c r="P12" s="66">
        <v>4725</v>
      </c>
      <c r="Q12" s="20">
        <f t="shared" si="4"/>
        <v>0.74455026455026452</v>
      </c>
      <c r="R12" s="41">
        <f t="shared" si="3"/>
        <v>51.116543490619669</v>
      </c>
      <c r="S12" s="65">
        <v>141</v>
      </c>
      <c r="T12" s="75">
        <v>1589</v>
      </c>
      <c r="U12" s="65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3">
        <v>40000</v>
      </c>
      <c r="G13" s="64">
        <v>62450</v>
      </c>
      <c r="H13" s="64"/>
      <c r="I13" s="65">
        <v>1350</v>
      </c>
      <c r="J13" s="63">
        <v>125217</v>
      </c>
      <c r="K13" s="64">
        <v>121952</v>
      </c>
      <c r="L13" s="65">
        <v>2160</v>
      </c>
      <c r="M13" s="63">
        <f t="shared" si="0"/>
        <v>165217</v>
      </c>
      <c r="N13" s="64">
        <f t="shared" si="1"/>
        <v>184402</v>
      </c>
      <c r="O13" s="65">
        <f t="shared" si="2"/>
        <v>3510</v>
      </c>
      <c r="P13" s="66">
        <v>4725</v>
      </c>
      <c r="Q13" s="20">
        <f t="shared" si="4"/>
        <v>0.74285714285714288</v>
      </c>
      <c r="R13" s="41">
        <f t="shared" si="3"/>
        <v>52.536182336182335</v>
      </c>
      <c r="S13" s="65">
        <v>185</v>
      </c>
      <c r="T13" s="75">
        <v>1640</v>
      </c>
      <c r="U13" s="65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3">
        <v>40000</v>
      </c>
      <c r="G14" s="64">
        <v>54823</v>
      </c>
      <c r="H14" s="64"/>
      <c r="I14" s="65">
        <v>1721</v>
      </c>
      <c r="J14" s="63">
        <v>125217</v>
      </c>
      <c r="K14" s="64">
        <v>121572</v>
      </c>
      <c r="L14" s="65">
        <v>2183</v>
      </c>
      <c r="M14" s="63">
        <f t="shared" si="0"/>
        <v>165217</v>
      </c>
      <c r="N14" s="64">
        <f t="shared" si="1"/>
        <v>176395</v>
      </c>
      <c r="O14" s="65">
        <f t="shared" si="2"/>
        <v>3904</v>
      </c>
      <c r="P14" s="66">
        <v>4725</v>
      </c>
      <c r="Q14" s="20">
        <f t="shared" si="4"/>
        <v>0.82624338624338622</v>
      </c>
      <c r="R14" s="41">
        <f t="shared" si="3"/>
        <v>45.18314549180328</v>
      </c>
      <c r="S14" s="65">
        <v>199</v>
      </c>
      <c r="T14" s="75">
        <v>1857</v>
      </c>
      <c r="U14" s="65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63">
        <v>35000</v>
      </c>
      <c r="G15" s="64">
        <v>58599</v>
      </c>
      <c r="H15" s="64"/>
      <c r="I15" s="65">
        <v>1126</v>
      </c>
      <c r="J15" s="63">
        <v>125217</v>
      </c>
      <c r="K15" s="64">
        <v>117470</v>
      </c>
      <c r="L15" s="65">
        <v>2092</v>
      </c>
      <c r="M15" s="63">
        <f t="shared" si="0"/>
        <v>160217</v>
      </c>
      <c r="N15" s="64">
        <f t="shared" si="1"/>
        <v>176069</v>
      </c>
      <c r="O15" s="65">
        <f t="shared" si="2"/>
        <v>3218</v>
      </c>
      <c r="P15" s="66">
        <v>4725</v>
      </c>
      <c r="Q15" s="20">
        <f t="shared" si="4"/>
        <v>0.68105820105820103</v>
      </c>
      <c r="R15" s="41">
        <f t="shared" si="3"/>
        <v>54.71379738968303</v>
      </c>
      <c r="S15" s="65">
        <v>162</v>
      </c>
      <c r="T15" s="75">
        <v>1601</v>
      </c>
      <c r="U15" s="65">
        <f t="shared" si="5"/>
        <v>1763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63">
        <v>45000</v>
      </c>
      <c r="G16" s="64">
        <v>49628</v>
      </c>
      <c r="H16" s="64"/>
      <c r="I16" s="65">
        <v>1012</v>
      </c>
      <c r="J16" s="63">
        <v>125217</v>
      </c>
      <c r="K16" s="64">
        <v>126612</v>
      </c>
      <c r="L16" s="65">
        <v>2268</v>
      </c>
      <c r="M16" s="63">
        <f t="shared" si="0"/>
        <v>170217</v>
      </c>
      <c r="N16" s="64">
        <f t="shared" si="1"/>
        <v>176240</v>
      </c>
      <c r="O16" s="65">
        <f t="shared" si="2"/>
        <v>3280</v>
      </c>
      <c r="P16" s="66">
        <v>4725</v>
      </c>
      <c r="Q16" s="20">
        <f t="shared" si="4"/>
        <v>0.69417989417989423</v>
      </c>
      <c r="R16" s="41">
        <f t="shared" si="3"/>
        <v>53.731707317073173</v>
      </c>
      <c r="S16" s="65">
        <v>151</v>
      </c>
      <c r="T16" s="75">
        <v>1651</v>
      </c>
      <c r="U16" s="65">
        <f t="shared" si="5"/>
        <v>1802</v>
      </c>
    </row>
    <row r="17" spans="1:21" x14ac:dyDescent="0.2">
      <c r="A17" s="87" t="s">
        <v>21</v>
      </c>
      <c r="B17" s="88" t="s">
        <v>51</v>
      </c>
      <c r="C17" s="87"/>
      <c r="D17" s="88" t="s">
        <v>52</v>
      </c>
      <c r="E17" s="88" t="s">
        <v>25</v>
      </c>
      <c r="F17" s="63">
        <v>55000</v>
      </c>
      <c r="G17" s="64">
        <v>94591</v>
      </c>
      <c r="H17" s="64"/>
      <c r="I17" s="65">
        <v>1679</v>
      </c>
      <c r="J17" s="63">
        <v>125217</v>
      </c>
      <c r="K17" s="64">
        <v>120346</v>
      </c>
      <c r="L17" s="65">
        <v>2088</v>
      </c>
      <c r="M17" s="63">
        <f t="shared" si="0"/>
        <v>180217</v>
      </c>
      <c r="N17" s="64">
        <f t="shared" si="1"/>
        <v>214937</v>
      </c>
      <c r="O17" s="65">
        <f t="shared" si="2"/>
        <v>3767</v>
      </c>
      <c r="P17" s="66">
        <v>4725</v>
      </c>
      <c r="Q17" s="89">
        <f t="shared" si="4"/>
        <v>0.79724867724867721</v>
      </c>
      <c r="R17" s="41">
        <f t="shared" si="3"/>
        <v>57.057870984868593</v>
      </c>
      <c r="S17" s="65">
        <v>230</v>
      </c>
      <c r="T17" s="75">
        <v>1750</v>
      </c>
      <c r="U17" s="56">
        <f t="shared" si="5"/>
        <v>1980</v>
      </c>
    </row>
    <row r="18" spans="1:21" x14ac:dyDescent="0.2">
      <c r="A18" s="86" t="s">
        <v>22</v>
      </c>
      <c r="B18" s="53" t="s">
        <v>53</v>
      </c>
      <c r="C18" s="86"/>
      <c r="D18" s="53" t="s">
        <v>54</v>
      </c>
      <c r="E18" s="86" t="s">
        <v>25</v>
      </c>
      <c r="F18" s="48">
        <v>38000</v>
      </c>
      <c r="G18" s="49">
        <v>100038</v>
      </c>
      <c r="H18" s="49"/>
      <c r="I18" s="50">
        <v>1930</v>
      </c>
      <c r="J18" s="48">
        <v>125217</v>
      </c>
      <c r="K18" s="49">
        <v>121874</v>
      </c>
      <c r="L18" s="50">
        <v>2172</v>
      </c>
      <c r="M18" s="48">
        <f t="shared" si="0"/>
        <v>163217</v>
      </c>
      <c r="N18" s="49">
        <f t="shared" si="1"/>
        <v>221912</v>
      </c>
      <c r="O18" s="50">
        <f t="shared" si="2"/>
        <v>4102</v>
      </c>
      <c r="P18" s="51">
        <v>4254</v>
      </c>
      <c r="Q18" s="62">
        <f t="shared" si="4"/>
        <v>0.96426892336624359</v>
      </c>
      <c r="R18" s="52">
        <f t="shared" si="3"/>
        <v>54.09848854217455</v>
      </c>
      <c r="S18" s="50">
        <v>311</v>
      </c>
      <c r="T18" s="77">
        <v>1781</v>
      </c>
      <c r="U18" s="50">
        <f t="shared" si="5"/>
        <v>2092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88565</v>
      </c>
      <c r="H19" s="34"/>
      <c r="I19" s="26">
        <v>1309</v>
      </c>
      <c r="J19" s="32">
        <v>125217</v>
      </c>
      <c r="K19" s="34">
        <v>123053</v>
      </c>
      <c r="L19" s="26">
        <v>2131</v>
      </c>
      <c r="M19" s="32">
        <f t="shared" si="0"/>
        <v>192217</v>
      </c>
      <c r="N19" s="34">
        <f t="shared" si="1"/>
        <v>211618</v>
      </c>
      <c r="O19" s="26">
        <f t="shared" si="2"/>
        <v>3440</v>
      </c>
      <c r="P19" s="45">
        <v>4725</v>
      </c>
      <c r="Q19" s="21">
        <f t="shared" si="4"/>
        <v>0.72804232804232805</v>
      </c>
      <c r="R19" s="30">
        <f t="shared" si="3"/>
        <v>61.516860465116281</v>
      </c>
      <c r="S19" s="25">
        <v>97</v>
      </c>
      <c r="T19" s="76">
        <v>1673</v>
      </c>
      <c r="U19" s="25">
        <f t="shared" si="5"/>
        <v>1770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836060</v>
      </c>
      <c r="H20" s="35">
        <v>220565</v>
      </c>
      <c r="I20" s="23">
        <f t="shared" si="6"/>
        <v>17043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29756</v>
      </c>
      <c r="M20" s="35">
        <f>SUM(M6:M19)</f>
        <v>2369000</v>
      </c>
      <c r="N20" s="35">
        <f t="shared" ref="N20" si="9">SUM(N6:N19)</f>
        <v>2525262</v>
      </c>
      <c r="O20" s="23">
        <f t="shared" ref="O20" si="10">SUM(O6:O19)</f>
        <v>46799</v>
      </c>
      <c r="P20" s="43">
        <f>SUM(P6:P19)</f>
        <v>65208</v>
      </c>
      <c r="Q20" s="28">
        <f>O20/P20</f>
        <v>0.71768801374064528</v>
      </c>
      <c r="R20" s="24">
        <f t="shared" si="3"/>
        <v>53.959742729545503</v>
      </c>
      <c r="S20" s="43">
        <f>SUM(S6:S19)</f>
        <v>2519</v>
      </c>
      <c r="T20" s="43">
        <f>SUM(T6:T19)</f>
        <v>22251</v>
      </c>
      <c r="U20" s="43">
        <f>SUM(U6:U19)</f>
        <v>24770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74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4">
        <v>125000</v>
      </c>
      <c r="G24" s="55">
        <v>131321</v>
      </c>
      <c r="H24" s="55"/>
      <c r="I24" s="56">
        <v>2056</v>
      </c>
      <c r="J24" s="54">
        <v>128000</v>
      </c>
      <c r="K24" s="57">
        <v>118047</v>
      </c>
      <c r="L24" s="56">
        <v>1804</v>
      </c>
      <c r="M24" s="58">
        <f t="shared" si="11"/>
        <v>253000</v>
      </c>
      <c r="N24" s="58">
        <f t="shared" si="11"/>
        <v>249368</v>
      </c>
      <c r="O24" s="56">
        <f>I24+L24</f>
        <v>3860</v>
      </c>
      <c r="P24" s="59">
        <v>4707</v>
      </c>
      <c r="Q24" s="60">
        <f t="shared" si="12"/>
        <v>0.82005523688124071</v>
      </c>
      <c r="R24" s="61">
        <f t="shared" si="13"/>
        <v>64.603108808290159</v>
      </c>
      <c r="S24" s="56">
        <v>342</v>
      </c>
      <c r="T24" s="78">
        <v>1336</v>
      </c>
      <c r="U24" s="56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4">
        <v>125000</v>
      </c>
      <c r="G25" s="55">
        <v>131336</v>
      </c>
      <c r="H25" s="55"/>
      <c r="I25" s="56">
        <v>1874</v>
      </c>
      <c r="J25" s="54">
        <v>128000</v>
      </c>
      <c r="K25" s="57">
        <v>120395</v>
      </c>
      <c r="L25" s="56">
        <v>1914</v>
      </c>
      <c r="M25" s="58">
        <f t="shared" si="11"/>
        <v>253000</v>
      </c>
      <c r="N25" s="58">
        <f t="shared" si="11"/>
        <v>251731</v>
      </c>
      <c r="O25" s="56">
        <f>I25+L25</f>
        <v>3788</v>
      </c>
      <c r="P25" s="59">
        <v>4707</v>
      </c>
      <c r="Q25" s="60">
        <f t="shared" si="12"/>
        <v>0.80475886976843003</v>
      </c>
      <c r="R25" s="61">
        <f t="shared" si="13"/>
        <v>66.454857444561767</v>
      </c>
      <c r="S25" s="56">
        <v>351</v>
      </c>
      <c r="T25" s="78">
        <v>1305</v>
      </c>
      <c r="U25" s="56">
        <f t="shared" si="14"/>
        <v>1656</v>
      </c>
    </row>
    <row r="26" spans="1:21" x14ac:dyDescent="0.2">
      <c r="A26" s="16" t="s">
        <v>63</v>
      </c>
      <c r="D26" s="17" t="s">
        <v>64</v>
      </c>
      <c r="E26" t="s">
        <v>65</v>
      </c>
      <c r="F26" s="63">
        <v>125000</v>
      </c>
      <c r="G26" s="64">
        <v>176469</v>
      </c>
      <c r="H26" s="64"/>
      <c r="I26" s="65">
        <v>2419</v>
      </c>
      <c r="J26" s="63">
        <v>128000</v>
      </c>
      <c r="K26" s="69">
        <v>120539</v>
      </c>
      <c r="L26" s="65">
        <v>1868</v>
      </c>
      <c r="M26" s="67">
        <f t="shared" si="11"/>
        <v>253000</v>
      </c>
      <c r="N26" s="67">
        <f t="shared" si="11"/>
        <v>297008</v>
      </c>
      <c r="O26" s="65">
        <f>I26+L26</f>
        <v>4287</v>
      </c>
      <c r="P26" s="66">
        <v>4707</v>
      </c>
      <c r="Q26" s="20">
        <f t="shared" si="12"/>
        <v>0.91077119184193756</v>
      </c>
      <c r="R26" s="41">
        <f t="shared" si="13"/>
        <v>69.28108234196408</v>
      </c>
      <c r="S26" s="65">
        <v>482</v>
      </c>
      <c r="T26" s="79">
        <v>1413</v>
      </c>
      <c r="U26" s="65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159470</v>
      </c>
      <c r="H27" s="64"/>
      <c r="I27" s="25">
        <v>2238</v>
      </c>
      <c r="J27" s="32">
        <v>128000</v>
      </c>
      <c r="K27" s="47">
        <v>120177</v>
      </c>
      <c r="L27" s="25">
        <v>1917</v>
      </c>
      <c r="M27" s="40">
        <f t="shared" si="11"/>
        <v>253000</v>
      </c>
      <c r="N27" s="40">
        <f t="shared" si="11"/>
        <v>279647</v>
      </c>
      <c r="O27" s="25">
        <f>I27+L27</f>
        <v>4155</v>
      </c>
      <c r="P27" s="42">
        <v>4254</v>
      </c>
      <c r="Q27" s="21">
        <f t="shared" si="12"/>
        <v>0.97672778561354023</v>
      </c>
      <c r="R27" s="10">
        <f t="shared" si="13"/>
        <v>67.303730445246686</v>
      </c>
      <c r="S27" s="25">
        <v>365</v>
      </c>
      <c r="T27" s="25">
        <v>1495</v>
      </c>
      <c r="U27" s="25">
        <f t="shared" si="14"/>
        <v>1860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794049</v>
      </c>
      <c r="H28" s="39">
        <v>75049</v>
      </c>
      <c r="I28" s="27">
        <f t="shared" si="15"/>
        <v>10187</v>
      </c>
      <c r="J28" s="35">
        <f t="shared" si="15"/>
        <v>640000</v>
      </c>
      <c r="K28" s="39">
        <f t="shared" si="15"/>
        <v>593877</v>
      </c>
      <c r="L28" s="27">
        <f t="shared" si="15"/>
        <v>9237</v>
      </c>
      <c r="M28" s="35">
        <f t="shared" si="15"/>
        <v>1360000</v>
      </c>
      <c r="N28" s="39">
        <f t="shared" si="15"/>
        <v>1387926</v>
      </c>
      <c r="O28" s="27">
        <f t="shared" si="15"/>
        <v>19424</v>
      </c>
      <c r="P28" s="43">
        <f t="shared" si="15"/>
        <v>23082</v>
      </c>
      <c r="Q28" s="28">
        <f>O28/P28</f>
        <v>0.84152153192964219</v>
      </c>
      <c r="R28" s="31">
        <f t="shared" si="13"/>
        <v>71.454180395387155</v>
      </c>
      <c r="S28" s="43">
        <f>SUM(S23:S27)</f>
        <v>1782</v>
      </c>
      <c r="T28" s="43">
        <f t="shared" ref="T28:U28" si="16">SUM(T23:T27)</f>
        <v>6841</v>
      </c>
      <c r="U28" s="43">
        <f t="shared" si="16"/>
        <v>8623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3">
        <v>9000</v>
      </c>
      <c r="G31" s="69">
        <v>16170</v>
      </c>
      <c r="H31" s="69"/>
      <c r="I31" s="65">
        <v>432</v>
      </c>
      <c r="J31" s="63">
        <v>11250</v>
      </c>
      <c r="K31" s="69">
        <v>10706</v>
      </c>
      <c r="L31" s="65">
        <v>525</v>
      </c>
      <c r="M31" s="67">
        <f t="shared" ref="M31:N34" si="17">F31+J31</f>
        <v>20250</v>
      </c>
      <c r="N31" s="67">
        <f t="shared" si="17"/>
        <v>26876</v>
      </c>
      <c r="O31" s="65">
        <f>I31+L31</f>
        <v>957</v>
      </c>
      <c r="P31" s="66">
        <v>1575</v>
      </c>
      <c r="Q31" s="70">
        <f t="shared" ref="Q31:Q34" si="18">O31/P31</f>
        <v>0.60761904761904761</v>
      </c>
      <c r="R31" s="41">
        <f>N31/O31</f>
        <v>28.083594566353188</v>
      </c>
      <c r="S31" s="65">
        <v>60</v>
      </c>
      <c r="T31" s="65">
        <v>251</v>
      </c>
      <c r="U31" s="65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3">
        <v>9000</v>
      </c>
      <c r="G33" s="64">
        <v>32684</v>
      </c>
      <c r="H33" s="64"/>
      <c r="I33" s="65">
        <v>660</v>
      </c>
      <c r="J33" s="63">
        <v>11250</v>
      </c>
      <c r="K33" s="64">
        <v>11204</v>
      </c>
      <c r="L33" s="65">
        <v>597</v>
      </c>
      <c r="M33" s="67">
        <f t="shared" si="17"/>
        <v>20250</v>
      </c>
      <c r="N33" s="67">
        <f t="shared" si="17"/>
        <v>43888</v>
      </c>
      <c r="O33" s="65">
        <f>I33+L33</f>
        <v>1257</v>
      </c>
      <c r="P33" s="66">
        <v>1308</v>
      </c>
      <c r="Q33" s="20">
        <f t="shared" si="18"/>
        <v>0.96100917431192656</v>
      </c>
      <c r="R33" s="41">
        <f>N33/O33</f>
        <v>34.914876690533013</v>
      </c>
      <c r="S33" s="65">
        <v>109</v>
      </c>
      <c r="T33" s="65">
        <v>364</v>
      </c>
      <c r="U33" s="65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4">
        <v>100000</v>
      </c>
      <c r="G39" s="55">
        <v>98864</v>
      </c>
      <c r="H39" s="55"/>
      <c r="I39" s="56">
        <v>1340</v>
      </c>
      <c r="J39" s="54">
        <v>0</v>
      </c>
      <c r="K39" s="55">
        <v>628</v>
      </c>
      <c r="L39" s="56">
        <v>21</v>
      </c>
      <c r="M39" s="58">
        <f t="shared" si="22"/>
        <v>100000</v>
      </c>
      <c r="N39" s="58">
        <f t="shared" si="23"/>
        <v>99492</v>
      </c>
      <c r="O39" s="56">
        <f t="shared" si="24"/>
        <v>1361</v>
      </c>
      <c r="P39" s="59">
        <v>1575</v>
      </c>
      <c r="Q39" s="60">
        <f t="shared" si="25"/>
        <v>0.86412698412698408</v>
      </c>
      <c r="R39" s="61">
        <f t="shared" si="26"/>
        <v>73.102130786186621</v>
      </c>
      <c r="S39" s="56">
        <v>262</v>
      </c>
      <c r="T39" s="56">
        <v>322</v>
      </c>
      <c r="U39" s="56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3">
        <v>40000</v>
      </c>
      <c r="G40" s="64">
        <v>64176</v>
      </c>
      <c r="H40" s="64"/>
      <c r="I40" s="65">
        <v>1241</v>
      </c>
      <c r="J40" s="63">
        <v>0</v>
      </c>
      <c r="K40" s="64">
        <v>797</v>
      </c>
      <c r="L40" s="65">
        <v>40</v>
      </c>
      <c r="M40" s="67">
        <f t="shared" si="22"/>
        <v>40000</v>
      </c>
      <c r="N40" s="67">
        <f t="shared" si="23"/>
        <v>64973</v>
      </c>
      <c r="O40" s="65">
        <f t="shared" si="24"/>
        <v>1281</v>
      </c>
      <c r="P40" s="66">
        <v>1308</v>
      </c>
      <c r="Q40" s="20">
        <f t="shared" si="25"/>
        <v>0.97935779816513757</v>
      </c>
      <c r="R40" s="41">
        <f t="shared" si="26"/>
        <v>50.720530835284933</v>
      </c>
      <c r="S40" s="65">
        <v>194</v>
      </c>
      <c r="T40" s="65">
        <v>352</v>
      </c>
      <c r="U40" s="65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3">
        <v>180000</v>
      </c>
      <c r="G41" s="64">
        <v>225510</v>
      </c>
      <c r="H41" s="64"/>
      <c r="I41" s="65">
        <v>4066</v>
      </c>
      <c r="J41" s="63">
        <v>0</v>
      </c>
      <c r="K41" s="64">
        <v>986</v>
      </c>
      <c r="L41" s="65">
        <v>39</v>
      </c>
      <c r="M41" s="67">
        <f t="shared" si="22"/>
        <v>180000</v>
      </c>
      <c r="N41" s="67">
        <f t="shared" si="23"/>
        <v>226496</v>
      </c>
      <c r="O41" s="65">
        <f t="shared" si="24"/>
        <v>4105</v>
      </c>
      <c r="P41" s="66">
        <v>4254</v>
      </c>
      <c r="Q41" s="20">
        <f t="shared" si="25"/>
        <v>0.9649741419840151</v>
      </c>
      <c r="R41" s="41">
        <f t="shared" si="26"/>
        <v>55.175639464068212</v>
      </c>
      <c r="S41" s="65">
        <v>543</v>
      </c>
      <c r="T41" s="65">
        <v>924</v>
      </c>
      <c r="U41" s="65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3">
        <v>155000</v>
      </c>
      <c r="G42" s="64">
        <v>173896</v>
      </c>
      <c r="H42" s="64"/>
      <c r="I42" s="65">
        <v>2568</v>
      </c>
      <c r="J42" s="63">
        <v>0</v>
      </c>
      <c r="K42" s="64">
        <v>1089</v>
      </c>
      <c r="L42" s="65">
        <v>22</v>
      </c>
      <c r="M42" s="67">
        <f t="shared" si="22"/>
        <v>155000</v>
      </c>
      <c r="N42" s="67">
        <f t="shared" si="23"/>
        <v>174985</v>
      </c>
      <c r="O42" s="65">
        <f t="shared" si="24"/>
        <v>2590</v>
      </c>
      <c r="P42" s="66">
        <v>2616</v>
      </c>
      <c r="Q42" s="20">
        <f t="shared" si="25"/>
        <v>0.99006116207951067</v>
      </c>
      <c r="R42" s="41">
        <f t="shared" si="26"/>
        <v>67.561776061776058</v>
      </c>
      <c r="S42" s="65">
        <v>235</v>
      </c>
      <c r="T42" s="65">
        <v>511</v>
      </c>
      <c r="U42" s="65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3">
        <v>232000</v>
      </c>
      <c r="G44" s="64">
        <v>198366</v>
      </c>
      <c r="H44" s="64"/>
      <c r="I44" s="65">
        <v>3113</v>
      </c>
      <c r="J44" s="63">
        <v>0</v>
      </c>
      <c r="K44" s="64">
        <v>1265</v>
      </c>
      <c r="L44" s="65">
        <v>30</v>
      </c>
      <c r="M44" s="67">
        <f t="shared" si="22"/>
        <v>232000</v>
      </c>
      <c r="N44" s="67">
        <f t="shared" si="23"/>
        <v>199631</v>
      </c>
      <c r="O44" s="65">
        <f t="shared" si="24"/>
        <v>3143</v>
      </c>
      <c r="P44" s="66">
        <v>3888</v>
      </c>
      <c r="Q44" s="20">
        <f t="shared" si="25"/>
        <v>0.80838477366255146</v>
      </c>
      <c r="R44" s="41">
        <f t="shared" si="26"/>
        <v>63.516067451479479</v>
      </c>
      <c r="S44" s="65">
        <v>569</v>
      </c>
      <c r="T44" s="65">
        <v>554</v>
      </c>
      <c r="U44" s="65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3">
        <v>92000</v>
      </c>
      <c r="G45" s="64">
        <v>52660</v>
      </c>
      <c r="H45" s="64"/>
      <c r="I45" s="65">
        <v>744</v>
      </c>
      <c r="J45" s="63">
        <v>0</v>
      </c>
      <c r="K45" s="64">
        <v>612</v>
      </c>
      <c r="L45" s="65">
        <v>31</v>
      </c>
      <c r="M45" s="67">
        <f t="shared" si="22"/>
        <v>92000</v>
      </c>
      <c r="N45" s="67">
        <f t="shared" si="23"/>
        <v>53272</v>
      </c>
      <c r="O45" s="65">
        <f t="shared" si="24"/>
        <v>775</v>
      </c>
      <c r="P45" s="66">
        <v>1575</v>
      </c>
      <c r="Q45" s="20">
        <f t="shared" si="25"/>
        <v>0.49206349206349204</v>
      </c>
      <c r="R45" s="41">
        <f t="shared" si="26"/>
        <v>68.738064516129029</v>
      </c>
      <c r="S45" s="65">
        <v>110</v>
      </c>
      <c r="T45" s="65">
        <v>325</v>
      </c>
      <c r="U45" s="65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63">
        <v>375000</v>
      </c>
      <c r="G46" s="64">
        <v>446454</v>
      </c>
      <c r="H46" s="64"/>
      <c r="I46" s="65">
        <v>4989</v>
      </c>
      <c r="J46" s="63">
        <v>0</v>
      </c>
      <c r="K46" s="64">
        <v>2045</v>
      </c>
      <c r="L46" s="65">
        <v>38</v>
      </c>
      <c r="M46" s="67">
        <f t="shared" si="22"/>
        <v>375000</v>
      </c>
      <c r="N46" s="67">
        <f t="shared" si="23"/>
        <v>448499</v>
      </c>
      <c r="O46" s="65">
        <f t="shared" si="24"/>
        <v>5027</v>
      </c>
      <c r="P46" s="66">
        <v>5184</v>
      </c>
      <c r="Q46" s="20">
        <f t="shared" si="25"/>
        <v>0.9697145061728395</v>
      </c>
      <c r="R46" s="41">
        <f t="shared" si="26"/>
        <v>89.218022677541271</v>
      </c>
      <c r="S46" s="65">
        <v>764</v>
      </c>
      <c r="T46" s="65">
        <v>993</v>
      </c>
      <c r="U46" s="65">
        <f t="shared" si="27"/>
        <v>1757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63">
        <v>100000</v>
      </c>
      <c r="G47" s="64">
        <v>103705</v>
      </c>
      <c r="H47" s="64"/>
      <c r="I47" s="65">
        <v>1383</v>
      </c>
      <c r="J47" s="63">
        <v>0</v>
      </c>
      <c r="K47" s="64">
        <v>0</v>
      </c>
      <c r="L47" s="65">
        <v>22</v>
      </c>
      <c r="M47" s="67">
        <f t="shared" si="22"/>
        <v>100000</v>
      </c>
      <c r="N47" s="67">
        <f t="shared" si="23"/>
        <v>103705</v>
      </c>
      <c r="O47" s="65">
        <f t="shared" si="24"/>
        <v>1405</v>
      </c>
      <c r="P47" s="66">
        <v>1575</v>
      </c>
      <c r="Q47" s="20">
        <f t="shared" si="25"/>
        <v>0.89206349206349211</v>
      </c>
      <c r="R47" s="41">
        <f t="shared" si="26"/>
        <v>73.811387900355868</v>
      </c>
      <c r="S47" s="65">
        <v>168</v>
      </c>
      <c r="T47" s="65">
        <v>441</v>
      </c>
      <c r="U47" s="65">
        <f t="shared" si="27"/>
        <v>609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 t="s">
        <v>138</v>
      </c>
      <c r="F48" s="63">
        <v>150000</v>
      </c>
      <c r="G48" s="64">
        <v>207240</v>
      </c>
      <c r="H48" s="64"/>
      <c r="I48" s="65">
        <v>2434</v>
      </c>
      <c r="J48" s="63"/>
      <c r="K48" s="64"/>
      <c r="L48" s="65"/>
      <c r="M48" s="67"/>
      <c r="N48" s="67">
        <v>207240</v>
      </c>
      <c r="O48" s="65">
        <v>2434</v>
      </c>
      <c r="P48" s="66">
        <v>2468</v>
      </c>
      <c r="Q48" s="20">
        <v>0.99</v>
      </c>
      <c r="R48" s="80">
        <v>85.14</v>
      </c>
      <c r="S48" s="65">
        <v>742</v>
      </c>
      <c r="T48" s="65">
        <v>257</v>
      </c>
      <c r="U48" s="65">
        <f t="shared" si="27"/>
        <v>999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375923</v>
      </c>
      <c r="H49" s="33"/>
      <c r="I49" s="25">
        <v>1593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375923</v>
      </c>
      <c r="O49" s="25">
        <f t="shared" si="24"/>
        <v>1593</v>
      </c>
      <c r="P49" s="42">
        <v>1575</v>
      </c>
      <c r="Q49" s="21">
        <f t="shared" si="25"/>
        <v>1.0114285714285713</v>
      </c>
      <c r="R49" s="10">
        <f t="shared" si="26"/>
        <v>235.98430634023853</v>
      </c>
      <c r="S49" s="25">
        <v>72</v>
      </c>
      <c r="T49" s="25">
        <v>712</v>
      </c>
      <c r="U49" s="25">
        <f t="shared" si="27"/>
        <v>784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2802921</v>
      </c>
      <c r="H50" s="39">
        <v>219921</v>
      </c>
      <c r="I50" s="27">
        <f t="shared" si="28"/>
        <v>35209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2813869</v>
      </c>
      <c r="O50" s="27">
        <f t="shared" si="28"/>
        <v>35530</v>
      </c>
      <c r="P50" s="43">
        <f t="shared" si="28"/>
        <v>37961</v>
      </c>
      <c r="Q50" s="28">
        <f>O50/P50</f>
        <v>0.93596059113300489</v>
      </c>
      <c r="R50" s="31">
        <f t="shared" si="26"/>
        <v>79.196988460455955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4946593</v>
      </c>
      <c r="H51" s="39">
        <v>590593</v>
      </c>
      <c r="I51" s="27">
        <f>SUM(I20,I28,I35,I50)</f>
        <v>70929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41564</v>
      </c>
      <c r="M51" s="35">
        <f>SUM(M20,M28,M35,M50)</f>
        <v>6644000</v>
      </c>
      <c r="N51" s="39">
        <f t="shared" ref="N51" si="32">SUM(N20,N28,N35,N50)</f>
        <v>7285720</v>
      </c>
      <c r="O51" s="27">
        <f>SUM(O20,O28,O35,O50)</f>
        <v>112493</v>
      </c>
      <c r="P51" s="43">
        <f>SUM(P20,P28,P35,P50)</f>
        <v>139217</v>
      </c>
      <c r="Q51" s="28">
        <f>O51/P51</f>
        <v>0.80804068468649659</v>
      </c>
      <c r="R51" s="31">
        <f t="shared" si="26"/>
        <v>64.765985439093981</v>
      </c>
      <c r="S51" s="43">
        <f>SUM(S20,S28,S35,S50)</f>
        <v>10045</v>
      </c>
      <c r="T51" s="43">
        <f t="shared" ref="T51:U51" si="33">SUM(T20,T28,T35,T50)</f>
        <v>38409</v>
      </c>
      <c r="U51" s="43">
        <f t="shared" si="33"/>
        <v>48454</v>
      </c>
    </row>
    <row r="52" spans="1:21" ht="12.75" customHeight="1" x14ac:dyDescent="0.2">
      <c r="A52" s="71"/>
      <c r="B52" s="71"/>
      <c r="C52" s="71"/>
      <c r="D52" s="71"/>
      <c r="E52" s="71"/>
      <c r="F52" s="71"/>
      <c r="G52" s="71"/>
      <c r="T52" s="6"/>
    </row>
    <row r="53" spans="1:21" ht="15.75" x14ac:dyDescent="0.25">
      <c r="A53" s="73" t="s">
        <v>139</v>
      </c>
      <c r="B53" s="71"/>
      <c r="C53" s="71"/>
      <c r="D53" s="71"/>
      <c r="E53" s="71"/>
      <c r="F53" s="71"/>
      <c r="G53" s="71"/>
    </row>
    <row r="54" spans="1:21" x14ac:dyDescent="0.2">
      <c r="A54" s="16"/>
    </row>
    <row r="55" spans="1:21" x14ac:dyDescent="0.2">
      <c r="A55" s="71"/>
      <c r="B55" s="71"/>
      <c r="C55" s="71"/>
      <c r="D55" s="71"/>
      <c r="E55" s="71"/>
      <c r="F55" s="71"/>
      <c r="G55" s="71"/>
    </row>
    <row r="56" spans="1:21" x14ac:dyDescent="0.2">
      <c r="A56" s="72"/>
      <c r="B56" s="71"/>
      <c r="C56" s="71"/>
      <c r="D56" s="71"/>
      <c r="E56" s="71"/>
      <c r="F56" s="71"/>
      <c r="G56" s="71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2024-06-17T14:11:38Z</dcterms:modified>
</cp:coreProperties>
</file>