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284" documentId="13_ncr:1_{724D712D-B0A7-4318-B18A-D997F46391E7}" xr6:coauthVersionLast="47" xr6:coauthVersionMax="47" xr10:uidLastSave="{07DD6772-D679-44EF-8AD9-BA5ED046791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<sst xmlns="http://schemas.openxmlformats.org/spreadsheetml/2006/main" count="161" uniqueCount="137">
  <si>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</si>
  <si>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</si>
  <si>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</si>
  <si>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</si>
  <si>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</si>
  <si>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</si>
  <si>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</si>
  <si>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</si>
  <si>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</si>
  <si>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</si>
  <si>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</si>
  <si>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</si>
  <si>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</si>
  <si>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</si>
  <si>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</si>
  <si>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</si>
  <si>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</si>
  <si>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</si>
  <si>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</si>
  <si>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</si>
  <si>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</si>
  <si>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</si>
  <si>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</si>
  <si>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</si>
  <si>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</si>
  <si>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</si>
  <si>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</si>
  <si>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</si>
  <si>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</si>
  <si>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</si>
  <si>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</si>
  <si>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</si>
  <si>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</si>
  <si>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</si>
  <si>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</si>
  <si>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</si>
  <si>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</si>
  <si>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</si>
  <si>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</si>
  <si>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</si>
  <si>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</si>
  <si>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</si>
  <si>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</si>
  <si>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</si>
  <si>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</si>
  <si>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</si>
  <si>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</si>
  <si>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</si>
  <si>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</si>
  <si>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</si>
  <si>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</si>
  <si>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</si>
  <si>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</si>
  <si>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</si>
  <si>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</si>
  <si>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</si>
  <si>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</si>
  <si>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</si>
  <si>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</si>
  <si>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</si>
  <si>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</si>
  <si>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</si>
  <si>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</si>
  <si>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</si>
  <si>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</si>
  <si>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</si>
  <si>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</si>
  <si>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</si>
  <si>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</si>
  <si>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</si>
  <si>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</si>
  <si>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</si>
  <si>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</si>
  <si>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</si>
  <si>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</si>
  <si>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</si>
  <si>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</si>
  <si>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</si>
  <si>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</si>
  <si>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</si>
  <si>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</si>
  <si>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</si>
  <si>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</si>
  <si>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</si>
  <si>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</si>
  <si>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</si>
  <si>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</si>
  <si>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</si>
  <si>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</si>
  <si>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</si>
  <si>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</si>
  <si>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</si>
  <si>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</si>
  <si>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</si>
  <si>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</si>
  <si>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</si>
  <si>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</si>
  <si>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</si>
  <si>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</si>
  <si>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</si>
  <si>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</si>
  <si>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</si>
  <si>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</si>
  <si>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</si>
  <si>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</si>
  <si>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</si>
  <si>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</si>
  <si>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</si>
  <si>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</si>
  <si>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</si>
  <si>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</si>
  <si>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</si>
  <si>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</si>
  <si>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</si>
  <si>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</si>
  <si>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</si>
  <si>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</si>
  <si>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</si>
  <si>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</si>
  <si>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</si>
  <si>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</si>
  <si>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</si>
  <si>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</si>
  <si>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</si>
  <si>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</si>
  <si>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</si>
  <si>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</si>
  <si>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</si>
  <si>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</si>
  <si>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</si>
  <si>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</si>
  <si>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</si>
  <si>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</si>
  <si>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</si>
  <si>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</si>
  <si>
    <t xml:space="preserve"> </t>
  </si>
  <si>
    <t>Beethoven's Fifth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</si>
</sst>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Border="1"/>
    <xf numFmtId="9" fontId="0" fillId="0" borderId="0" xfId="0" applyNumberForma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2"/>
  <sheetViews>
    <sheetView showGridLines="0" tabSelected="1" topLeftCell="A6" workbookViewId="0">
      <selection activeCell="W37" sqref="W37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113</v>
      </c>
      <c r="F1" s="14"/>
      <c r="G1" s="14"/>
      <c r="H1" s="14"/>
      <c r="Q1" s="15" t="s">
        <v>131</v>
      </c>
      <c r="R1" s="79">
        <v>45327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114</v>
      </c>
      <c r="G3" s="85"/>
      <c r="H3" s="85"/>
      <c r="I3" s="85"/>
      <c r="J3" s="86" t="s">
        <v>115</v>
      </c>
      <c r="K3" s="86"/>
      <c r="L3" s="86"/>
      <c r="M3" s="87" t="s">
        <v>116</v>
      </c>
      <c r="N3" s="87"/>
      <c r="O3" s="87"/>
      <c r="P3" s="89" t="s">
        <v>121</v>
      </c>
      <c r="Q3" s="89"/>
      <c r="R3" s="89"/>
      <c r="S3" s="88" t="s">
        <v>127</v>
      </c>
      <c r="T3" s="88"/>
    </row>
    <row r="4" spans="1:20" x14ac:dyDescent="0.2">
      <c r="E4" s="16"/>
      <c r="P4" s="19" t="s">
        <v>122</v>
      </c>
      <c r="Q4" s="19" t="s">
        <v>35</v>
      </c>
      <c r="R4" s="19" t="s">
        <v>117</v>
      </c>
      <c r="S4" s="19" t="s">
        <v>118</v>
      </c>
      <c r="T4" s="19" t="s">
        <v>118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129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123</v>
      </c>
      <c r="Q5" s="8" t="s">
        <v>33</v>
      </c>
      <c r="R5" s="8" t="s">
        <v>34</v>
      </c>
      <c r="S5" s="8" t="s">
        <v>119</v>
      </c>
      <c r="T5" s="8" t="s">
        <v>120</v>
      </c>
    </row>
    <row r="6" spans="1:20" x14ac:dyDescent="0.2">
      <c r="A6" t="s">
        <v>10</v>
      </c>
      <c r="B6" t="s">
        <v>107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108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109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125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t="s">
        <v>14</v>
      </c>
      <c r="B10" t="s">
        <v>42</v>
      </c>
      <c r="D10" t="s">
        <v>43</v>
      </c>
      <c r="E10" t="s">
        <v>25</v>
      </c>
      <c r="F10" s="74">
        <v>55000</v>
      </c>
      <c r="G10" s="75">
        <v>68614</v>
      </c>
      <c r="H10" s="75"/>
      <c r="I10" s="76">
        <v>1164</v>
      </c>
      <c r="J10" s="74">
        <v>125217</v>
      </c>
      <c r="K10" s="75">
        <v>121113</v>
      </c>
      <c r="L10" s="76">
        <v>2088</v>
      </c>
      <c r="M10" s="74">
        <f t="shared" si="0"/>
        <v>180217</v>
      </c>
      <c r="N10" s="75">
        <f t="shared" si="1"/>
        <v>189727</v>
      </c>
      <c r="O10" s="76">
        <f t="shared" si="2"/>
        <v>3252</v>
      </c>
      <c r="P10" s="77">
        <v>4725</v>
      </c>
      <c r="Q10" s="20">
        <f t="shared" si="4"/>
        <v>0.68825396825396823</v>
      </c>
      <c r="R10" s="41">
        <f t="shared" si="3"/>
        <v>58.341635916359166</v>
      </c>
      <c r="S10" s="25"/>
      <c r="T10" s="25"/>
    </row>
    <row r="11" spans="1:20" x14ac:dyDescent="0.2">
      <c r="A11" s="90" t="s">
        <v>15</v>
      </c>
      <c r="B11" s="90" t="s">
        <v>134</v>
      </c>
      <c r="C11" s="90"/>
      <c r="D11" s="90" t="s">
        <v>44</v>
      </c>
      <c r="E11" s="90" t="s">
        <v>99</v>
      </c>
      <c r="F11" s="74">
        <v>40000</v>
      </c>
      <c r="G11" s="75">
        <v>49430</v>
      </c>
      <c r="H11" s="75"/>
      <c r="I11" s="76">
        <v>976</v>
      </c>
      <c r="J11" s="74">
        <v>125217</v>
      </c>
      <c r="K11" s="75">
        <v>117919</v>
      </c>
      <c r="L11" s="76">
        <v>2117</v>
      </c>
      <c r="M11" s="74">
        <f t="shared" si="0"/>
        <v>165217</v>
      </c>
      <c r="N11" s="75">
        <f t="shared" si="1"/>
        <v>167349</v>
      </c>
      <c r="O11" s="76">
        <f t="shared" si="2"/>
        <v>3093</v>
      </c>
      <c r="P11" s="77">
        <v>4725</v>
      </c>
      <c r="Q11" s="91">
        <f t="shared" si="4"/>
        <v>0.65460317460317463</v>
      </c>
      <c r="R11" s="41">
        <f t="shared" si="3"/>
        <v>54.105722599418044</v>
      </c>
      <c r="S11" s="25"/>
      <c r="T11" s="25"/>
    </row>
    <row r="12" spans="1:20" x14ac:dyDescent="0.2">
      <c r="A12" s="48" t="s">
        <v>16</v>
      </c>
      <c r="B12" s="48" t="s">
        <v>136</v>
      </c>
      <c r="C12" s="48"/>
      <c r="D12" s="48" t="s">
        <v>45</v>
      </c>
      <c r="E12" s="55" t="s">
        <v>25</v>
      </c>
      <c r="F12" s="49">
        <v>40000</v>
      </c>
      <c r="G12" s="50">
        <v>55051</v>
      </c>
      <c r="H12" s="50"/>
      <c r="I12" s="51">
        <v>1310</v>
      </c>
      <c r="J12" s="49">
        <v>125217</v>
      </c>
      <c r="K12" s="50">
        <v>124777</v>
      </c>
      <c r="L12" s="51">
        <v>2208</v>
      </c>
      <c r="M12" s="49">
        <f t="shared" si="0"/>
        <v>165217</v>
      </c>
      <c r="N12" s="50">
        <f t="shared" si="1"/>
        <v>179828</v>
      </c>
      <c r="O12" s="51">
        <f t="shared" si="2"/>
        <v>3518</v>
      </c>
      <c r="P12" s="52">
        <v>4725</v>
      </c>
      <c r="Q12" s="73">
        <f t="shared" si="4"/>
        <v>0.74455026455026452</v>
      </c>
      <c r="R12" s="54">
        <f t="shared" si="3"/>
        <v>51.116543490619669</v>
      </c>
      <c r="S12" s="25"/>
      <c r="T12" s="25"/>
    </row>
    <row r="13" spans="1:20" x14ac:dyDescent="0.2">
      <c r="A13" t="s">
        <v>17</v>
      </c>
      <c r="B13" t="s">
        <v>96</v>
      </c>
      <c r="D13" s="16" t="s">
        <v>46</v>
      </c>
      <c r="E13" s="16" t="s">
        <v>100</v>
      </c>
      <c r="F13" s="32">
        <v>40000</v>
      </c>
      <c r="G13" s="33">
        <v>26426</v>
      </c>
      <c r="H13" s="33"/>
      <c r="I13" s="25">
        <v>563</v>
      </c>
      <c r="J13" s="32">
        <v>125217</v>
      </c>
      <c r="K13" s="33">
        <v>121372</v>
      </c>
      <c r="L13" s="25">
        <v>2128</v>
      </c>
      <c r="M13" s="32">
        <f t="shared" si="0"/>
        <v>165217</v>
      </c>
      <c r="N13" s="33">
        <f t="shared" si="1"/>
        <v>147798</v>
      </c>
      <c r="O13" s="25">
        <f t="shared" si="2"/>
        <v>2691</v>
      </c>
      <c r="P13" s="42">
        <v>4725</v>
      </c>
      <c r="Q13" s="20">
        <f t="shared" si="4"/>
        <v>0.56952380952380954</v>
      </c>
      <c r="R13" s="29">
        <f t="shared" si="3"/>
        <v>54.92307692307692</v>
      </c>
      <c r="S13" s="25"/>
      <c r="T13" s="25"/>
    </row>
    <row r="14" spans="1:20" x14ac:dyDescent="0.2">
      <c r="A14" t="s">
        <v>18</v>
      </c>
      <c r="B14" t="s">
        <v>101</v>
      </c>
      <c r="D14" s="16" t="s">
        <v>47</v>
      </c>
      <c r="E14" t="s">
        <v>102</v>
      </c>
      <c r="F14" s="32">
        <v>40000</v>
      </c>
      <c r="G14" s="33">
        <v>11760</v>
      </c>
      <c r="H14" s="33"/>
      <c r="I14" s="25">
        <v>212</v>
      </c>
      <c r="J14" s="32">
        <v>125217</v>
      </c>
      <c r="K14" s="33">
        <v>121254</v>
      </c>
      <c r="L14" s="25">
        <v>2135</v>
      </c>
      <c r="M14" s="32">
        <f t="shared" si="0"/>
        <v>165217</v>
      </c>
      <c r="N14" s="33">
        <f t="shared" si="1"/>
        <v>133014</v>
      </c>
      <c r="O14" s="25">
        <f t="shared" si="2"/>
        <v>2347</v>
      </c>
      <c r="P14" s="42">
        <v>4725</v>
      </c>
      <c r="Q14" s="20">
        <f t="shared" si="4"/>
        <v>0.49671957671957673</v>
      </c>
      <c r="R14" s="29">
        <f t="shared" si="3"/>
        <v>56.67405198125266</v>
      </c>
      <c r="S14" s="25"/>
      <c r="T14" s="25"/>
    </row>
    <row r="15" spans="1:20" x14ac:dyDescent="0.2">
      <c r="A15" t="s">
        <v>19</v>
      </c>
      <c r="B15" s="16" t="s">
        <v>103</v>
      </c>
      <c r="D15" s="16" t="s">
        <v>48</v>
      </c>
      <c r="E15" s="16" t="s">
        <v>25</v>
      </c>
      <c r="F15" s="32">
        <v>35000</v>
      </c>
      <c r="G15" s="33">
        <v>16472</v>
      </c>
      <c r="H15" s="33"/>
      <c r="I15" s="25">
        <v>259</v>
      </c>
      <c r="J15" s="32">
        <v>125217</v>
      </c>
      <c r="K15" s="33">
        <v>117351</v>
      </c>
      <c r="L15" s="25">
        <v>2074</v>
      </c>
      <c r="M15" s="32">
        <f t="shared" si="0"/>
        <v>160217</v>
      </c>
      <c r="N15" s="33">
        <f t="shared" si="1"/>
        <v>133823</v>
      </c>
      <c r="O15" s="25">
        <f t="shared" si="2"/>
        <v>2333</v>
      </c>
      <c r="P15" s="42">
        <v>4725</v>
      </c>
      <c r="Q15" s="20">
        <f t="shared" si="4"/>
        <v>0.49375661375661378</v>
      </c>
      <c r="R15" s="29">
        <f t="shared" si="3"/>
        <v>57.360908701243034</v>
      </c>
      <c r="S15" s="25"/>
      <c r="T15" s="25"/>
    </row>
    <row r="16" spans="1:20" x14ac:dyDescent="0.2">
      <c r="A16" t="s">
        <v>20</v>
      </c>
      <c r="B16" s="16" t="s">
        <v>104</v>
      </c>
      <c r="D16" s="16" t="s">
        <v>49</v>
      </c>
      <c r="E16" s="16" t="s">
        <v>25</v>
      </c>
      <c r="F16" s="32">
        <v>45000</v>
      </c>
      <c r="G16" s="33">
        <v>11855</v>
      </c>
      <c r="H16" s="33"/>
      <c r="I16" s="25">
        <v>203</v>
      </c>
      <c r="J16" s="32">
        <v>125217</v>
      </c>
      <c r="K16" s="33">
        <v>125859</v>
      </c>
      <c r="L16" s="25">
        <v>2215</v>
      </c>
      <c r="M16" s="32">
        <f t="shared" si="0"/>
        <v>170217</v>
      </c>
      <c r="N16" s="33">
        <f t="shared" si="1"/>
        <v>137714</v>
      </c>
      <c r="O16" s="25">
        <f t="shared" si="2"/>
        <v>2418</v>
      </c>
      <c r="P16" s="42">
        <v>4725</v>
      </c>
      <c r="Q16" s="20">
        <f t="shared" si="4"/>
        <v>0.51174603174603173</v>
      </c>
      <c r="R16" s="29">
        <f t="shared" si="3"/>
        <v>56.953680727874278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25750</v>
      </c>
      <c r="H17" s="33"/>
      <c r="I17" s="25">
        <v>416</v>
      </c>
      <c r="J17" s="32">
        <v>125217</v>
      </c>
      <c r="K17" s="33">
        <v>120228</v>
      </c>
      <c r="L17" s="25">
        <v>2087</v>
      </c>
      <c r="M17" s="32">
        <f t="shared" si="0"/>
        <v>180217</v>
      </c>
      <c r="N17" s="33">
        <f t="shared" si="1"/>
        <v>145978</v>
      </c>
      <c r="O17" s="25">
        <f t="shared" si="2"/>
        <v>2503</v>
      </c>
      <c r="P17" s="42">
        <v>4725</v>
      </c>
      <c r="Q17" s="20">
        <f t="shared" si="4"/>
        <v>0.52973544973544973</v>
      </c>
      <c r="R17" s="29">
        <f t="shared" si="3"/>
        <v>58.321214542548944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20268</v>
      </c>
      <c r="H18" s="33"/>
      <c r="I18" s="25">
        <v>334</v>
      </c>
      <c r="J18" s="32">
        <v>125217</v>
      </c>
      <c r="K18" s="33">
        <v>121815</v>
      </c>
      <c r="L18" s="25">
        <v>2136</v>
      </c>
      <c r="M18" s="32">
        <f t="shared" si="0"/>
        <v>163217</v>
      </c>
      <c r="N18" s="33">
        <f t="shared" si="1"/>
        <v>142083</v>
      </c>
      <c r="O18" s="25">
        <f t="shared" si="2"/>
        <v>2470</v>
      </c>
      <c r="P18" s="42">
        <v>4254</v>
      </c>
      <c r="Q18" s="20">
        <f t="shared" si="4"/>
        <v>0.58062999529854253</v>
      </c>
      <c r="R18" s="29">
        <f t="shared" si="3"/>
        <v>57.523481781376518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25227</v>
      </c>
      <c r="H19" s="34"/>
      <c r="I19" s="26">
        <v>378</v>
      </c>
      <c r="J19" s="32">
        <v>125217</v>
      </c>
      <c r="K19" s="34">
        <v>122934</v>
      </c>
      <c r="L19" s="26">
        <v>2126</v>
      </c>
      <c r="M19" s="32">
        <f t="shared" si="0"/>
        <v>192217</v>
      </c>
      <c r="N19" s="34">
        <f t="shared" si="1"/>
        <v>148161</v>
      </c>
      <c r="O19" s="26">
        <f t="shared" si="2"/>
        <v>2504</v>
      </c>
      <c r="P19" s="45">
        <v>4725</v>
      </c>
      <c r="Q19" s="21">
        <f t="shared" si="4"/>
        <v>0.52994708994708994</v>
      </c>
      <c r="R19" s="30">
        <f t="shared" si="3"/>
        <v>59.16972843450479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" si="5">SUM(G6:G19)</f>
        <v>465423</v>
      </c>
      <c r="H20" s="83">
        <v>150577</v>
      </c>
      <c r="I20" s="23">
        <v>8831</v>
      </c>
      <c r="J20" s="35">
        <f>SUM(J6:J19)</f>
        <v>1753000</v>
      </c>
      <c r="K20" s="35">
        <f t="shared" ref="K20" si="6">SUM(K6:K19)</f>
        <v>1687116</v>
      </c>
      <c r="L20" s="23">
        <f t="shared" ref="L20" si="7">SUM(L6:L19)</f>
        <v>29575</v>
      </c>
      <c r="M20" s="35">
        <f>SUM(M6:M19)</f>
        <v>2369000</v>
      </c>
      <c r="N20" s="35">
        <f t="shared" ref="N20" si="8">SUM(N6:N19)</f>
        <v>2152539</v>
      </c>
      <c r="O20" s="23">
        <f t="shared" ref="O20" si="9">SUM(O6:O19)</f>
        <v>38865</v>
      </c>
      <c r="P20" s="43">
        <f>SUM(P6:P19)</f>
        <v>65208</v>
      </c>
      <c r="Q20" s="28">
        <f>O20/P20</f>
        <v>0.5960158262789842</v>
      </c>
      <c r="R20" s="24">
        <f t="shared" si="3"/>
        <v>55.385025086839057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110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68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102120</v>
      </c>
      <c r="H26" s="33"/>
      <c r="I26" s="25">
        <v>1398</v>
      </c>
      <c r="J26" s="32">
        <v>128000</v>
      </c>
      <c r="K26" s="46">
        <v>120297</v>
      </c>
      <c r="L26" s="25">
        <v>1863</v>
      </c>
      <c r="M26" s="40">
        <f t="shared" si="10"/>
        <v>253000</v>
      </c>
      <c r="N26" s="40">
        <f t="shared" si="10"/>
        <v>222417</v>
      </c>
      <c r="O26" s="25">
        <f>I26+L26</f>
        <v>3261</v>
      </c>
      <c r="P26" s="42">
        <v>4707</v>
      </c>
      <c r="Q26" s="20">
        <f t="shared" si="11"/>
        <v>0.69279796048438491</v>
      </c>
      <c r="R26" s="29">
        <f t="shared" si="12"/>
        <v>68.205151793928238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26227</v>
      </c>
      <c r="H27" s="75"/>
      <c r="I27" s="25">
        <v>353</v>
      </c>
      <c r="J27" s="32">
        <v>128000</v>
      </c>
      <c r="K27" s="47">
        <v>119935</v>
      </c>
      <c r="L27" s="25">
        <v>1881</v>
      </c>
      <c r="M27" s="40">
        <f t="shared" si="10"/>
        <v>253000</v>
      </c>
      <c r="N27" s="40">
        <f t="shared" si="10"/>
        <v>146162</v>
      </c>
      <c r="O27" s="25">
        <f>I27+L27</f>
        <v>2234</v>
      </c>
      <c r="P27" s="42">
        <v>4707</v>
      </c>
      <c r="Q27" s="21">
        <f t="shared" si="11"/>
        <v>0.47461227958359892</v>
      </c>
      <c r="R27" s="10">
        <f t="shared" si="12"/>
        <v>65.426141450313338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588827</v>
      </c>
      <c r="H28" s="84">
        <v>131173</v>
      </c>
      <c r="I28" s="27">
        <f t="shared" si="13"/>
        <v>7095</v>
      </c>
      <c r="J28" s="35">
        <f t="shared" si="13"/>
        <v>640000</v>
      </c>
      <c r="K28" s="39">
        <f t="shared" si="13"/>
        <v>593393</v>
      </c>
      <c r="L28" s="27">
        <f t="shared" si="13"/>
        <v>9198</v>
      </c>
      <c r="M28" s="35">
        <f t="shared" si="13"/>
        <v>1360000</v>
      </c>
      <c r="N28" s="39">
        <f t="shared" si="13"/>
        <v>1182220</v>
      </c>
      <c r="O28" s="27">
        <f t="shared" si="13"/>
        <v>16293</v>
      </c>
      <c r="P28" s="43">
        <f t="shared" si="13"/>
        <v>23535</v>
      </c>
      <c r="Q28" s="28">
        <f>O28/P28</f>
        <v>0.6922880815806246</v>
      </c>
      <c r="R28" s="31">
        <f t="shared" si="12"/>
        <v>72.559995089915915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124</v>
      </c>
      <c r="B31" s="16"/>
      <c r="C31" s="16"/>
      <c r="D31" s="16" t="s">
        <v>67</v>
      </c>
      <c r="E31" s="16" t="s">
        <v>126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128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3" x14ac:dyDescent="0.2">
      <c r="A33" s="16" t="s">
        <v>69</v>
      </c>
      <c r="D33" s="22" t="s">
        <v>70</v>
      </c>
      <c r="E33" s="16" t="s">
        <v>110</v>
      </c>
      <c r="F33" s="32">
        <v>9000</v>
      </c>
      <c r="G33" s="33">
        <v>31830</v>
      </c>
      <c r="H33" s="33"/>
      <c r="I33" s="25">
        <v>648</v>
      </c>
      <c r="J33" s="32">
        <v>11250</v>
      </c>
      <c r="K33" s="33">
        <v>11204</v>
      </c>
      <c r="L33" s="25">
        <v>598</v>
      </c>
      <c r="M33" s="40">
        <f t="shared" si="15"/>
        <v>20250</v>
      </c>
      <c r="N33" s="40">
        <f t="shared" si="15"/>
        <v>43034</v>
      </c>
      <c r="O33" s="25">
        <f>I33+L33</f>
        <v>1246</v>
      </c>
      <c r="P33" s="42">
        <v>1308</v>
      </c>
      <c r="Q33" s="20">
        <f t="shared" si="16"/>
        <v>0.95259938837920488</v>
      </c>
      <c r="R33" s="29">
        <f>N33/O33</f>
        <v>34.537720706260032</v>
      </c>
      <c r="S33" s="25"/>
      <c r="T33" s="25"/>
    </row>
    <row r="34" spans="1:23" ht="13.5" thickBot="1" x14ac:dyDescent="0.25">
      <c r="A34" s="16" t="s">
        <v>71</v>
      </c>
      <c r="D34" s="22" t="s">
        <v>72</v>
      </c>
      <c r="E34" t="s">
        <v>128</v>
      </c>
      <c r="F34" s="32">
        <v>9000</v>
      </c>
      <c r="G34" s="33">
        <v>8831</v>
      </c>
      <c r="H34" s="33"/>
      <c r="I34" s="25">
        <v>162</v>
      </c>
      <c r="J34" s="32">
        <v>11250</v>
      </c>
      <c r="K34" s="33">
        <v>11100</v>
      </c>
      <c r="L34" s="25">
        <v>554</v>
      </c>
      <c r="M34" s="40">
        <f t="shared" si="15"/>
        <v>20250</v>
      </c>
      <c r="N34" s="40">
        <f t="shared" si="15"/>
        <v>19931</v>
      </c>
      <c r="O34" s="25">
        <f>I34+L34</f>
        <v>716</v>
      </c>
      <c r="P34" s="42">
        <v>1575</v>
      </c>
      <c r="Q34" s="21">
        <f t="shared" si="16"/>
        <v>0.45460317460317462</v>
      </c>
      <c r="R34" s="10">
        <f>N34/O34</f>
        <v>27.83659217877095</v>
      </c>
      <c r="S34" s="25"/>
      <c r="T34" s="25"/>
    </row>
    <row r="35" spans="1:23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504334</v>
      </c>
      <c r="H35" s="39">
        <v>67334</v>
      </c>
      <c r="I35" s="27">
        <f t="shared" si="17"/>
        <v>8274</v>
      </c>
      <c r="J35" s="35">
        <f t="shared" si="17"/>
        <v>45000</v>
      </c>
      <c r="K35" s="39">
        <f t="shared" si="17"/>
        <v>45100</v>
      </c>
      <c r="L35" s="27">
        <f t="shared" si="17"/>
        <v>2248</v>
      </c>
      <c r="M35" s="35">
        <f t="shared" si="17"/>
        <v>482000</v>
      </c>
      <c r="N35" s="39">
        <f t="shared" si="17"/>
        <v>549434</v>
      </c>
      <c r="O35" s="27">
        <f t="shared" si="17"/>
        <v>10522</v>
      </c>
      <c r="P35" s="43">
        <f t="shared" si="17"/>
        <v>12966</v>
      </c>
      <c r="Q35" s="28">
        <f>O35/P35</f>
        <v>0.81150701835569949</v>
      </c>
      <c r="R35" s="31">
        <f>N35/O35</f>
        <v>52.217639232085155</v>
      </c>
      <c r="S35" s="43">
        <f>SUM(S31:S34)</f>
        <v>0</v>
      </c>
      <c r="T35" s="43">
        <f t="shared" ref="T35" si="18">SUM(T31:T34)</f>
        <v>0</v>
      </c>
    </row>
    <row r="36" spans="1:23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3" ht="13.5" customHeight="1" x14ac:dyDescent="0.2">
      <c r="A37" s="16" t="s">
        <v>90</v>
      </c>
      <c r="B37" s="13"/>
      <c r="C37" s="13"/>
      <c r="D37" s="16" t="s">
        <v>77</v>
      </c>
      <c r="E37" s="16" t="s">
        <v>106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3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3" ht="13.5" customHeight="1" x14ac:dyDescent="0.2">
      <c r="A39" s="16" t="s">
        <v>81</v>
      </c>
      <c r="B39" s="16"/>
      <c r="C39" s="16"/>
      <c r="D39" s="18" t="s">
        <v>82</v>
      </c>
      <c r="E39" s="16" t="s">
        <v>111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3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  <c r="W40" s="16" t="s">
        <v>135</v>
      </c>
    </row>
    <row r="41" spans="1:23" ht="13.5" customHeight="1" x14ac:dyDescent="0.2">
      <c r="A41" s="16" t="s">
        <v>28</v>
      </c>
      <c r="B41" s="13"/>
      <c r="C41" s="13"/>
      <c r="D41" s="18" t="s">
        <v>73</v>
      </c>
      <c r="E41" s="16" t="s">
        <v>130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3" ht="13.5" customHeight="1" x14ac:dyDescent="0.2">
      <c r="A42" s="16" t="s">
        <v>74</v>
      </c>
      <c r="B42" s="13"/>
      <c r="C42" s="13"/>
      <c r="D42" s="18" t="s">
        <v>75</v>
      </c>
      <c r="E42" s="16" t="s">
        <v>111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3" ht="12.75" customHeight="1" x14ac:dyDescent="0.2">
      <c r="A43" s="55" t="s">
        <v>76</v>
      </c>
      <c r="B43" s="71"/>
      <c r="C43" s="71"/>
      <c r="D43" s="55" t="s">
        <v>112</v>
      </c>
      <c r="E43" s="55" t="s">
        <v>105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3" ht="12.75" customHeight="1" x14ac:dyDescent="0.2">
      <c r="A44" s="16" t="s">
        <v>86</v>
      </c>
      <c r="B44" s="13"/>
      <c r="C44" s="13"/>
      <c r="D44" s="16" t="s">
        <v>87</v>
      </c>
      <c r="E44" s="16" t="s">
        <v>110</v>
      </c>
      <c r="F44" s="32">
        <v>232000</v>
      </c>
      <c r="G44" s="33">
        <v>170021</v>
      </c>
      <c r="H44" s="33"/>
      <c r="I44" s="25">
        <v>2654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171286</v>
      </c>
      <c r="O44" s="25">
        <f t="shared" si="21"/>
        <v>2684</v>
      </c>
      <c r="P44" s="42">
        <v>3888</v>
      </c>
      <c r="Q44" s="20">
        <f t="shared" si="22"/>
        <v>0.69032921810699588</v>
      </c>
      <c r="R44" s="29">
        <f t="shared" si="23"/>
        <v>63.817436661698956</v>
      </c>
      <c r="S44" s="25"/>
      <c r="T44" s="25"/>
    </row>
    <row r="45" spans="1:23" ht="12.75" customHeight="1" x14ac:dyDescent="0.2">
      <c r="A45" s="16" t="s">
        <v>88</v>
      </c>
      <c r="B45" s="13"/>
      <c r="C45" s="13"/>
      <c r="D45" s="18" t="s">
        <v>89</v>
      </c>
      <c r="E45" s="16" t="s">
        <v>128</v>
      </c>
      <c r="F45" s="32">
        <v>92000</v>
      </c>
      <c r="G45" s="33">
        <v>16108</v>
      </c>
      <c r="H45" s="33"/>
      <c r="I45" s="25">
        <v>154</v>
      </c>
      <c r="J45" s="32">
        <v>0</v>
      </c>
      <c r="K45" s="33">
        <v>612</v>
      </c>
      <c r="L45" s="25">
        <v>27</v>
      </c>
      <c r="M45" s="40">
        <f t="shared" si="19"/>
        <v>92000</v>
      </c>
      <c r="N45" s="40">
        <f t="shared" si="20"/>
        <v>16720</v>
      </c>
      <c r="O45" s="25">
        <f t="shared" si="21"/>
        <v>181</v>
      </c>
      <c r="P45" s="42">
        <v>1575</v>
      </c>
      <c r="Q45" s="20">
        <f t="shared" si="22"/>
        <v>0.11492063492063492</v>
      </c>
      <c r="R45" s="29">
        <f t="shared" si="23"/>
        <v>92.375690607734811</v>
      </c>
      <c r="S45" s="25"/>
      <c r="T45" s="25"/>
    </row>
    <row r="46" spans="1:23" ht="12.75" customHeight="1" x14ac:dyDescent="0.2">
      <c r="A46" s="16" t="s">
        <v>91</v>
      </c>
      <c r="B46" s="13"/>
      <c r="C46" s="13"/>
      <c r="D46" s="18" t="s">
        <v>92</v>
      </c>
      <c r="E46" s="16" t="s">
        <v>106</v>
      </c>
      <c r="F46" s="32">
        <v>375000</v>
      </c>
      <c r="G46" s="33">
        <v>310848</v>
      </c>
      <c r="H46" s="33"/>
      <c r="I46" s="25">
        <v>3506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312893</v>
      </c>
      <c r="O46" s="25">
        <f t="shared" si="21"/>
        <v>3544</v>
      </c>
      <c r="P46" s="42">
        <v>5184</v>
      </c>
      <c r="Q46" s="20">
        <f t="shared" si="22"/>
        <v>0.68364197530864201</v>
      </c>
      <c r="R46" s="29">
        <f t="shared" si="23"/>
        <v>88.288092550790068</v>
      </c>
      <c r="S46" s="25"/>
      <c r="T46" s="25"/>
    </row>
    <row r="47" spans="1:23" ht="12.75" customHeight="1" x14ac:dyDescent="0.2">
      <c r="A47" s="16" t="s">
        <v>97</v>
      </c>
      <c r="B47" s="13"/>
      <c r="C47" s="13"/>
      <c r="D47" s="18" t="s">
        <v>98</v>
      </c>
      <c r="E47" s="16" t="s">
        <v>105</v>
      </c>
      <c r="F47" s="32">
        <v>100000</v>
      </c>
      <c r="G47" s="33">
        <v>59922</v>
      </c>
      <c r="H47" s="33"/>
      <c r="I47" s="25">
        <v>682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59922</v>
      </c>
      <c r="O47" s="25">
        <f t="shared" si="21"/>
        <v>682</v>
      </c>
      <c r="P47" s="42">
        <v>1575</v>
      </c>
      <c r="Q47" s="20">
        <f t="shared" si="22"/>
        <v>0.43301587301587302</v>
      </c>
      <c r="R47" s="29">
        <f t="shared" si="23"/>
        <v>87.862170087976537</v>
      </c>
      <c r="S47" s="25"/>
      <c r="T47" s="25"/>
    </row>
    <row r="48" spans="1:23" ht="12.75" customHeight="1" x14ac:dyDescent="0.2">
      <c r="A48" s="16" t="s">
        <v>132</v>
      </c>
      <c r="B48" s="13"/>
      <c r="C48" s="13"/>
      <c r="D48" s="18" t="s">
        <v>133</v>
      </c>
      <c r="E48" s="16"/>
      <c r="F48" s="32">
        <v>150000</v>
      </c>
      <c r="G48" s="33">
        <v>167589</v>
      </c>
      <c r="H48" s="33"/>
      <c r="I48" s="25">
        <v>1889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167589</v>
      </c>
      <c r="O48" s="25">
        <f t="shared" si="21"/>
        <v>1889</v>
      </c>
      <c r="P48" s="42">
        <v>2468</v>
      </c>
      <c r="Q48" s="20">
        <v>0.77</v>
      </c>
      <c r="R48" s="29">
        <f t="shared" si="23"/>
        <v>88.718369507676016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128454</v>
      </c>
      <c r="H49" s="33"/>
      <c r="I49" s="25">
        <v>393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128454</v>
      </c>
      <c r="O49" s="25">
        <f t="shared" si="21"/>
        <v>393</v>
      </c>
      <c r="P49" s="42">
        <v>1575</v>
      </c>
      <c r="Q49" s="21">
        <f t="shared" si="22"/>
        <v>0.24952380952380954</v>
      </c>
      <c r="R49" s="10">
        <f t="shared" si="23"/>
        <v>326.85496183206106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2273034</v>
      </c>
      <c r="H50" s="84">
        <v>309966</v>
      </c>
      <c r="I50" s="27">
        <f t="shared" si="24"/>
        <v>30261</v>
      </c>
      <c r="J50" s="35">
        <f t="shared" si="24"/>
        <v>0</v>
      </c>
      <c r="K50" s="39">
        <f t="shared" si="24"/>
        <v>10948</v>
      </c>
      <c r="L50" s="27">
        <f t="shared" si="24"/>
        <v>295</v>
      </c>
      <c r="M50" s="35">
        <f t="shared" si="24"/>
        <v>2583000</v>
      </c>
      <c r="N50" s="39">
        <f t="shared" si="24"/>
        <v>2283982</v>
      </c>
      <c r="O50" s="27">
        <f t="shared" si="24"/>
        <v>30556</v>
      </c>
      <c r="P50" s="43">
        <f t="shared" si="24"/>
        <v>37961</v>
      </c>
      <c r="Q50" s="28">
        <f>O50/P50</f>
        <v>0.80493137693949057</v>
      </c>
      <c r="R50" s="31">
        <f t="shared" si="23"/>
        <v>74.747414583060603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3831618</v>
      </c>
      <c r="H51" s="84">
        <v>524382</v>
      </c>
      <c r="I51" s="27">
        <f>SUM(I20,I28,I35,I50)</f>
        <v>54461</v>
      </c>
      <c r="J51" s="35">
        <f>SUM(J20,J28,J35,J50)</f>
        <v>2438000</v>
      </c>
      <c r="K51" s="39">
        <f t="shared" ref="K51" si="27">SUM(K20,K28,K35,K50)</f>
        <v>2336557</v>
      </c>
      <c r="L51" s="27">
        <f>SUM(L20,L28,L35,L50)</f>
        <v>41316</v>
      </c>
      <c r="M51" s="35">
        <f>SUM(M20,M28,M35,M50)</f>
        <v>6794000</v>
      </c>
      <c r="N51" s="39">
        <f t="shared" ref="N51" si="28">SUM(N20,N28,N35,N50)</f>
        <v>6168175</v>
      </c>
      <c r="O51" s="27">
        <f>SUM(O20,O28,O35,O50)</f>
        <v>96236</v>
      </c>
      <c r="P51" s="43">
        <f>SUM(P20,P28,P35,P50)</f>
        <v>139670</v>
      </c>
      <c r="Q51" s="28">
        <f>O51/P51</f>
        <v>0.6890241283024271</v>
      </c>
      <c r="R51" s="31">
        <f t="shared" si="23"/>
        <v>64.094257866079218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2024-02-05T18:49:54Z</dcterms:modified>
</cp:coreProperties>
</file>