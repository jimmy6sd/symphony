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Dropbox/_KCS/Marketing/Ticket Sales Reports/FY24/"/>
    </mc:Choice>
  </mc:AlternateContent>
  <xr:revisionPtr revIDLastSave="0" documentId="8_{2282B169-C838-074A-BB44-9D94EF22BA71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U48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49" i="1"/>
  <c r="S49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P49" i="1"/>
  <c r="P35" i="1"/>
  <c r="P28" i="1"/>
  <c r="P20" i="1"/>
  <c r="L49" i="1"/>
  <c r="K49" i="1"/>
  <c r="J49" i="1"/>
  <c r="L35" i="1"/>
  <c r="K35" i="1"/>
  <c r="J35" i="1"/>
  <c r="L28" i="1"/>
  <c r="K28" i="1"/>
  <c r="J28" i="1"/>
  <c r="L20" i="1"/>
  <c r="K20" i="1"/>
  <c r="J20" i="1"/>
  <c r="I49" i="1"/>
  <c r="G49" i="1"/>
  <c r="F49" i="1"/>
  <c r="I35" i="1"/>
  <c r="G35" i="1"/>
  <c r="F35" i="1"/>
  <c r="I28" i="1"/>
  <c r="I20" i="1"/>
  <c r="G20" i="1"/>
  <c r="O48" i="1"/>
  <c r="N48" i="1"/>
  <c r="M48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0" i="1"/>
  <c r="R48" i="1"/>
  <c r="Q48" i="1"/>
  <c r="R19" i="1"/>
  <c r="U35" i="1"/>
  <c r="U49" i="1"/>
  <c r="F50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0" i="1"/>
  <c r="R39" i="1"/>
  <c r="R38" i="1"/>
  <c r="R23" i="1"/>
  <c r="R37" i="1"/>
  <c r="G50" i="1"/>
  <c r="S50" i="1"/>
  <c r="U20" i="1"/>
  <c r="I50" i="1"/>
  <c r="N28" i="1"/>
  <c r="N35" i="1"/>
  <c r="M49" i="1"/>
  <c r="N49" i="1"/>
  <c r="O35" i="1"/>
  <c r="Q35" i="1" s="1"/>
  <c r="M28" i="1"/>
  <c r="O20" i="1"/>
  <c r="Q20" i="1" s="1"/>
  <c r="O28" i="1"/>
  <c r="Q28" i="1" s="1"/>
  <c r="N20" i="1"/>
  <c r="O49" i="1"/>
  <c r="Q49" i="1" s="1"/>
  <c r="K50" i="1"/>
  <c r="M20" i="1"/>
  <c r="J50" i="1"/>
  <c r="L50" i="1"/>
  <c r="U50" i="1" l="1"/>
  <c r="M50" i="1"/>
  <c r="R35" i="1"/>
  <c r="R28" i="1"/>
  <c r="R20" i="1"/>
  <c r="N50" i="1"/>
  <c r="R49" i="1"/>
  <c r="O50" i="1"/>
  <c r="Q50" i="1" s="1"/>
  <c r="R50" i="1" l="1"/>
</calcChain>
</file>

<file path=xl/sharedStrings.xml><?xml version="1.0" encoding="utf-8"?>
<sst xmlns="http://schemas.openxmlformats.org/spreadsheetml/2006/main" count="159" uniqueCount="135">
  <si>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</si>
  <si>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</si>
  <si>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</si>
  <si>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</si>
  <si>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</si>
  <si>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</si>
  <si>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</si>
  <si>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</si>
  <si>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</si>
  <si>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</si>
  <si>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</si>
  <si>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</si>
  <si>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</si>
  <si>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</si>
  <si>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</si>
  <si>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</si>
  <si>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</si>
  <si>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</si>
  <si>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</si>
  <si>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</si>
  <si>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</si>
  <si>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</si>
  <si>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</si>
  <si>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</si>
  <si>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</si>
  <si>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</si>
  <si>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</si>
  <si>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</si>
  <si>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</si>
  <si>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</si>
  <si>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</si>
  <si>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</si>
  <si>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</si>
  <si>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</si>
  <si>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</si>
  <si>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</si>
  <si>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</si>
  <si>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</si>
  <si>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</si>
  <si>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</si>
  <si>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</si>
  <si>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</si>
  <si>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</si>
  <si>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</si>
  <si>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</si>
  <si>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</si>
  <si>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</si>
  <si>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</si>
  <si>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</si>
  <si>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</si>
  <si>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</si>
  <si>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</si>
  <si>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</si>
  <si>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</si>
  <si>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</si>
  <si>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</si>
  <si>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</si>
  <si>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</si>
  <si>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</si>
  <si>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</si>
  <si>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</si>
  <si>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</si>
  <si>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</si>
  <si>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</si>
  <si>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</si>
  <si>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</si>
  <si>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</si>
  <si>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</si>
  <si>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</si>
  <si>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</si>
  <si>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</si>
  <si>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</si>
  <si>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</si>
  <si>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</si>
  <si>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</si>
  <si>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</si>
  <si>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</si>
  <si>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</si>
  <si>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</si>
  <si>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</si>
  <si>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</si>
  <si>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</si>
  <si>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</si>
  <si>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</si>
  <si>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</si>
  <si>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</si>
  <si>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</si>
  <si>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</si>
  <si>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</si>
  <si>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</si>
  <si>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</si>
  <si>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</si>
  <si>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</si>
  <si>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</si>
  <si>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</si>
  <si>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</si>
  <si>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</si>
  <si>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</si>
  <si>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</si>
  <si>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</si>
  <si>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</si>
  <si>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</si>
  <si>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</si>
  <si>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</si>
  <si>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</si>
  <si>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</si>
  <si>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</si>
  <si>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</si>
  <si>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</si>
  <si>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</si>
  <si>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</si>
  <si>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</si>
  <si>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</si>
  <si>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</si>
  <si>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</si>
  <si>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</si>
  <si>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</si>
  <si>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</si>
  <si>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</si>
  <si>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</si>
  <si>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</si>
  <si>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</si>
  <si>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</si>
  <si>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</si>
  <si>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</si>
  <si>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</si>
  <si>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</si>
  <si>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</si>
  <si>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</si>
  <si>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</si>
  <si>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</si>
  <si>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</si>
  <si>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</si>
  <si>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TO GO</t>
  </si>
  <si>
    <t>Revised: 11/20/23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</si>
</sst>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0" fontId="0" fillId="4" borderId="0" xfId="0" applyFill="1"/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5" fontId="1" fillId="0" borderId="4" xfId="0" applyNumberFormat="1" applyFont="1" applyBorder="1"/>
    <xf numFmtId="165" fontId="1" fillId="0" borderId="4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right"/>
    </xf>
    <xf numFmtId="164" fontId="1" fillId="0" borderId="4" xfId="2" applyNumberFormat="1" applyFont="1" applyBorder="1"/>
    <xf numFmtId="165" fontId="1" fillId="0" borderId="4" xfId="1" applyNumberFormat="1" applyFont="1" applyBorder="1"/>
    <xf numFmtId="3" fontId="1" fillId="0" borderId="4" xfId="2" applyNumberFormat="1" applyFont="1" applyBorder="1" applyAlignment="1">
      <alignment horizontal="center"/>
    </xf>
    <xf numFmtId="44" fontId="1" fillId="0" borderId="4" xfId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9" fontId="0" fillId="0" borderId="4" xfId="1" applyNumberFormat="1" applyFont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1"/>
  <sheetViews>
    <sheetView showGridLines="0" tabSelected="1" workbookViewId="0">
      <selection activeCell="Y22" sqref="Y22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1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7.5" customWidth="1"/>
    <col min="16" max="16" width="10.1640625" customWidth="1"/>
    <col min="17" max="17" width="7.5" customWidth="1"/>
    <col min="18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115</v>
      </c>
      <c r="F1" s="14"/>
      <c r="G1" s="14"/>
      <c r="H1" s="14"/>
      <c r="Q1" s="15" t="s">
        <v>134</v>
      </c>
      <c r="R1" s="46"/>
    </row>
    <row r="2" spans="1:21" x14ac:dyDescent="0.15">
      <c r="A2" s="9"/>
      <c r="E2" s="13" t="s">
        <v>27</v>
      </c>
    </row>
    <row r="3" spans="1:21" x14ac:dyDescent="0.15">
      <c r="E3" s="16"/>
      <c r="F3" s="82" t="s">
        <v>116</v>
      </c>
      <c r="G3" s="82"/>
      <c r="H3" s="82"/>
      <c r="I3" s="82"/>
      <c r="J3" s="83" t="s">
        <v>117</v>
      </c>
      <c r="K3" s="83"/>
      <c r="L3" s="83"/>
      <c r="M3" s="84" t="s">
        <v>118</v>
      </c>
      <c r="N3" s="84"/>
      <c r="O3" s="84"/>
      <c r="P3" s="86" t="s">
        <v>125</v>
      </c>
      <c r="Q3" s="86"/>
      <c r="R3" s="86"/>
      <c r="S3" s="85" t="s">
        <v>131</v>
      </c>
      <c r="T3" s="85"/>
      <c r="U3" s="85"/>
    </row>
    <row r="4" spans="1:21" x14ac:dyDescent="0.15">
      <c r="E4" s="16"/>
      <c r="P4" s="19" t="s">
        <v>126</v>
      </c>
      <c r="Q4" s="19" t="s">
        <v>35</v>
      </c>
      <c r="R4" s="19" t="s">
        <v>119</v>
      </c>
      <c r="S4" s="19" t="s">
        <v>120</v>
      </c>
      <c r="T4" s="19" t="s">
        <v>120</v>
      </c>
      <c r="U4" s="19" t="s">
        <v>123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133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127</v>
      </c>
      <c r="Q5" s="8" t="s">
        <v>33</v>
      </c>
      <c r="R5" s="8" t="s">
        <v>34</v>
      </c>
      <c r="S5" s="8" t="s">
        <v>121</v>
      </c>
      <c r="T5" s="8" t="s">
        <v>122</v>
      </c>
      <c r="U5" s="8" t="s">
        <v>124</v>
      </c>
    </row>
    <row r="6" spans="1:21" x14ac:dyDescent="0.15">
      <c r="A6" t="s">
        <v>10</v>
      </c>
      <c r="B6" t="s">
        <v>109</v>
      </c>
      <c r="D6" t="s">
        <v>36</v>
      </c>
      <c r="E6" t="s">
        <v>25</v>
      </c>
      <c r="F6" s="76">
        <v>38000</v>
      </c>
      <c r="G6" s="77">
        <v>34287</v>
      </c>
      <c r="H6" s="77"/>
      <c r="I6" s="78">
        <v>755</v>
      </c>
      <c r="J6" s="76">
        <v>125179</v>
      </c>
      <c r="K6" s="77">
        <v>119397</v>
      </c>
      <c r="L6" s="78">
        <v>2094</v>
      </c>
      <c r="M6" s="76">
        <f t="shared" ref="M6:M19" si="0">F6+J6</f>
        <v>163179</v>
      </c>
      <c r="N6" s="77">
        <f t="shared" ref="N6:N19" si="1">G6+K6</f>
        <v>153684</v>
      </c>
      <c r="O6" s="78">
        <f t="shared" ref="O6:O19" si="2">I6+L6</f>
        <v>2849</v>
      </c>
      <c r="P6" s="79">
        <v>4725</v>
      </c>
      <c r="Q6" s="70">
        <f>O6/P6</f>
        <v>0.60296296296296292</v>
      </c>
      <c r="R6" s="41">
        <f t="shared" ref="R6:R20" si="3">N6/O6</f>
        <v>53.943137943137941</v>
      </c>
      <c r="S6" s="78">
        <v>10</v>
      </c>
      <c r="T6" s="78">
        <v>100</v>
      </c>
      <c r="U6" s="78">
        <f>SUM(S6:T6)</f>
        <v>110</v>
      </c>
    </row>
    <row r="7" spans="1:21" x14ac:dyDescent="0.15">
      <c r="A7" t="s">
        <v>11</v>
      </c>
      <c r="B7" t="s">
        <v>110</v>
      </c>
      <c r="D7" t="s">
        <v>37</v>
      </c>
      <c r="E7" t="s">
        <v>25</v>
      </c>
      <c r="F7" s="76">
        <v>38000</v>
      </c>
      <c r="G7" s="77">
        <v>26681</v>
      </c>
      <c r="H7" s="77"/>
      <c r="I7" s="78">
        <v>782</v>
      </c>
      <c r="J7" s="76">
        <v>125217</v>
      </c>
      <c r="K7" s="77">
        <v>116837</v>
      </c>
      <c r="L7" s="78">
        <v>2031</v>
      </c>
      <c r="M7" s="76">
        <f t="shared" si="0"/>
        <v>163217</v>
      </c>
      <c r="N7" s="77">
        <f t="shared" si="1"/>
        <v>143518</v>
      </c>
      <c r="O7" s="78">
        <f t="shared" si="2"/>
        <v>2813</v>
      </c>
      <c r="P7" s="79">
        <v>4725</v>
      </c>
      <c r="Q7" s="20">
        <f t="shared" ref="Q7:Q19" si="4">O7/P7</f>
        <v>0.5953439153439154</v>
      </c>
      <c r="R7" s="41">
        <f t="shared" si="3"/>
        <v>51.019552079630287</v>
      </c>
      <c r="S7" s="78"/>
      <c r="T7" s="78"/>
      <c r="U7" s="78">
        <f t="shared" ref="U7:U19" si="5">SUM(S7:T7)</f>
        <v>0</v>
      </c>
    </row>
    <row r="8" spans="1:21" x14ac:dyDescent="0.15">
      <c r="A8" s="49" t="s">
        <v>12</v>
      </c>
      <c r="B8" s="49" t="s">
        <v>111</v>
      </c>
      <c r="C8" s="49"/>
      <c r="D8" s="49" t="s">
        <v>38</v>
      </c>
      <c r="E8" s="49" t="s">
        <v>40</v>
      </c>
      <c r="F8" s="50">
        <v>35000</v>
      </c>
      <c r="G8" s="51">
        <v>55138</v>
      </c>
      <c r="H8" s="51"/>
      <c r="I8" s="52">
        <v>1149</v>
      </c>
      <c r="J8" s="50">
        <v>125217</v>
      </c>
      <c r="K8" s="51">
        <v>117086</v>
      </c>
      <c r="L8" s="52">
        <v>2050</v>
      </c>
      <c r="M8" s="50">
        <f t="shared" si="0"/>
        <v>160217</v>
      </c>
      <c r="N8" s="51">
        <f t="shared" si="1"/>
        <v>172224</v>
      </c>
      <c r="O8" s="52">
        <f t="shared" si="2"/>
        <v>3199</v>
      </c>
      <c r="P8" s="53">
        <v>4254</v>
      </c>
      <c r="Q8" s="75">
        <f t="shared" si="4"/>
        <v>0.75199811941701933</v>
      </c>
      <c r="R8" s="55">
        <f t="shared" si="3"/>
        <v>53.836824007502344</v>
      </c>
      <c r="S8" s="52"/>
      <c r="T8" s="52"/>
      <c r="U8" s="52">
        <f t="shared" si="5"/>
        <v>0</v>
      </c>
    </row>
    <row r="9" spans="1:21" x14ac:dyDescent="0.15">
      <c r="A9" t="s">
        <v>13</v>
      </c>
      <c r="B9" t="s">
        <v>129</v>
      </c>
      <c r="D9" s="16" t="s">
        <v>39</v>
      </c>
      <c r="E9" t="s">
        <v>41</v>
      </c>
      <c r="F9" s="32">
        <v>50000</v>
      </c>
      <c r="G9" s="33">
        <v>24919</v>
      </c>
      <c r="H9" s="33"/>
      <c r="I9" s="25">
        <v>481</v>
      </c>
      <c r="J9" s="32">
        <v>125217</v>
      </c>
      <c r="K9" s="33">
        <v>119101</v>
      </c>
      <c r="L9" s="25">
        <v>2075</v>
      </c>
      <c r="M9" s="32">
        <f t="shared" si="0"/>
        <v>175217</v>
      </c>
      <c r="N9" s="33">
        <f t="shared" si="1"/>
        <v>144020</v>
      </c>
      <c r="O9" s="25">
        <f t="shared" si="2"/>
        <v>2556</v>
      </c>
      <c r="P9" s="42">
        <v>4725</v>
      </c>
      <c r="Q9" s="20">
        <f t="shared" si="4"/>
        <v>0.54095238095238096</v>
      </c>
      <c r="R9" s="29">
        <f t="shared" si="3"/>
        <v>56.345852895148667</v>
      </c>
      <c r="S9" s="25"/>
      <c r="T9" s="25"/>
      <c r="U9" s="25">
        <f t="shared" si="5"/>
        <v>0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18521</v>
      </c>
      <c r="H10" s="33"/>
      <c r="I10" s="25">
        <v>279</v>
      </c>
      <c r="J10" s="32">
        <v>125217</v>
      </c>
      <c r="K10" s="33">
        <v>120318</v>
      </c>
      <c r="L10" s="25">
        <v>2080</v>
      </c>
      <c r="M10" s="32">
        <f t="shared" si="0"/>
        <v>180217</v>
      </c>
      <c r="N10" s="33">
        <f t="shared" si="1"/>
        <v>138839</v>
      </c>
      <c r="O10" s="25">
        <f t="shared" si="2"/>
        <v>2359</v>
      </c>
      <c r="P10" s="42">
        <v>4725</v>
      </c>
      <c r="Q10" s="20">
        <f t="shared" si="4"/>
        <v>0.49925925925925924</v>
      </c>
      <c r="R10" s="29">
        <f t="shared" si="3"/>
        <v>58.855023314963965</v>
      </c>
      <c r="S10" s="25"/>
      <c r="T10" s="25"/>
      <c r="U10" s="25">
        <f t="shared" si="5"/>
        <v>0</v>
      </c>
    </row>
    <row r="11" spans="1:21" x14ac:dyDescent="0.15">
      <c r="A11" t="s">
        <v>15</v>
      </c>
      <c r="B11" t="s">
        <v>44</v>
      </c>
      <c r="D11" t="s">
        <v>45</v>
      </c>
      <c r="E11" t="s">
        <v>101</v>
      </c>
      <c r="F11" s="32">
        <v>40000</v>
      </c>
      <c r="G11" s="33">
        <v>5153</v>
      </c>
      <c r="H11" s="33"/>
      <c r="I11" s="25">
        <v>99</v>
      </c>
      <c r="J11" s="32">
        <v>125217</v>
      </c>
      <c r="K11" s="33">
        <v>116388</v>
      </c>
      <c r="L11" s="25">
        <v>2038</v>
      </c>
      <c r="M11" s="32">
        <f t="shared" si="0"/>
        <v>165217</v>
      </c>
      <c r="N11" s="33">
        <f t="shared" si="1"/>
        <v>121541</v>
      </c>
      <c r="O11" s="25">
        <f t="shared" si="2"/>
        <v>2137</v>
      </c>
      <c r="P11" s="42">
        <v>4725</v>
      </c>
      <c r="Q11" s="20">
        <f t="shared" si="4"/>
        <v>0.45227513227513227</v>
      </c>
      <c r="R11" s="29">
        <f t="shared" si="3"/>
        <v>56.874590547496489</v>
      </c>
      <c r="S11" s="25"/>
      <c r="T11" s="25"/>
      <c r="U11" s="25">
        <f t="shared" si="5"/>
        <v>0</v>
      </c>
    </row>
    <row r="12" spans="1:21" x14ac:dyDescent="0.15">
      <c r="A12" t="s">
        <v>16</v>
      </c>
      <c r="B12" t="s">
        <v>97</v>
      </c>
      <c r="D12" t="s">
        <v>46</v>
      </c>
      <c r="E12" s="16" t="s">
        <v>25</v>
      </c>
      <c r="F12" s="32">
        <v>40000</v>
      </c>
      <c r="G12" s="33">
        <v>3390</v>
      </c>
      <c r="H12" s="33"/>
      <c r="I12" s="25">
        <v>71</v>
      </c>
      <c r="J12" s="32">
        <v>125217</v>
      </c>
      <c r="K12" s="33">
        <v>122639</v>
      </c>
      <c r="L12" s="25">
        <v>2126</v>
      </c>
      <c r="M12" s="32">
        <f t="shared" si="0"/>
        <v>165217</v>
      </c>
      <c r="N12" s="33">
        <f t="shared" si="1"/>
        <v>126029</v>
      </c>
      <c r="O12" s="25">
        <f t="shared" si="2"/>
        <v>2197</v>
      </c>
      <c r="P12" s="42">
        <v>4725</v>
      </c>
      <c r="Q12" s="20">
        <f t="shared" si="4"/>
        <v>0.46497354497354498</v>
      </c>
      <c r="R12" s="29">
        <f t="shared" si="3"/>
        <v>57.364132908511607</v>
      </c>
      <c r="S12" s="25"/>
      <c r="T12" s="25"/>
      <c r="U12" s="25">
        <f t="shared" si="5"/>
        <v>0</v>
      </c>
    </row>
    <row r="13" spans="1:21" x14ac:dyDescent="0.15">
      <c r="A13" t="s">
        <v>17</v>
      </c>
      <c r="B13" t="s">
        <v>98</v>
      </c>
      <c r="D13" s="16" t="s">
        <v>47</v>
      </c>
      <c r="E13" s="16" t="s">
        <v>102</v>
      </c>
      <c r="F13" s="32">
        <v>40000</v>
      </c>
      <c r="G13" s="33">
        <v>7181</v>
      </c>
      <c r="H13" s="33"/>
      <c r="I13" s="25">
        <v>181</v>
      </c>
      <c r="J13" s="32">
        <v>125217</v>
      </c>
      <c r="K13" s="33">
        <v>118783</v>
      </c>
      <c r="L13" s="25">
        <v>2065</v>
      </c>
      <c r="M13" s="32">
        <f t="shared" si="0"/>
        <v>165217</v>
      </c>
      <c r="N13" s="33">
        <f t="shared" si="1"/>
        <v>125964</v>
      </c>
      <c r="O13" s="25">
        <f t="shared" si="2"/>
        <v>2246</v>
      </c>
      <c r="P13" s="42">
        <v>4725</v>
      </c>
      <c r="Q13" s="20">
        <f t="shared" si="4"/>
        <v>0.47534391534391535</v>
      </c>
      <c r="R13" s="29">
        <f t="shared" si="3"/>
        <v>56.083704363312556</v>
      </c>
      <c r="S13" s="25"/>
      <c r="T13" s="25"/>
      <c r="U13" s="25">
        <f t="shared" si="5"/>
        <v>0</v>
      </c>
    </row>
    <row r="14" spans="1:21" x14ac:dyDescent="0.15">
      <c r="A14" t="s">
        <v>18</v>
      </c>
      <c r="B14" t="s">
        <v>103</v>
      </c>
      <c r="D14" s="16" t="s">
        <v>48</v>
      </c>
      <c r="E14" t="s">
        <v>104</v>
      </c>
      <c r="F14" s="32">
        <v>40000</v>
      </c>
      <c r="G14" s="33">
        <v>6010</v>
      </c>
      <c r="H14" s="33"/>
      <c r="I14" s="25">
        <v>103</v>
      </c>
      <c r="J14" s="32">
        <v>125217</v>
      </c>
      <c r="K14" s="33">
        <v>119660</v>
      </c>
      <c r="L14" s="25">
        <v>2080</v>
      </c>
      <c r="M14" s="32">
        <f t="shared" si="0"/>
        <v>165217</v>
      </c>
      <c r="N14" s="33">
        <f t="shared" si="1"/>
        <v>125670</v>
      </c>
      <c r="O14" s="25">
        <f t="shared" si="2"/>
        <v>2183</v>
      </c>
      <c r="P14" s="42">
        <v>4725</v>
      </c>
      <c r="Q14" s="20">
        <f t="shared" si="4"/>
        <v>0.46201058201058204</v>
      </c>
      <c r="R14" s="29">
        <f t="shared" si="3"/>
        <v>57.567567567567565</v>
      </c>
      <c r="S14" s="25"/>
      <c r="T14" s="25"/>
      <c r="U14" s="25">
        <f t="shared" si="5"/>
        <v>0</v>
      </c>
    </row>
    <row r="15" spans="1:21" x14ac:dyDescent="0.15">
      <c r="A15" t="s">
        <v>19</v>
      </c>
      <c r="B15" s="16" t="s">
        <v>105</v>
      </c>
      <c r="D15" s="16" t="s">
        <v>49</v>
      </c>
      <c r="E15" s="16" t="s">
        <v>25</v>
      </c>
      <c r="F15" s="32">
        <v>35000</v>
      </c>
      <c r="G15" s="33">
        <v>6838</v>
      </c>
      <c r="H15" s="33"/>
      <c r="I15" s="25">
        <v>107</v>
      </c>
      <c r="J15" s="32">
        <v>125217</v>
      </c>
      <c r="K15" s="33">
        <v>116257</v>
      </c>
      <c r="L15" s="25">
        <v>2024</v>
      </c>
      <c r="M15" s="32">
        <f t="shared" si="0"/>
        <v>160217</v>
      </c>
      <c r="N15" s="33">
        <f t="shared" si="1"/>
        <v>123095</v>
      </c>
      <c r="O15" s="25">
        <f t="shared" si="2"/>
        <v>2131</v>
      </c>
      <c r="P15" s="42">
        <v>4725</v>
      </c>
      <c r="Q15" s="20">
        <f t="shared" si="4"/>
        <v>0.45100529100529102</v>
      </c>
      <c r="R15" s="29">
        <f t="shared" si="3"/>
        <v>57.763960581886437</v>
      </c>
      <c r="S15" s="25"/>
      <c r="T15" s="25"/>
      <c r="U15" s="25">
        <f t="shared" si="5"/>
        <v>0</v>
      </c>
    </row>
    <row r="16" spans="1:21" x14ac:dyDescent="0.15">
      <c r="A16" t="s">
        <v>20</v>
      </c>
      <c r="B16" s="16" t="s">
        <v>106</v>
      </c>
      <c r="D16" s="16" t="s">
        <v>50</v>
      </c>
      <c r="E16" s="16" t="s">
        <v>25</v>
      </c>
      <c r="F16" s="32">
        <v>45000</v>
      </c>
      <c r="G16" s="33">
        <v>4926</v>
      </c>
      <c r="H16" s="33"/>
      <c r="I16" s="25">
        <v>101</v>
      </c>
      <c r="J16" s="32">
        <v>125217</v>
      </c>
      <c r="K16" s="33">
        <v>122599</v>
      </c>
      <c r="L16" s="25">
        <v>2124</v>
      </c>
      <c r="M16" s="32">
        <f t="shared" si="0"/>
        <v>170217</v>
      </c>
      <c r="N16" s="33">
        <f t="shared" si="1"/>
        <v>127525</v>
      </c>
      <c r="O16" s="25">
        <f t="shared" si="2"/>
        <v>2225</v>
      </c>
      <c r="P16" s="42">
        <v>4725</v>
      </c>
      <c r="Q16" s="20">
        <f t="shared" si="4"/>
        <v>0.47089947089947087</v>
      </c>
      <c r="R16" s="29">
        <f t="shared" si="3"/>
        <v>57.314606741573037</v>
      </c>
      <c r="S16" s="25"/>
      <c r="T16" s="25"/>
      <c r="U16" s="25">
        <f t="shared" si="5"/>
        <v>0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17334</v>
      </c>
      <c r="H17" s="33"/>
      <c r="I17" s="25">
        <v>276</v>
      </c>
      <c r="J17" s="32">
        <v>125217</v>
      </c>
      <c r="K17" s="33">
        <v>118919</v>
      </c>
      <c r="L17" s="25">
        <v>2062</v>
      </c>
      <c r="M17" s="32">
        <f t="shared" si="0"/>
        <v>180217</v>
      </c>
      <c r="N17" s="33">
        <f t="shared" si="1"/>
        <v>136253</v>
      </c>
      <c r="O17" s="25">
        <f t="shared" si="2"/>
        <v>2338</v>
      </c>
      <c r="P17" s="42">
        <v>4725</v>
      </c>
      <c r="Q17" s="20">
        <f t="shared" si="4"/>
        <v>0.49481481481481482</v>
      </c>
      <c r="R17" s="29">
        <f t="shared" si="3"/>
        <v>58.277587681779302</v>
      </c>
      <c r="S17" s="25"/>
      <c r="T17" s="25"/>
      <c r="U17" s="25">
        <f t="shared" si="5"/>
        <v>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10002</v>
      </c>
      <c r="H18" s="33"/>
      <c r="I18" s="25">
        <v>181</v>
      </c>
      <c r="J18" s="32">
        <v>125217</v>
      </c>
      <c r="K18" s="33">
        <v>120518</v>
      </c>
      <c r="L18" s="25">
        <v>2094</v>
      </c>
      <c r="M18" s="32">
        <f t="shared" si="0"/>
        <v>163217</v>
      </c>
      <c r="N18" s="33">
        <f t="shared" si="1"/>
        <v>130520</v>
      </c>
      <c r="O18" s="25">
        <f t="shared" si="2"/>
        <v>2275</v>
      </c>
      <c r="P18" s="42">
        <v>4254</v>
      </c>
      <c r="Q18" s="20">
        <f t="shared" si="4"/>
        <v>0.5347907851433944</v>
      </c>
      <c r="R18" s="29">
        <f t="shared" si="3"/>
        <v>57.371428571428574</v>
      </c>
      <c r="S18" s="25"/>
      <c r="T18" s="25"/>
      <c r="U18" s="25">
        <f t="shared" si="5"/>
        <v>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15350</v>
      </c>
      <c r="H19" s="34"/>
      <c r="I19" s="26">
        <v>244</v>
      </c>
      <c r="J19" s="32">
        <v>125217</v>
      </c>
      <c r="K19" s="34">
        <v>121678</v>
      </c>
      <c r="L19" s="26">
        <v>2102</v>
      </c>
      <c r="M19" s="32">
        <f t="shared" si="0"/>
        <v>192217</v>
      </c>
      <c r="N19" s="34">
        <f t="shared" si="1"/>
        <v>137028</v>
      </c>
      <c r="O19" s="26">
        <f t="shared" si="2"/>
        <v>2346</v>
      </c>
      <c r="P19" s="45">
        <v>4725</v>
      </c>
      <c r="Q19" s="21">
        <f t="shared" si="4"/>
        <v>0.49650793650793651</v>
      </c>
      <c r="R19" s="30">
        <f t="shared" si="3"/>
        <v>58.409207161125323</v>
      </c>
      <c r="S19" s="25"/>
      <c r="T19" s="25"/>
      <c r="U19" s="25">
        <f t="shared" si="5"/>
        <v>0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235730</v>
      </c>
      <c r="H20" s="35">
        <v>444549</v>
      </c>
      <c r="I20" s="23">
        <f t="shared" si="6"/>
        <v>4809</v>
      </c>
      <c r="J20" s="35">
        <f>SUM(J6:J19)</f>
        <v>1753000</v>
      </c>
      <c r="K20" s="35">
        <f t="shared" ref="K20" si="7">SUM(K6:K19)</f>
        <v>1670180</v>
      </c>
      <c r="L20" s="23">
        <f t="shared" ref="L20" si="8">SUM(L6:L19)</f>
        <v>29045</v>
      </c>
      <c r="M20" s="35">
        <f>SUM(M6:M19)</f>
        <v>2369000</v>
      </c>
      <c r="N20" s="35">
        <f t="shared" ref="N20" si="9">SUM(N6:N19)</f>
        <v>1905910</v>
      </c>
      <c r="O20" s="23">
        <f t="shared" ref="O20" si="10">SUM(O6:O19)</f>
        <v>33854</v>
      </c>
      <c r="P20" s="43">
        <f>SUM(P6:P19)</f>
        <v>65208</v>
      </c>
      <c r="Q20" s="28">
        <f>O20/P20</f>
        <v>0.51916942706416391</v>
      </c>
      <c r="R20" s="24">
        <f t="shared" si="3"/>
        <v>56.297926389791456</v>
      </c>
      <c r="S20" s="43">
        <f>SUM(S6:S19)</f>
        <v>10</v>
      </c>
      <c r="T20" s="43">
        <f>SUM(T6:T19)</f>
        <v>100</v>
      </c>
      <c r="U20" s="43">
        <f>SUM(U6:U19)</f>
        <v>110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196875</v>
      </c>
      <c r="H23" s="33"/>
      <c r="I23" s="25">
        <v>1618</v>
      </c>
      <c r="J23" s="32">
        <v>128000</v>
      </c>
      <c r="K23" s="47">
        <v>114719</v>
      </c>
      <c r="L23" s="25">
        <v>1734</v>
      </c>
      <c r="M23" s="40">
        <f t="shared" ref="M23:N27" si="11">F23+J23</f>
        <v>348000</v>
      </c>
      <c r="N23" s="40">
        <f t="shared" si="11"/>
        <v>311594</v>
      </c>
      <c r="O23" s="25">
        <f>I23+L23</f>
        <v>3352</v>
      </c>
      <c r="P23" s="42">
        <v>4707</v>
      </c>
      <c r="Q23" s="20">
        <f t="shared" ref="Q23:Q27" si="12">O23/P23</f>
        <v>0.71213086891863187</v>
      </c>
      <c r="R23" s="29">
        <f t="shared" ref="R23:R28" si="13">N23/O23</f>
        <v>92.957637231503583</v>
      </c>
      <c r="S23" s="25"/>
      <c r="T23" s="25"/>
      <c r="U23" s="25">
        <f t="shared" ref="U23:U27" si="14">SUM(S23:T23)</f>
        <v>0</v>
      </c>
    </row>
    <row r="24" spans="1:21" x14ac:dyDescent="0.15">
      <c r="A24" s="56" t="s">
        <v>60</v>
      </c>
      <c r="B24" s="56"/>
      <c r="C24" s="56"/>
      <c r="D24" s="56" t="s">
        <v>61</v>
      </c>
      <c r="E24" s="56" t="s">
        <v>112</v>
      </c>
      <c r="F24" s="58">
        <v>125000</v>
      </c>
      <c r="G24" s="59">
        <v>131321</v>
      </c>
      <c r="H24" s="59"/>
      <c r="I24" s="60">
        <v>2056</v>
      </c>
      <c r="J24" s="58">
        <v>128000</v>
      </c>
      <c r="K24" s="72">
        <v>118047</v>
      </c>
      <c r="L24" s="60">
        <v>1804</v>
      </c>
      <c r="M24" s="61">
        <f t="shared" si="11"/>
        <v>253000</v>
      </c>
      <c r="N24" s="61">
        <f t="shared" si="11"/>
        <v>249368</v>
      </c>
      <c r="O24" s="60">
        <f>I24+L24</f>
        <v>3860</v>
      </c>
      <c r="P24" s="62">
        <v>4707</v>
      </c>
      <c r="Q24" s="54">
        <f t="shared" si="12"/>
        <v>0.82005523688124071</v>
      </c>
      <c r="R24" s="63">
        <f t="shared" si="13"/>
        <v>64.603108808290159</v>
      </c>
      <c r="S24" s="60"/>
      <c r="T24" s="60"/>
      <c r="U24" s="60">
        <f t="shared" si="14"/>
        <v>0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64">
        <v>125000</v>
      </c>
      <c r="G25" s="65">
        <v>29194</v>
      </c>
      <c r="H25" s="65"/>
      <c r="I25" s="66">
        <v>336</v>
      </c>
      <c r="J25" s="64">
        <v>128000</v>
      </c>
      <c r="K25" s="67">
        <v>119389</v>
      </c>
      <c r="L25" s="66">
        <v>1857</v>
      </c>
      <c r="M25" s="68">
        <f t="shared" si="11"/>
        <v>253000</v>
      </c>
      <c r="N25" s="68">
        <f t="shared" si="11"/>
        <v>148583</v>
      </c>
      <c r="O25" s="66">
        <f>I25+L25</f>
        <v>2193</v>
      </c>
      <c r="P25" s="69">
        <v>4707</v>
      </c>
      <c r="Q25" s="70">
        <f t="shared" si="12"/>
        <v>0.46590184831102616</v>
      </c>
      <c r="R25" s="71">
        <f t="shared" si="13"/>
        <v>67.753305973552216</v>
      </c>
      <c r="S25" s="66"/>
      <c r="T25" s="66"/>
      <c r="U25" s="66">
        <f t="shared" si="14"/>
        <v>0</v>
      </c>
    </row>
    <row r="26" spans="1:21" x14ac:dyDescent="0.15">
      <c r="A26" s="16" t="s">
        <v>63</v>
      </c>
      <c r="D26" s="17" t="s">
        <v>64</v>
      </c>
      <c r="E26" t="s">
        <v>65</v>
      </c>
      <c r="F26" s="32">
        <v>125000</v>
      </c>
      <c r="G26" s="33">
        <v>43163</v>
      </c>
      <c r="H26" s="33"/>
      <c r="I26" s="25">
        <v>603</v>
      </c>
      <c r="J26" s="32">
        <v>128000</v>
      </c>
      <c r="K26" s="47">
        <v>119277</v>
      </c>
      <c r="L26" s="25">
        <v>1827</v>
      </c>
      <c r="M26" s="40">
        <f t="shared" si="11"/>
        <v>253000</v>
      </c>
      <c r="N26" s="40">
        <f t="shared" si="11"/>
        <v>162440</v>
      </c>
      <c r="O26" s="25">
        <f>I26+L26</f>
        <v>2430</v>
      </c>
      <c r="P26" s="42">
        <v>4707</v>
      </c>
      <c r="Q26" s="20">
        <f t="shared" si="12"/>
        <v>0.51625239005736134</v>
      </c>
      <c r="R26" s="29">
        <f t="shared" si="13"/>
        <v>66.847736625514401</v>
      </c>
      <c r="S26" s="25"/>
      <c r="T26" s="25"/>
      <c r="U26" s="25">
        <f t="shared" si="14"/>
        <v>0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12910</v>
      </c>
      <c r="H27" s="77"/>
      <c r="I27" s="25">
        <v>191</v>
      </c>
      <c r="J27" s="32">
        <v>128000</v>
      </c>
      <c r="K27" s="48">
        <v>118711</v>
      </c>
      <c r="L27" s="25">
        <v>1815</v>
      </c>
      <c r="M27" s="40">
        <f t="shared" si="11"/>
        <v>253000</v>
      </c>
      <c r="N27" s="40">
        <f t="shared" si="11"/>
        <v>131621</v>
      </c>
      <c r="O27" s="25">
        <f>I27+L27</f>
        <v>2006</v>
      </c>
      <c r="P27" s="42">
        <v>4707</v>
      </c>
      <c r="Q27" s="21">
        <f t="shared" si="12"/>
        <v>0.426173783726365</v>
      </c>
      <c r="R27" s="10">
        <f t="shared" si="13"/>
        <v>65.613659022931202</v>
      </c>
      <c r="S27" s="25"/>
      <c r="T27" s="25"/>
      <c r="U27" s="25">
        <f t="shared" si="14"/>
        <v>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413463</v>
      </c>
      <c r="H28" s="39">
        <v>325047</v>
      </c>
      <c r="I28" s="27">
        <f t="shared" si="15"/>
        <v>4804</v>
      </c>
      <c r="J28" s="35">
        <f t="shared" si="15"/>
        <v>640000</v>
      </c>
      <c r="K28" s="39">
        <f t="shared" si="15"/>
        <v>590143</v>
      </c>
      <c r="L28" s="27">
        <f t="shared" si="15"/>
        <v>9037</v>
      </c>
      <c r="M28" s="35">
        <f t="shared" si="15"/>
        <v>1360000</v>
      </c>
      <c r="N28" s="39">
        <f t="shared" si="15"/>
        <v>1003606</v>
      </c>
      <c r="O28" s="27">
        <f t="shared" si="15"/>
        <v>13841</v>
      </c>
      <c r="P28" s="43">
        <f t="shared" si="15"/>
        <v>23535</v>
      </c>
      <c r="Q28" s="28">
        <f>O28/P28</f>
        <v>0.58810282557892501</v>
      </c>
      <c r="R28" s="31">
        <f t="shared" si="13"/>
        <v>72.509645256845602</v>
      </c>
      <c r="S28" s="43">
        <f>SUM(S23:S27)</f>
        <v>0</v>
      </c>
      <c r="T28" s="43">
        <f t="shared" ref="T28:U28" si="16">SUM(T23:T27)</f>
        <v>0</v>
      </c>
      <c r="U28" s="43">
        <f t="shared" si="16"/>
        <v>0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56" t="s">
        <v>128</v>
      </c>
      <c r="B31" s="56"/>
      <c r="C31" s="56"/>
      <c r="D31" s="56" t="s">
        <v>68</v>
      </c>
      <c r="E31" s="56" t="s">
        <v>130</v>
      </c>
      <c r="F31" s="50">
        <v>9000</v>
      </c>
      <c r="G31" s="80">
        <v>16170</v>
      </c>
      <c r="H31" s="80"/>
      <c r="I31" s="52">
        <v>432</v>
      </c>
      <c r="J31" s="50">
        <v>11250</v>
      </c>
      <c r="K31" s="80">
        <v>10706</v>
      </c>
      <c r="L31" s="52">
        <v>528</v>
      </c>
      <c r="M31" s="74">
        <f t="shared" ref="M31:N34" si="17">F31+J31</f>
        <v>20250</v>
      </c>
      <c r="N31" s="74">
        <f t="shared" si="17"/>
        <v>26876</v>
      </c>
      <c r="O31" s="52">
        <f>I31+L31</f>
        <v>960</v>
      </c>
      <c r="P31" s="53">
        <v>1575</v>
      </c>
      <c r="Q31" s="81">
        <f t="shared" ref="Q31:Q34" si="18">O31/P31</f>
        <v>0.60952380952380958</v>
      </c>
      <c r="R31" s="55">
        <f>N31/O31</f>
        <v>27.995833333333334</v>
      </c>
      <c r="S31" s="52"/>
      <c r="T31" s="52"/>
      <c r="U31" s="52">
        <f t="shared" ref="U31:U34" si="19">SUM(S31:T31)</f>
        <v>0</v>
      </c>
    </row>
    <row r="32" spans="1:21" x14ac:dyDescent="0.15">
      <c r="A32" t="s">
        <v>29</v>
      </c>
      <c r="D32" s="17" t="s">
        <v>69</v>
      </c>
      <c r="E32" s="16" t="s">
        <v>132</v>
      </c>
      <c r="F32" s="32">
        <v>410000</v>
      </c>
      <c r="G32" s="33">
        <v>290906</v>
      </c>
      <c r="H32" s="33"/>
      <c r="I32" s="25">
        <v>4572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302996</v>
      </c>
      <c r="O32" s="25">
        <f>I32+L32</f>
        <v>5140</v>
      </c>
      <c r="P32" s="42">
        <v>8508</v>
      </c>
      <c r="Q32" s="20">
        <f t="shared" si="18"/>
        <v>0.6041372825575928</v>
      </c>
      <c r="R32" s="29">
        <f>N32/O32</f>
        <v>58.94863813229572</v>
      </c>
      <c r="S32" s="25"/>
      <c r="T32" s="25"/>
      <c r="U32" s="25">
        <f t="shared" si="19"/>
        <v>0</v>
      </c>
    </row>
    <row r="33" spans="1:21" x14ac:dyDescent="0.15">
      <c r="A33" s="16" t="s">
        <v>70</v>
      </c>
      <c r="D33" s="22" t="s">
        <v>71</v>
      </c>
      <c r="E33" s="16" t="s">
        <v>112</v>
      </c>
      <c r="F33" s="32">
        <v>9000</v>
      </c>
      <c r="G33" s="33">
        <v>17117</v>
      </c>
      <c r="H33" s="33"/>
      <c r="I33" s="25">
        <v>352</v>
      </c>
      <c r="J33" s="32">
        <v>11250</v>
      </c>
      <c r="K33" s="33">
        <v>11082</v>
      </c>
      <c r="L33" s="25">
        <v>577</v>
      </c>
      <c r="M33" s="40">
        <f t="shared" si="17"/>
        <v>20250</v>
      </c>
      <c r="N33" s="40">
        <f t="shared" si="17"/>
        <v>28199</v>
      </c>
      <c r="O33" s="25">
        <f>I33+L33</f>
        <v>929</v>
      </c>
      <c r="P33" s="42">
        <v>1308</v>
      </c>
      <c r="Q33" s="20">
        <f t="shared" si="18"/>
        <v>0.71024464831804279</v>
      </c>
      <c r="R33" s="29">
        <f>N33/O33</f>
        <v>30.354144241119485</v>
      </c>
      <c r="S33" s="25"/>
      <c r="T33" s="25"/>
      <c r="U33" s="25">
        <f t="shared" si="19"/>
        <v>0</v>
      </c>
    </row>
    <row r="34" spans="1:21" ht="14" thickBot="1" x14ac:dyDescent="0.2">
      <c r="A34" s="16" t="s">
        <v>72</v>
      </c>
      <c r="D34" s="22" t="s">
        <v>73</v>
      </c>
      <c r="E34" t="s">
        <v>132</v>
      </c>
      <c r="F34" s="32">
        <v>9000</v>
      </c>
      <c r="G34" s="33">
        <v>2643</v>
      </c>
      <c r="H34" s="33"/>
      <c r="I34" s="25">
        <v>57</v>
      </c>
      <c r="J34" s="32">
        <v>11250</v>
      </c>
      <c r="K34" s="33">
        <v>11100</v>
      </c>
      <c r="L34" s="25">
        <v>536</v>
      </c>
      <c r="M34" s="40">
        <f t="shared" si="17"/>
        <v>20250</v>
      </c>
      <c r="N34" s="40">
        <f t="shared" si="17"/>
        <v>13743</v>
      </c>
      <c r="O34" s="25">
        <f>I34+L34</f>
        <v>593</v>
      </c>
      <c r="P34" s="42">
        <v>1575</v>
      </c>
      <c r="Q34" s="21">
        <f t="shared" si="18"/>
        <v>0.37650793650793651</v>
      </c>
      <c r="R34" s="10">
        <f>N34/O34</f>
        <v>23.175379426644181</v>
      </c>
      <c r="S34" s="25"/>
      <c r="T34" s="25"/>
      <c r="U34" s="25">
        <f t="shared" si="19"/>
        <v>0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326836</v>
      </c>
      <c r="H35" s="39">
        <v>220609</v>
      </c>
      <c r="I35" s="27">
        <f t="shared" si="20"/>
        <v>5413</v>
      </c>
      <c r="J35" s="35">
        <f t="shared" si="20"/>
        <v>45000</v>
      </c>
      <c r="K35" s="39">
        <f t="shared" si="20"/>
        <v>44978</v>
      </c>
      <c r="L35" s="27">
        <f t="shared" si="20"/>
        <v>2209</v>
      </c>
      <c r="M35" s="35">
        <f t="shared" si="20"/>
        <v>482000</v>
      </c>
      <c r="N35" s="39">
        <f t="shared" si="20"/>
        <v>371814</v>
      </c>
      <c r="O35" s="27">
        <f t="shared" si="20"/>
        <v>7622</v>
      </c>
      <c r="P35" s="43">
        <f t="shared" si="20"/>
        <v>12966</v>
      </c>
      <c r="Q35" s="28">
        <f>O35/P35</f>
        <v>0.58784513342588307</v>
      </c>
      <c r="R35" s="31">
        <f>N35/O35</f>
        <v>48.781684597218579</v>
      </c>
      <c r="S35" s="43">
        <f>SUM(S31:S34)</f>
        <v>0</v>
      </c>
      <c r="T35" s="43">
        <f t="shared" ref="T35:U35" si="21">SUM(T31:T34)</f>
        <v>0</v>
      </c>
      <c r="U35" s="43">
        <f t="shared" si="21"/>
        <v>0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108</v>
      </c>
      <c r="F37" s="32">
        <v>375000</v>
      </c>
      <c r="G37" s="33">
        <v>361141</v>
      </c>
      <c r="H37" s="33"/>
      <c r="I37" s="25">
        <v>5141</v>
      </c>
      <c r="J37" s="32">
        <v>0</v>
      </c>
      <c r="K37" s="33">
        <v>1337</v>
      </c>
      <c r="L37" s="25">
        <v>33</v>
      </c>
      <c r="M37" s="40">
        <f t="shared" ref="M37:M48" si="22">F37+J37</f>
        <v>375000</v>
      </c>
      <c r="N37" s="40">
        <f t="shared" ref="N37:N48" si="23">G37+K37</f>
        <v>362478</v>
      </c>
      <c r="O37" s="25">
        <f t="shared" ref="O37:O48" si="24">I37+L37</f>
        <v>5174</v>
      </c>
      <c r="P37" s="42">
        <v>5184</v>
      </c>
      <c r="Q37" s="20">
        <f t="shared" ref="Q37:Q48" si="25">O37/P37</f>
        <v>0.99807098765432101</v>
      </c>
      <c r="R37" s="29">
        <f t="shared" ref="R37:R50" si="26">N37/O37</f>
        <v>70.057595670661001</v>
      </c>
      <c r="S37" s="25"/>
      <c r="T37" s="25"/>
      <c r="U37" s="25">
        <f t="shared" ref="U37:U48" si="27">SUM(S37:T37)</f>
        <v>0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/>
      <c r="T38" s="25"/>
      <c r="U38" s="25">
        <f t="shared" si="27"/>
        <v>0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113</v>
      </c>
      <c r="F39" s="64">
        <v>100000</v>
      </c>
      <c r="G39" s="65">
        <v>99728</v>
      </c>
      <c r="H39" s="65"/>
      <c r="I39" s="66">
        <v>1356</v>
      </c>
      <c r="J39" s="64">
        <v>0</v>
      </c>
      <c r="K39" s="65">
        <v>628</v>
      </c>
      <c r="L39" s="66">
        <v>21</v>
      </c>
      <c r="M39" s="68">
        <f t="shared" si="22"/>
        <v>100000</v>
      </c>
      <c r="N39" s="68">
        <f t="shared" si="23"/>
        <v>100356</v>
      </c>
      <c r="O39" s="66">
        <f t="shared" si="24"/>
        <v>1377</v>
      </c>
      <c r="P39" s="69">
        <v>1575</v>
      </c>
      <c r="Q39" s="70">
        <f t="shared" si="25"/>
        <v>0.87428571428571433</v>
      </c>
      <c r="R39" s="71">
        <f t="shared" si="26"/>
        <v>72.880174291938999</v>
      </c>
      <c r="S39" s="66"/>
      <c r="T39" s="66"/>
      <c r="U39" s="66">
        <f t="shared" si="27"/>
        <v>0</v>
      </c>
    </row>
    <row r="40" spans="1:21" ht="13.5" customHeight="1" x14ac:dyDescent="0.15">
      <c r="A40" s="56" t="s">
        <v>84</v>
      </c>
      <c r="B40" s="73"/>
      <c r="C40" s="73"/>
      <c r="D40" s="57" t="s">
        <v>85</v>
      </c>
      <c r="E40" s="56" t="s">
        <v>86</v>
      </c>
      <c r="F40" s="50">
        <v>40000</v>
      </c>
      <c r="G40" s="51">
        <v>64541</v>
      </c>
      <c r="H40" s="51"/>
      <c r="I40" s="52">
        <v>1248</v>
      </c>
      <c r="J40" s="50">
        <v>0</v>
      </c>
      <c r="K40" s="51">
        <v>797</v>
      </c>
      <c r="L40" s="52">
        <v>40</v>
      </c>
      <c r="M40" s="74">
        <f t="shared" si="22"/>
        <v>40000</v>
      </c>
      <c r="N40" s="74">
        <f t="shared" si="23"/>
        <v>65338</v>
      </c>
      <c r="O40" s="52">
        <f t="shared" si="24"/>
        <v>1288</v>
      </c>
      <c r="P40" s="53">
        <v>1308</v>
      </c>
      <c r="Q40" s="75">
        <f t="shared" si="25"/>
        <v>0.98470948012232418</v>
      </c>
      <c r="R40" s="55">
        <f t="shared" si="26"/>
        <v>50.728260869565219</v>
      </c>
      <c r="S40" s="52"/>
      <c r="T40" s="52"/>
      <c r="U40" s="52">
        <f t="shared" si="27"/>
        <v>0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/>
      <c r="F41" s="32">
        <v>180000</v>
      </c>
      <c r="G41" s="33">
        <v>164746</v>
      </c>
      <c r="H41" s="33"/>
      <c r="I41" s="25">
        <v>3017</v>
      </c>
      <c r="J41" s="32">
        <v>0</v>
      </c>
      <c r="K41" s="33">
        <v>986</v>
      </c>
      <c r="L41" s="25">
        <v>33</v>
      </c>
      <c r="M41" s="40">
        <f t="shared" si="22"/>
        <v>180000</v>
      </c>
      <c r="N41" s="40">
        <f t="shared" si="23"/>
        <v>165732</v>
      </c>
      <c r="O41" s="25">
        <f t="shared" si="24"/>
        <v>3050</v>
      </c>
      <c r="P41" s="42">
        <v>4254</v>
      </c>
      <c r="Q41" s="20">
        <f t="shared" si="25"/>
        <v>0.71697226140103432</v>
      </c>
      <c r="R41" s="29">
        <f t="shared" si="26"/>
        <v>54.338360655737702</v>
      </c>
      <c r="S41" s="25"/>
      <c r="T41" s="25"/>
      <c r="U41" s="25">
        <f t="shared" si="27"/>
        <v>0</v>
      </c>
    </row>
    <row r="42" spans="1:21" ht="13.5" customHeight="1" x14ac:dyDescent="0.15">
      <c r="A42" s="16" t="s">
        <v>75</v>
      </c>
      <c r="B42" s="13"/>
      <c r="C42" s="13"/>
      <c r="D42" s="18" t="s">
        <v>76</v>
      </c>
      <c r="E42" s="16" t="s">
        <v>113</v>
      </c>
      <c r="F42" s="32">
        <v>155000</v>
      </c>
      <c r="G42" s="33">
        <v>168142</v>
      </c>
      <c r="H42" s="33"/>
      <c r="I42" s="25">
        <v>2508</v>
      </c>
      <c r="J42" s="32">
        <v>0</v>
      </c>
      <c r="K42" s="33">
        <v>1089</v>
      </c>
      <c r="L42" s="25">
        <v>22</v>
      </c>
      <c r="M42" s="40">
        <f t="shared" si="22"/>
        <v>155000</v>
      </c>
      <c r="N42" s="40">
        <f t="shared" si="23"/>
        <v>169231</v>
      </c>
      <c r="O42" s="25">
        <f t="shared" si="24"/>
        <v>2530</v>
      </c>
      <c r="P42" s="42">
        <v>2616</v>
      </c>
      <c r="Q42" s="20">
        <f t="shared" si="25"/>
        <v>0.96712538226299694</v>
      </c>
      <c r="R42" s="29">
        <f t="shared" si="26"/>
        <v>66.889723320158097</v>
      </c>
      <c r="S42" s="25"/>
      <c r="T42" s="25"/>
      <c r="U42" s="25">
        <f t="shared" si="27"/>
        <v>0</v>
      </c>
    </row>
    <row r="43" spans="1:21" ht="12.75" customHeight="1" x14ac:dyDescent="0.15">
      <c r="A43" s="16" t="s">
        <v>77</v>
      </c>
      <c r="B43" s="13"/>
      <c r="C43" s="13"/>
      <c r="D43" s="16" t="s">
        <v>114</v>
      </c>
      <c r="E43" s="16" t="s">
        <v>107</v>
      </c>
      <c r="F43" s="32">
        <v>330000</v>
      </c>
      <c r="G43" s="33">
        <v>276350</v>
      </c>
      <c r="H43" s="33"/>
      <c r="I43" s="25">
        <v>4002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277532</v>
      </c>
      <c r="O43" s="25">
        <f t="shared" si="24"/>
        <v>4030</v>
      </c>
      <c r="P43" s="42">
        <v>5184</v>
      </c>
      <c r="Q43" s="20">
        <f t="shared" si="25"/>
        <v>0.77739197530864201</v>
      </c>
      <c r="R43" s="29">
        <f t="shared" si="26"/>
        <v>68.866501240694788</v>
      </c>
      <c r="S43" s="25"/>
      <c r="T43" s="25"/>
      <c r="U43" s="25">
        <f t="shared" si="27"/>
        <v>0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112</v>
      </c>
      <c r="F44" s="32">
        <v>232000</v>
      </c>
      <c r="G44" s="33">
        <v>56802</v>
      </c>
      <c r="H44" s="33"/>
      <c r="I44" s="25">
        <v>848</v>
      </c>
      <c r="J44" s="32">
        <v>0</v>
      </c>
      <c r="K44" s="33">
        <v>1265</v>
      </c>
      <c r="L44" s="25">
        <v>30</v>
      </c>
      <c r="M44" s="40">
        <f t="shared" si="22"/>
        <v>232000</v>
      </c>
      <c r="N44" s="40">
        <f t="shared" si="23"/>
        <v>58067</v>
      </c>
      <c r="O44" s="25">
        <f t="shared" si="24"/>
        <v>878</v>
      </c>
      <c r="P44" s="42">
        <v>3888</v>
      </c>
      <c r="Q44" s="20">
        <f t="shared" si="25"/>
        <v>0.22582304526748972</v>
      </c>
      <c r="R44" s="29">
        <f t="shared" si="26"/>
        <v>66.135535307517088</v>
      </c>
      <c r="S44" s="25"/>
      <c r="T44" s="25"/>
      <c r="U44" s="25">
        <f t="shared" si="27"/>
        <v>0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132</v>
      </c>
      <c r="F45" s="32">
        <v>92000</v>
      </c>
      <c r="G45" s="33">
        <v>7981</v>
      </c>
      <c r="H45" s="33"/>
      <c r="I45" s="25">
        <v>87</v>
      </c>
      <c r="J45" s="32">
        <v>0</v>
      </c>
      <c r="K45" s="33">
        <v>459</v>
      </c>
      <c r="L45" s="25">
        <v>10</v>
      </c>
      <c r="M45" s="40">
        <f t="shared" si="22"/>
        <v>92000</v>
      </c>
      <c r="N45" s="40">
        <f t="shared" si="23"/>
        <v>8440</v>
      </c>
      <c r="O45" s="25">
        <f t="shared" si="24"/>
        <v>97</v>
      </c>
      <c r="P45" s="42">
        <v>1575</v>
      </c>
      <c r="Q45" s="20">
        <f t="shared" si="25"/>
        <v>6.1587301587301586E-2</v>
      </c>
      <c r="R45" s="29">
        <f t="shared" si="26"/>
        <v>87.010309278350519</v>
      </c>
      <c r="S45" s="25"/>
      <c r="T45" s="25"/>
      <c r="U45" s="25">
        <f t="shared" si="27"/>
        <v>0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108</v>
      </c>
      <c r="F46" s="32">
        <v>375000</v>
      </c>
      <c r="G46" s="33">
        <v>183869</v>
      </c>
      <c r="H46" s="33"/>
      <c r="I46" s="25">
        <v>2229</v>
      </c>
      <c r="J46" s="32">
        <v>0</v>
      </c>
      <c r="K46" s="33">
        <v>2045</v>
      </c>
      <c r="L46" s="25">
        <v>38</v>
      </c>
      <c r="M46" s="40">
        <f t="shared" si="22"/>
        <v>375000</v>
      </c>
      <c r="N46" s="40">
        <f t="shared" si="23"/>
        <v>185914</v>
      </c>
      <c r="O46" s="25">
        <f t="shared" si="24"/>
        <v>2267</v>
      </c>
      <c r="P46" s="42">
        <v>5184</v>
      </c>
      <c r="Q46" s="20">
        <f t="shared" si="25"/>
        <v>0.43730709876543211</v>
      </c>
      <c r="R46" s="29">
        <f t="shared" si="26"/>
        <v>82.008822232024698</v>
      </c>
      <c r="S46" s="25"/>
      <c r="T46" s="25"/>
      <c r="U46" s="25">
        <f t="shared" si="27"/>
        <v>0</v>
      </c>
    </row>
    <row r="47" spans="1:21" ht="12.75" customHeight="1" x14ac:dyDescent="0.15">
      <c r="A47" s="16" t="s">
        <v>99</v>
      </c>
      <c r="B47" s="13"/>
      <c r="C47" s="13"/>
      <c r="D47" s="18" t="s">
        <v>100</v>
      </c>
      <c r="E47" s="16" t="s">
        <v>107</v>
      </c>
      <c r="F47" s="32">
        <v>100000</v>
      </c>
      <c r="G47" s="33">
        <v>37177</v>
      </c>
      <c r="H47" s="33"/>
      <c r="I47" s="25">
        <v>412</v>
      </c>
      <c r="J47" s="32">
        <v>0</v>
      </c>
      <c r="K47" s="33">
        <v>0</v>
      </c>
      <c r="L47" s="25">
        <v>0</v>
      </c>
      <c r="M47" s="40">
        <f t="shared" si="22"/>
        <v>100000</v>
      </c>
      <c r="N47" s="40">
        <f t="shared" si="23"/>
        <v>37177</v>
      </c>
      <c r="O47" s="25">
        <f t="shared" si="24"/>
        <v>412</v>
      </c>
      <c r="P47" s="42">
        <v>1575</v>
      </c>
      <c r="Q47" s="20">
        <f t="shared" si="25"/>
        <v>0.26158730158730159</v>
      </c>
      <c r="R47" s="29">
        <f t="shared" si="26"/>
        <v>90.235436893203882</v>
      </c>
      <c r="S47" s="25"/>
      <c r="T47" s="25"/>
      <c r="U47" s="25">
        <f t="shared" si="27"/>
        <v>0</v>
      </c>
    </row>
    <row r="48" spans="1:21" ht="12.75" customHeight="1" thickBot="1" x14ac:dyDescent="0.2">
      <c r="A48" s="16" t="s">
        <v>94</v>
      </c>
      <c r="B48" s="13"/>
      <c r="C48" s="13"/>
      <c r="D48" s="16" t="s">
        <v>95</v>
      </c>
      <c r="E48" s="16" t="s">
        <v>25</v>
      </c>
      <c r="F48" s="32">
        <v>350000</v>
      </c>
      <c r="G48" s="33">
        <v>5400</v>
      </c>
      <c r="H48" s="33"/>
      <c r="I48" s="25">
        <v>12</v>
      </c>
      <c r="J48" s="32">
        <v>0</v>
      </c>
      <c r="K48" s="33">
        <v>0</v>
      </c>
      <c r="L48" s="25">
        <v>0</v>
      </c>
      <c r="M48" s="40">
        <f t="shared" si="22"/>
        <v>350000</v>
      </c>
      <c r="N48" s="40">
        <f t="shared" si="23"/>
        <v>5400</v>
      </c>
      <c r="O48" s="25">
        <f t="shared" si="24"/>
        <v>12</v>
      </c>
      <c r="P48" s="42">
        <v>1575</v>
      </c>
      <c r="Q48" s="21">
        <f t="shared" si="25"/>
        <v>7.619047619047619E-3</v>
      </c>
      <c r="R48" s="10">
        <f t="shared" si="26"/>
        <v>450</v>
      </c>
      <c r="S48" s="25"/>
      <c r="T48" s="25"/>
      <c r="U48" s="25">
        <f t="shared" si="27"/>
        <v>0</v>
      </c>
    </row>
    <row r="49" spans="1:21" ht="16" customHeight="1" thickBot="1" x14ac:dyDescent="0.2">
      <c r="A49" s="3" t="s">
        <v>9</v>
      </c>
      <c r="B49" s="4"/>
      <c r="C49" s="4"/>
      <c r="D49" s="4"/>
      <c r="E49" s="4"/>
      <c r="F49" s="35">
        <f t="shared" ref="F49:P49" si="28">SUM(F37:F48)</f>
        <v>2433000</v>
      </c>
      <c r="G49" s="39">
        <f t="shared" si="28"/>
        <v>1539174</v>
      </c>
      <c r="H49" s="39">
        <v>1065982</v>
      </c>
      <c r="I49" s="27">
        <f t="shared" si="28"/>
        <v>22411</v>
      </c>
      <c r="J49" s="35">
        <f t="shared" si="28"/>
        <v>0</v>
      </c>
      <c r="K49" s="39">
        <f t="shared" si="28"/>
        <v>10795</v>
      </c>
      <c r="L49" s="27">
        <f t="shared" si="28"/>
        <v>272</v>
      </c>
      <c r="M49" s="35">
        <f t="shared" si="28"/>
        <v>2433000</v>
      </c>
      <c r="N49" s="39">
        <f t="shared" si="28"/>
        <v>1549969</v>
      </c>
      <c r="O49" s="27">
        <f t="shared" si="28"/>
        <v>22683</v>
      </c>
      <c r="P49" s="43">
        <f t="shared" si="28"/>
        <v>35493</v>
      </c>
      <c r="Q49" s="28">
        <f>O49/P49</f>
        <v>0.63908376299552028</v>
      </c>
      <c r="R49" s="31">
        <f t="shared" si="26"/>
        <v>68.331746241678786</v>
      </c>
      <c r="S49" s="43">
        <f>SUM(S37:S47)</f>
        <v>0</v>
      </c>
      <c r="T49" s="43">
        <f t="shared" ref="T49:U49" si="29">SUM(T37:T47)</f>
        <v>0</v>
      </c>
      <c r="U49" s="43">
        <f t="shared" si="29"/>
        <v>0</v>
      </c>
    </row>
    <row r="50" spans="1:21" ht="16" customHeight="1" thickBot="1" x14ac:dyDescent="0.2">
      <c r="A50" s="3" t="s">
        <v>5</v>
      </c>
      <c r="B50" s="4"/>
      <c r="C50" s="4"/>
      <c r="D50" s="4"/>
      <c r="E50" s="4"/>
      <c r="F50" s="35">
        <f>SUM(F20,F28,F35,F49)</f>
        <v>4206000</v>
      </c>
      <c r="G50" s="39">
        <f t="shared" ref="G50" si="30">SUM(G20,G28,G35,G49)</f>
        <v>2515203</v>
      </c>
      <c r="H50" s="39">
        <v>2056187</v>
      </c>
      <c r="I50" s="27">
        <f>SUM(I20,I28,I35,I49)</f>
        <v>37437</v>
      </c>
      <c r="J50" s="35">
        <f>SUM(J20,J28,J35,J49)</f>
        <v>2438000</v>
      </c>
      <c r="K50" s="39">
        <f t="shared" ref="K50" si="31">SUM(K20,K28,K35,K49)</f>
        <v>2316096</v>
      </c>
      <c r="L50" s="27">
        <f>SUM(L20,L28,L35,L49)</f>
        <v>40563</v>
      </c>
      <c r="M50" s="35">
        <f>SUM(M20,M28,M35,M49)</f>
        <v>6644000</v>
      </c>
      <c r="N50" s="39">
        <f t="shared" ref="N50" si="32">SUM(N20,N28,N35,N49)</f>
        <v>4831299</v>
      </c>
      <c r="O50" s="27">
        <f>SUM(O20,O28,O35,O49)</f>
        <v>78000</v>
      </c>
      <c r="P50" s="43">
        <f>SUM(P20,P28,P35,P49)</f>
        <v>137202</v>
      </c>
      <c r="Q50" s="28">
        <f>O50/P50</f>
        <v>0.56850483229107451</v>
      </c>
      <c r="R50" s="31">
        <f t="shared" si="26"/>
        <v>61.939730769230771</v>
      </c>
      <c r="S50" s="43">
        <f>SUM(S20,S28,S35,S49)</f>
        <v>10</v>
      </c>
      <c r="T50" s="43">
        <f t="shared" ref="T50:U50" si="33">SUM(T20,T28,T35,T49)</f>
        <v>100</v>
      </c>
      <c r="U50" s="43">
        <f t="shared" si="33"/>
        <v>110</v>
      </c>
    </row>
    <row r="51" spans="1:21" ht="12.75" customHeight="1" x14ac:dyDescent="0.15">
      <c r="A51" s="9"/>
      <c r="T51" s="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2024-11-15T16:01:32Z</dcterms:modified>
</cp:coreProperties>
</file>