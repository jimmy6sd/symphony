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Dropbox/_KCS/Marketing/Ticket Sales Reports/FY24/"/>
    </mc:Choice>
  </mc:AlternateContent>
  <xr:revisionPtr revIDLastSave="0" documentId="8_{0EEE35DC-F84A-FE4D-A679-7890FFB935A6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U48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49" i="1"/>
  <c r="S49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P49" i="1"/>
  <c r="P35" i="1"/>
  <c r="P28" i="1"/>
  <c r="P20" i="1"/>
  <c r="L49" i="1"/>
  <c r="K49" i="1"/>
  <c r="J49" i="1"/>
  <c r="L35" i="1"/>
  <c r="K35" i="1"/>
  <c r="J35" i="1"/>
  <c r="L28" i="1"/>
  <c r="K28" i="1"/>
  <c r="J28" i="1"/>
  <c r="L20" i="1"/>
  <c r="K20" i="1"/>
  <c r="J20" i="1"/>
  <c r="I49" i="1"/>
  <c r="G49" i="1"/>
  <c r="F49" i="1"/>
  <c r="I35" i="1"/>
  <c r="G35" i="1"/>
  <c r="F35" i="1"/>
  <c r="I28" i="1"/>
  <c r="I20" i="1"/>
  <c r="G20" i="1"/>
  <c r="O48" i="1"/>
  <c r="N48" i="1"/>
  <c r="M48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0" i="1"/>
  <c r="R48" i="1"/>
  <c r="Q48" i="1"/>
  <c r="R19" i="1"/>
  <c r="U35" i="1"/>
  <c r="U49" i="1"/>
  <c r="F50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0" i="1"/>
  <c r="R39" i="1"/>
  <c r="R38" i="1"/>
  <c r="R23" i="1"/>
  <c r="R37" i="1"/>
  <c r="G50" i="1"/>
  <c r="S50" i="1"/>
  <c r="U20" i="1"/>
  <c r="I50" i="1"/>
  <c r="N28" i="1"/>
  <c r="N35" i="1"/>
  <c r="M49" i="1"/>
  <c r="N49" i="1"/>
  <c r="O35" i="1"/>
  <c r="Q35" i="1" s="1"/>
  <c r="M28" i="1"/>
  <c r="O20" i="1"/>
  <c r="Q20" i="1" s="1"/>
  <c r="O28" i="1"/>
  <c r="Q28" i="1" s="1"/>
  <c r="N20" i="1"/>
  <c r="O49" i="1"/>
  <c r="Q49" i="1" s="1"/>
  <c r="K50" i="1"/>
  <c r="M20" i="1"/>
  <c r="J50" i="1"/>
  <c r="L50" i="1"/>
  <c r="U50" i="1" l="1"/>
  <c r="M50" i="1"/>
  <c r="R35" i="1"/>
  <c r="R28" i="1"/>
  <c r="R20" i="1"/>
  <c r="N50" i="1"/>
  <c r="R49" i="1"/>
  <c r="O50" i="1"/>
  <c r="Q50" i="1" s="1"/>
  <c r="R50" i="1" l="1"/>
</calcChain>
</file>

<file path=xl/sharedStrings.xml><?xml version="1.0" encoding="utf-8"?>
<sst xmlns="http://schemas.openxmlformats.org/spreadsheetml/2006/main" count="160" uniqueCount="136">
  <si>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</si>
  <si>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</si>
  <si>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</si>
  <si>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</si>
  <si>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</si>
  <si>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</si>
  <si>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</si>
  <si>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</si>
  <si>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</si>
  <si>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</si>
  <si>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</si>
  <si>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</si>
  <si>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</si>
  <si>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</si>
  <si>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</si>
  <si>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</si>
  <si>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</si>
  <si>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</si>
  <si>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</si>
  <si>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</si>
  <si>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</si>
  <si>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</si>
  <si>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</si>
  <si>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</si>
  <si>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</si>
  <si>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</si>
  <si>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</si>
  <si>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</si>
  <si>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</si>
  <si>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</si>
  <si>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</si>
  <si>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</si>
  <si>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</si>
  <si>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</si>
  <si>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</si>
  <si>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</si>
  <si>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</si>
  <si>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</si>
  <si>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</si>
  <si>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</si>
  <si>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</si>
  <si>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</si>
  <si>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</si>
  <si>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</si>
  <si>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</si>
  <si>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</si>
  <si>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</si>
  <si>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</si>
  <si>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</si>
  <si>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</si>
  <si>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</si>
  <si>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</si>
  <si>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</si>
  <si>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</si>
  <si>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</si>
  <si>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</si>
  <si>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</si>
  <si>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</si>
  <si>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</si>
  <si>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</si>
  <si>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</si>
  <si>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</si>
  <si>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</si>
  <si>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</si>
  <si>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</si>
  <si>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</si>
  <si>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</si>
  <si>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</si>
  <si>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</si>
  <si>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</si>
  <si>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</si>
  <si>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</si>
  <si>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</si>
  <si>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</si>
  <si>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</si>
  <si>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</si>
  <si>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</si>
  <si>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</si>
  <si>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</si>
  <si>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</si>
  <si>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</si>
  <si>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</si>
  <si>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</si>
  <si>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</si>
  <si>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</si>
  <si>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</si>
  <si>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</si>
  <si>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</si>
  <si>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</si>
  <si>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</si>
  <si>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</si>
  <si>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</si>
  <si>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</si>
  <si>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</si>
  <si>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</si>
  <si>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</si>
  <si>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</si>
  <si>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Pamela Frank/Beethoven VC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</si>
  <si>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</si>
  <si>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</si>
  <si>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</si>
  <si>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</si>
  <si>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</si>
  <si>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</si>
  <si>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</si>
  <si>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</si>
  <si>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</si>
  <si>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</si>
  <si>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</si>
  <si>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</si>
  <si>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</si>
  <si>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</si>
  <si>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</si>
  <si>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</si>
  <si>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</si>
  <si>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</si>
  <si>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</si>
  <si>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</si>
  <si>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</si>
  <si>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</si>
  <si>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</si>
  <si>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</si>
  <si>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</si>
  <si>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</si>
  <si>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</si>
  <si>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</si>
  <si>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</si>
  <si>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</si>
  <si>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</si>
  <si>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</si>
  <si>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</si>
  <si>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</si>
  <si>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</si>
  <si>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TO GO</t>
  </si>
  <si>
    <t>Demirjian</t>
  </si>
  <si>
    <t>Revised: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</si>
</sst>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8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5" fontId="1" fillId="0" borderId="4" xfId="0" applyNumberFormat="1" applyFont="1" applyBorder="1"/>
    <xf numFmtId="165" fontId="1" fillId="0" borderId="4" xfId="1" applyNumberFormat="1" applyFont="1" applyBorder="1" applyAlignment="1">
      <alignment horizontal="center"/>
    </xf>
    <xf numFmtId="165" fontId="1" fillId="0" borderId="4" xfId="1" applyNumberFormat="1" applyFont="1" applyBorder="1" applyAlignment="1">
      <alignment horizontal="right"/>
    </xf>
    <xf numFmtId="164" fontId="1" fillId="0" borderId="4" xfId="2" applyNumberFormat="1" applyFont="1" applyBorder="1"/>
    <xf numFmtId="165" fontId="1" fillId="0" borderId="4" xfId="1" applyNumberFormat="1" applyFont="1" applyBorder="1"/>
    <xf numFmtId="3" fontId="1" fillId="0" borderId="4" xfId="2" applyNumberFormat="1" applyFont="1" applyBorder="1" applyAlignment="1">
      <alignment horizontal="center"/>
    </xf>
    <xf numFmtId="44" fontId="1" fillId="0" borderId="4" xfId="1" applyFont="1" applyBorder="1" applyAlignment="1">
      <alignment horizontal="center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165" fontId="1" fillId="0" borderId="4" xfId="1" applyNumberFormat="1" applyFont="1" applyFill="1" applyBorder="1" applyAlignment="1">
      <alignment horizontal="right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4" xfId="1" applyNumberFormat="1" applyFont="1" applyFill="1" applyBorder="1" applyAlignment="1">
      <alignment horizontal="right"/>
    </xf>
    <xf numFmtId="9" fontId="0" fillId="0" borderId="4" xfId="1" applyNumberFormat="1" applyFont="1" applyBorder="1" applyAlignment="1">
      <alignment horizontal="center"/>
    </xf>
    <xf numFmtId="165" fontId="0" fillId="0" borderId="0" xfId="1" applyNumberFormat="1" applyFont="1" applyBorder="1"/>
    <xf numFmtId="14" fontId="4" fillId="4" borderId="0" xfId="0" applyNumberFormat="1" applyFont="1" applyFill="1"/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1"/>
  <sheetViews>
    <sheetView showGridLines="0" tabSelected="1" workbookViewId="0">
      <selection activeCell="Y38" sqref="Y38:Y39"/>
    </sheetView>
  </sheetViews>
  <sheetFormatPr baseColWidth="10" defaultColWidth="8.83203125" defaultRowHeight="13" x14ac:dyDescent="0.15"/>
  <cols>
    <col min="1" max="1" width="5.5" customWidth="1"/>
    <col min="3" max="3" width="17.1640625" customWidth="1"/>
    <col min="4" max="4" width="13.33203125" bestFit="1" customWidth="1"/>
    <col min="5" max="5" width="13" customWidth="1"/>
    <col min="6" max="7" width="11.33203125" bestFit="1" customWidth="1"/>
    <col min="8" max="8" width="11.1640625" customWidth="1"/>
    <col min="9" max="9" width="8.33203125" customWidth="1"/>
    <col min="10" max="11" width="11.33203125" bestFit="1" customWidth="1"/>
    <col min="12" max="12" width="7.6640625" bestFit="1" customWidth="1"/>
    <col min="13" max="14" width="11.33203125" bestFit="1" customWidth="1"/>
    <col min="15" max="15" width="7.5" customWidth="1"/>
    <col min="16" max="16" width="10.1640625" customWidth="1"/>
    <col min="17" max="17" width="6.83203125" customWidth="1"/>
    <col min="18" max="18" width="9" customWidth="1"/>
    <col min="19" max="19" width="8.5" customWidth="1"/>
    <col min="20" max="20" width="11.33203125" customWidth="1"/>
    <col min="21" max="21" width="7.1640625" customWidth="1"/>
  </cols>
  <sheetData>
    <row r="1" spans="1:21" ht="16" x14ac:dyDescent="0.2">
      <c r="A1" s="12"/>
      <c r="B1" s="9"/>
      <c r="C1" s="9"/>
      <c r="E1" s="14" t="s">
        <v>115</v>
      </c>
      <c r="F1" s="14"/>
      <c r="G1" s="14"/>
      <c r="H1" s="14"/>
      <c r="Q1" s="15" t="s">
        <v>135</v>
      </c>
      <c r="R1" s="82">
        <v>45271</v>
      </c>
    </row>
    <row r="2" spans="1:21" x14ac:dyDescent="0.15">
      <c r="A2" s="9"/>
      <c r="E2" s="13" t="s">
        <v>27</v>
      </c>
    </row>
    <row r="3" spans="1:21" x14ac:dyDescent="0.15">
      <c r="E3" s="16"/>
      <c r="F3" s="83" t="s">
        <v>116</v>
      </c>
      <c r="G3" s="83"/>
      <c r="H3" s="83"/>
      <c r="I3" s="83"/>
      <c r="J3" s="84" t="s">
        <v>117</v>
      </c>
      <c r="K3" s="84"/>
      <c r="L3" s="84"/>
      <c r="M3" s="85" t="s">
        <v>118</v>
      </c>
      <c r="N3" s="85"/>
      <c r="O3" s="85"/>
      <c r="P3" s="87" t="s">
        <v>125</v>
      </c>
      <c r="Q3" s="87"/>
      <c r="R3" s="87"/>
      <c r="S3" s="86" t="s">
        <v>131</v>
      </c>
      <c r="T3" s="86"/>
      <c r="U3" s="86"/>
    </row>
    <row r="4" spans="1:21" x14ac:dyDescent="0.15">
      <c r="E4" s="16"/>
      <c r="P4" s="19" t="s">
        <v>126</v>
      </c>
      <c r="Q4" s="19" t="s">
        <v>35</v>
      </c>
      <c r="R4" s="19" t="s">
        <v>119</v>
      </c>
      <c r="S4" s="19" t="s">
        <v>120</v>
      </c>
      <c r="T4" s="19" t="s">
        <v>120</v>
      </c>
      <c r="U4" s="19" t="s">
        <v>123</v>
      </c>
    </row>
    <row r="5" spans="1:21" ht="12.75" customHeight="1" x14ac:dyDescent="0.15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133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127</v>
      </c>
      <c r="Q5" s="8" t="s">
        <v>33</v>
      </c>
      <c r="R5" s="8" t="s">
        <v>34</v>
      </c>
      <c r="S5" s="8" t="s">
        <v>121</v>
      </c>
      <c r="T5" s="8" t="s">
        <v>122</v>
      </c>
      <c r="U5" s="8" t="s">
        <v>124</v>
      </c>
    </row>
    <row r="6" spans="1:21" x14ac:dyDescent="0.15">
      <c r="A6" t="s">
        <v>10</v>
      </c>
      <c r="B6" t="s">
        <v>109</v>
      </c>
      <c r="D6" t="s">
        <v>36</v>
      </c>
      <c r="E6" t="s">
        <v>25</v>
      </c>
      <c r="F6" s="75">
        <v>38000</v>
      </c>
      <c r="G6" s="76">
        <v>34287</v>
      </c>
      <c r="H6" s="76"/>
      <c r="I6" s="77">
        <v>755</v>
      </c>
      <c r="J6" s="75">
        <v>125179</v>
      </c>
      <c r="K6" s="76">
        <v>119397</v>
      </c>
      <c r="L6" s="77">
        <v>2094</v>
      </c>
      <c r="M6" s="75">
        <f t="shared" ref="M6:M19" si="0">F6+J6</f>
        <v>163179</v>
      </c>
      <c r="N6" s="76">
        <f t="shared" ref="N6:N19" si="1">G6+K6</f>
        <v>153684</v>
      </c>
      <c r="O6" s="77">
        <f t="shared" ref="O6:O19" si="2">I6+L6</f>
        <v>2849</v>
      </c>
      <c r="P6" s="78">
        <v>4725</v>
      </c>
      <c r="Q6" s="69">
        <f>O6/P6</f>
        <v>0.60296296296296292</v>
      </c>
      <c r="R6" s="41">
        <f t="shared" ref="R6:R20" si="3">N6/O6</f>
        <v>53.943137943137941</v>
      </c>
      <c r="S6" s="77">
        <v>10</v>
      </c>
      <c r="T6" s="77">
        <v>100</v>
      </c>
      <c r="U6" s="77">
        <f>SUM(S6:T6)</f>
        <v>110</v>
      </c>
    </row>
    <row r="7" spans="1:21" x14ac:dyDescent="0.15">
      <c r="A7" t="s">
        <v>11</v>
      </c>
      <c r="B7" t="s">
        <v>110</v>
      </c>
      <c r="D7" t="s">
        <v>37</v>
      </c>
      <c r="E7" t="s">
        <v>25</v>
      </c>
      <c r="F7" s="75">
        <v>38000</v>
      </c>
      <c r="G7" s="76">
        <v>26681</v>
      </c>
      <c r="H7" s="76"/>
      <c r="I7" s="77">
        <v>782</v>
      </c>
      <c r="J7" s="75">
        <v>125217</v>
      </c>
      <c r="K7" s="76">
        <v>116837</v>
      </c>
      <c r="L7" s="77">
        <v>2031</v>
      </c>
      <c r="M7" s="75">
        <f t="shared" si="0"/>
        <v>163217</v>
      </c>
      <c r="N7" s="76">
        <f t="shared" si="1"/>
        <v>143518</v>
      </c>
      <c r="O7" s="77">
        <f t="shared" si="2"/>
        <v>2813</v>
      </c>
      <c r="P7" s="78">
        <v>4725</v>
      </c>
      <c r="Q7" s="20">
        <f t="shared" ref="Q7:Q19" si="4">O7/P7</f>
        <v>0.5953439153439154</v>
      </c>
      <c r="R7" s="41">
        <f t="shared" si="3"/>
        <v>51.019552079630287</v>
      </c>
      <c r="S7" s="77"/>
      <c r="T7" s="77"/>
      <c r="U7" s="77">
        <f t="shared" ref="U7:U19" si="5">SUM(S7:T7)</f>
        <v>0</v>
      </c>
    </row>
    <row r="8" spans="1:21" x14ac:dyDescent="0.15">
      <c r="A8" t="s">
        <v>12</v>
      </c>
      <c r="B8" t="s">
        <v>111</v>
      </c>
      <c r="D8" t="s">
        <v>38</v>
      </c>
      <c r="E8" t="s">
        <v>40</v>
      </c>
      <c r="F8" s="75">
        <v>35000</v>
      </c>
      <c r="G8" s="76">
        <v>55138</v>
      </c>
      <c r="H8" s="76"/>
      <c r="I8" s="77">
        <v>1149</v>
      </c>
      <c r="J8" s="75">
        <v>125217</v>
      </c>
      <c r="K8" s="76">
        <v>117086</v>
      </c>
      <c r="L8" s="77">
        <v>2050</v>
      </c>
      <c r="M8" s="75">
        <f t="shared" si="0"/>
        <v>160217</v>
      </c>
      <c r="N8" s="76">
        <f t="shared" si="1"/>
        <v>172224</v>
      </c>
      <c r="O8" s="77">
        <f t="shared" si="2"/>
        <v>3199</v>
      </c>
      <c r="P8" s="78">
        <v>4254</v>
      </c>
      <c r="Q8" s="20">
        <f t="shared" si="4"/>
        <v>0.75199811941701933</v>
      </c>
      <c r="R8" s="41">
        <f t="shared" si="3"/>
        <v>53.836824007502344</v>
      </c>
      <c r="S8" s="77"/>
      <c r="T8" s="77"/>
      <c r="U8" s="77">
        <f t="shared" si="5"/>
        <v>0</v>
      </c>
    </row>
    <row r="9" spans="1:21" x14ac:dyDescent="0.15">
      <c r="A9" s="48" t="s">
        <v>13</v>
      </c>
      <c r="B9" s="48" t="s">
        <v>129</v>
      </c>
      <c r="C9" s="48"/>
      <c r="D9" s="55" t="s">
        <v>39</v>
      </c>
      <c r="E9" s="48" t="s">
        <v>41</v>
      </c>
      <c r="F9" s="49">
        <v>50000</v>
      </c>
      <c r="G9" s="50">
        <v>38464</v>
      </c>
      <c r="H9" s="50"/>
      <c r="I9" s="51">
        <v>789</v>
      </c>
      <c r="J9" s="49">
        <v>125217</v>
      </c>
      <c r="K9" s="50">
        <v>119174</v>
      </c>
      <c r="L9" s="51">
        <v>2086</v>
      </c>
      <c r="M9" s="49">
        <f t="shared" si="0"/>
        <v>175217</v>
      </c>
      <c r="N9" s="50">
        <f t="shared" si="1"/>
        <v>157638</v>
      </c>
      <c r="O9" s="51">
        <f t="shared" si="2"/>
        <v>2875</v>
      </c>
      <c r="P9" s="52">
        <v>4725</v>
      </c>
      <c r="Q9" s="74">
        <f t="shared" si="4"/>
        <v>0.60846560846560849</v>
      </c>
      <c r="R9" s="54">
        <f t="shared" si="3"/>
        <v>54.830608695652174</v>
      </c>
      <c r="S9" s="51"/>
      <c r="T9" s="51"/>
      <c r="U9" s="51">
        <f t="shared" si="5"/>
        <v>0</v>
      </c>
    </row>
    <row r="10" spans="1:21" x14ac:dyDescent="0.15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28268</v>
      </c>
      <c r="H10" s="33"/>
      <c r="I10" s="25">
        <v>423</v>
      </c>
      <c r="J10" s="32">
        <v>125217</v>
      </c>
      <c r="K10" s="33">
        <v>120640</v>
      </c>
      <c r="L10" s="25">
        <v>2086</v>
      </c>
      <c r="M10" s="32">
        <f t="shared" si="0"/>
        <v>180217</v>
      </c>
      <c r="N10" s="33">
        <f t="shared" si="1"/>
        <v>148908</v>
      </c>
      <c r="O10" s="25">
        <f t="shared" si="2"/>
        <v>2509</v>
      </c>
      <c r="P10" s="42">
        <v>4725</v>
      </c>
      <c r="Q10" s="20">
        <f t="shared" si="4"/>
        <v>0.53100529100529104</v>
      </c>
      <c r="R10" s="29">
        <f t="shared" si="3"/>
        <v>59.349541650059784</v>
      </c>
      <c r="S10" s="25"/>
      <c r="T10" s="25"/>
      <c r="U10" s="25">
        <f t="shared" si="5"/>
        <v>0</v>
      </c>
    </row>
    <row r="11" spans="1:21" x14ac:dyDescent="0.15">
      <c r="A11" t="s">
        <v>15</v>
      </c>
      <c r="B11" t="s">
        <v>44</v>
      </c>
      <c r="D11" t="s">
        <v>45</v>
      </c>
      <c r="E11" t="s">
        <v>101</v>
      </c>
      <c r="F11" s="32">
        <v>40000</v>
      </c>
      <c r="G11" s="33">
        <v>11062</v>
      </c>
      <c r="H11" s="33"/>
      <c r="I11" s="25">
        <v>195</v>
      </c>
      <c r="J11" s="32">
        <v>125217</v>
      </c>
      <c r="K11" s="33">
        <v>117160</v>
      </c>
      <c r="L11" s="25">
        <v>2066</v>
      </c>
      <c r="M11" s="32">
        <f t="shared" si="0"/>
        <v>165217</v>
      </c>
      <c r="N11" s="33">
        <f t="shared" si="1"/>
        <v>128222</v>
      </c>
      <c r="O11" s="25">
        <f t="shared" si="2"/>
        <v>2261</v>
      </c>
      <c r="P11" s="42">
        <v>4725</v>
      </c>
      <c r="Q11" s="20">
        <f t="shared" si="4"/>
        <v>0.47851851851851851</v>
      </c>
      <c r="R11" s="29">
        <f t="shared" si="3"/>
        <v>56.71030517470146</v>
      </c>
      <c r="S11" s="25"/>
      <c r="T11" s="25"/>
      <c r="U11" s="25">
        <f t="shared" si="5"/>
        <v>0</v>
      </c>
    </row>
    <row r="12" spans="1:21" x14ac:dyDescent="0.15">
      <c r="A12" t="s">
        <v>16</v>
      </c>
      <c r="B12" t="s">
        <v>97</v>
      </c>
      <c r="D12" t="s">
        <v>46</v>
      </c>
      <c r="E12" s="16" t="s">
        <v>25</v>
      </c>
      <c r="F12" s="32">
        <v>40000</v>
      </c>
      <c r="G12" s="33">
        <v>5068</v>
      </c>
      <c r="H12" s="33"/>
      <c r="I12" s="25">
        <v>98</v>
      </c>
      <c r="J12" s="32">
        <v>125217</v>
      </c>
      <c r="K12" s="33">
        <v>124033</v>
      </c>
      <c r="L12" s="25">
        <v>2162</v>
      </c>
      <c r="M12" s="32">
        <f t="shared" si="0"/>
        <v>165217</v>
      </c>
      <c r="N12" s="33">
        <f t="shared" si="1"/>
        <v>129101</v>
      </c>
      <c r="O12" s="25">
        <f t="shared" si="2"/>
        <v>2260</v>
      </c>
      <c r="P12" s="42">
        <v>4725</v>
      </c>
      <c r="Q12" s="20">
        <f t="shared" si="4"/>
        <v>0.47830687830687829</v>
      </c>
      <c r="R12" s="29">
        <f t="shared" si="3"/>
        <v>57.124336283185841</v>
      </c>
      <c r="S12" s="25"/>
      <c r="T12" s="25"/>
      <c r="U12" s="25">
        <f t="shared" si="5"/>
        <v>0</v>
      </c>
    </row>
    <row r="13" spans="1:21" x14ac:dyDescent="0.15">
      <c r="A13" t="s">
        <v>17</v>
      </c>
      <c r="B13" t="s">
        <v>98</v>
      </c>
      <c r="D13" s="16" t="s">
        <v>47</v>
      </c>
      <c r="E13" s="16" t="s">
        <v>102</v>
      </c>
      <c r="F13" s="32">
        <v>40000</v>
      </c>
      <c r="G13" s="33">
        <v>9324</v>
      </c>
      <c r="H13" s="33"/>
      <c r="I13" s="25">
        <v>219</v>
      </c>
      <c r="J13" s="32">
        <v>125217</v>
      </c>
      <c r="K13" s="33">
        <v>119596</v>
      </c>
      <c r="L13" s="25">
        <v>2080</v>
      </c>
      <c r="M13" s="32">
        <f t="shared" si="0"/>
        <v>165217</v>
      </c>
      <c r="N13" s="33">
        <f t="shared" si="1"/>
        <v>128920</v>
      </c>
      <c r="O13" s="25">
        <f t="shared" si="2"/>
        <v>2299</v>
      </c>
      <c r="P13" s="42">
        <v>4725</v>
      </c>
      <c r="Q13" s="20">
        <f t="shared" si="4"/>
        <v>0.48656084656084658</v>
      </c>
      <c r="R13" s="29">
        <f t="shared" si="3"/>
        <v>56.076555023923447</v>
      </c>
      <c r="S13" s="25"/>
      <c r="T13" s="25"/>
      <c r="U13" s="25">
        <f t="shared" si="5"/>
        <v>0</v>
      </c>
    </row>
    <row r="14" spans="1:21" x14ac:dyDescent="0.15">
      <c r="A14" t="s">
        <v>18</v>
      </c>
      <c r="B14" t="s">
        <v>103</v>
      </c>
      <c r="D14" s="16" t="s">
        <v>48</v>
      </c>
      <c r="E14" t="s">
        <v>104</v>
      </c>
      <c r="F14" s="32">
        <v>40000</v>
      </c>
      <c r="G14" s="33">
        <v>7005</v>
      </c>
      <c r="H14" s="33"/>
      <c r="I14" s="25">
        <v>116</v>
      </c>
      <c r="J14" s="32">
        <v>125217</v>
      </c>
      <c r="K14" s="33">
        <v>120608</v>
      </c>
      <c r="L14" s="25">
        <v>2109</v>
      </c>
      <c r="M14" s="32">
        <f t="shared" si="0"/>
        <v>165217</v>
      </c>
      <c r="N14" s="33">
        <f t="shared" si="1"/>
        <v>127613</v>
      </c>
      <c r="O14" s="25">
        <f t="shared" si="2"/>
        <v>2225</v>
      </c>
      <c r="P14" s="42">
        <v>4725</v>
      </c>
      <c r="Q14" s="20">
        <f t="shared" si="4"/>
        <v>0.47089947089947087</v>
      </c>
      <c r="R14" s="29">
        <f t="shared" si="3"/>
        <v>57.354157303370783</v>
      </c>
      <c r="S14" s="25"/>
      <c r="T14" s="25"/>
      <c r="U14" s="25">
        <f t="shared" si="5"/>
        <v>0</v>
      </c>
    </row>
    <row r="15" spans="1:21" x14ac:dyDescent="0.15">
      <c r="A15" t="s">
        <v>19</v>
      </c>
      <c r="B15" s="16" t="s">
        <v>105</v>
      </c>
      <c r="D15" s="16" t="s">
        <v>49</v>
      </c>
      <c r="E15" s="16" t="s">
        <v>25</v>
      </c>
      <c r="F15" s="32">
        <v>35000</v>
      </c>
      <c r="G15" s="33">
        <v>8830</v>
      </c>
      <c r="H15" s="33"/>
      <c r="I15" s="25">
        <v>138</v>
      </c>
      <c r="J15" s="32">
        <v>125217</v>
      </c>
      <c r="K15" s="33">
        <v>116744</v>
      </c>
      <c r="L15" s="25">
        <v>2046</v>
      </c>
      <c r="M15" s="32">
        <f t="shared" si="0"/>
        <v>160217</v>
      </c>
      <c r="N15" s="33">
        <f t="shared" si="1"/>
        <v>125574</v>
      </c>
      <c r="O15" s="25">
        <f t="shared" si="2"/>
        <v>2184</v>
      </c>
      <c r="P15" s="42">
        <v>4725</v>
      </c>
      <c r="Q15" s="20">
        <f t="shared" si="4"/>
        <v>0.4622222222222222</v>
      </c>
      <c r="R15" s="29">
        <f t="shared" si="3"/>
        <v>57.497252747252745</v>
      </c>
      <c r="S15" s="25"/>
      <c r="T15" s="25"/>
      <c r="U15" s="25">
        <f t="shared" si="5"/>
        <v>0</v>
      </c>
    </row>
    <row r="16" spans="1:21" x14ac:dyDescent="0.15">
      <c r="A16" t="s">
        <v>20</v>
      </c>
      <c r="B16" s="16" t="s">
        <v>106</v>
      </c>
      <c r="D16" s="16" t="s">
        <v>50</v>
      </c>
      <c r="E16" s="16" t="s">
        <v>25</v>
      </c>
      <c r="F16" s="32">
        <v>45000</v>
      </c>
      <c r="G16" s="33">
        <v>5261</v>
      </c>
      <c r="H16" s="33"/>
      <c r="I16" s="25">
        <v>111</v>
      </c>
      <c r="J16" s="32">
        <v>125217</v>
      </c>
      <c r="K16" s="33">
        <v>124113</v>
      </c>
      <c r="L16" s="25">
        <v>2159</v>
      </c>
      <c r="M16" s="32">
        <f t="shared" si="0"/>
        <v>170217</v>
      </c>
      <c r="N16" s="33">
        <f t="shared" si="1"/>
        <v>129374</v>
      </c>
      <c r="O16" s="25">
        <f t="shared" si="2"/>
        <v>2270</v>
      </c>
      <c r="P16" s="42">
        <v>4725</v>
      </c>
      <c r="Q16" s="20">
        <f t="shared" si="4"/>
        <v>0.48042328042328042</v>
      </c>
      <c r="R16" s="29">
        <f t="shared" si="3"/>
        <v>56.992951541850218</v>
      </c>
      <c r="S16" s="25"/>
      <c r="T16" s="25"/>
      <c r="U16" s="25">
        <f t="shared" si="5"/>
        <v>0</v>
      </c>
    </row>
    <row r="17" spans="1:21" x14ac:dyDescent="0.15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18573</v>
      </c>
      <c r="H17" s="33"/>
      <c r="I17" s="25">
        <v>296</v>
      </c>
      <c r="J17" s="32">
        <v>125217</v>
      </c>
      <c r="K17" s="33">
        <v>119601</v>
      </c>
      <c r="L17" s="25">
        <v>2074</v>
      </c>
      <c r="M17" s="32">
        <f t="shared" si="0"/>
        <v>180217</v>
      </c>
      <c r="N17" s="33">
        <f t="shared" si="1"/>
        <v>138174</v>
      </c>
      <c r="O17" s="25">
        <f t="shared" si="2"/>
        <v>2370</v>
      </c>
      <c r="P17" s="42">
        <v>4725</v>
      </c>
      <c r="Q17" s="20">
        <f t="shared" si="4"/>
        <v>0.50158730158730158</v>
      </c>
      <c r="R17" s="29">
        <f t="shared" si="3"/>
        <v>58.301265822784814</v>
      </c>
      <c r="S17" s="25"/>
      <c r="T17" s="25"/>
      <c r="U17" s="25">
        <f t="shared" si="5"/>
        <v>0</v>
      </c>
    </row>
    <row r="18" spans="1:21" x14ac:dyDescent="0.15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12128</v>
      </c>
      <c r="H18" s="33"/>
      <c r="I18" s="25">
        <v>216</v>
      </c>
      <c r="J18" s="32">
        <v>125217</v>
      </c>
      <c r="K18" s="33">
        <v>120839</v>
      </c>
      <c r="L18" s="25">
        <v>2100</v>
      </c>
      <c r="M18" s="32">
        <f t="shared" si="0"/>
        <v>163217</v>
      </c>
      <c r="N18" s="33">
        <f t="shared" si="1"/>
        <v>132967</v>
      </c>
      <c r="O18" s="25">
        <f t="shared" si="2"/>
        <v>2316</v>
      </c>
      <c r="P18" s="42">
        <v>4254</v>
      </c>
      <c r="Q18" s="20">
        <f t="shared" si="4"/>
        <v>0.54442877291960512</v>
      </c>
      <c r="R18" s="29">
        <f t="shared" si="3"/>
        <v>57.412348877374782</v>
      </c>
      <c r="S18" s="25"/>
      <c r="T18" s="25"/>
      <c r="U18" s="25">
        <f t="shared" si="5"/>
        <v>0</v>
      </c>
    </row>
    <row r="19" spans="1:21" ht="14" thickBot="1" x14ac:dyDescent="0.2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17160</v>
      </c>
      <c r="H19" s="34"/>
      <c r="I19" s="26">
        <v>271</v>
      </c>
      <c r="J19" s="32">
        <v>125217</v>
      </c>
      <c r="K19" s="34">
        <v>122290</v>
      </c>
      <c r="L19" s="26">
        <v>2114</v>
      </c>
      <c r="M19" s="32">
        <f t="shared" si="0"/>
        <v>192217</v>
      </c>
      <c r="N19" s="34">
        <f t="shared" si="1"/>
        <v>139450</v>
      </c>
      <c r="O19" s="26">
        <f t="shared" si="2"/>
        <v>2385</v>
      </c>
      <c r="P19" s="45">
        <v>4725</v>
      </c>
      <c r="Q19" s="21">
        <f t="shared" si="4"/>
        <v>0.50476190476190474</v>
      </c>
      <c r="R19" s="30">
        <f t="shared" si="3"/>
        <v>58.469601677148844</v>
      </c>
      <c r="S19" s="25"/>
      <c r="T19" s="25"/>
      <c r="U19" s="25">
        <f t="shared" si="5"/>
        <v>0</v>
      </c>
    </row>
    <row r="20" spans="1:21" ht="14" thickBot="1" x14ac:dyDescent="0.2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277249</v>
      </c>
      <c r="H20" s="35">
        <v>357888</v>
      </c>
      <c r="I20" s="23">
        <f t="shared" si="6"/>
        <v>5558</v>
      </c>
      <c r="J20" s="35">
        <f>SUM(J6:J19)</f>
        <v>1753000</v>
      </c>
      <c r="K20" s="35">
        <f t="shared" ref="K20" si="7">SUM(K6:K19)</f>
        <v>1678118</v>
      </c>
      <c r="L20" s="23">
        <f t="shared" ref="L20" si="8">SUM(L6:L19)</f>
        <v>29257</v>
      </c>
      <c r="M20" s="35">
        <f>SUM(M6:M19)</f>
        <v>2369000</v>
      </c>
      <c r="N20" s="35">
        <f t="shared" ref="N20" si="9">SUM(N6:N19)</f>
        <v>1955367</v>
      </c>
      <c r="O20" s="23">
        <f t="shared" ref="O20" si="10">SUM(O6:O19)</f>
        <v>34815</v>
      </c>
      <c r="P20" s="43">
        <f>SUM(P6:P19)</f>
        <v>65208</v>
      </c>
      <c r="Q20" s="28">
        <f>O20/P20</f>
        <v>0.53390688259109309</v>
      </c>
      <c r="R20" s="24">
        <f t="shared" si="3"/>
        <v>56.164498061180524</v>
      </c>
      <c r="S20" s="43">
        <f>SUM(S6:S19)</f>
        <v>10</v>
      </c>
      <c r="T20" s="43">
        <f>SUM(T6:T19)</f>
        <v>100</v>
      </c>
      <c r="U20" s="43">
        <f>SUM(U6:U19)</f>
        <v>110</v>
      </c>
    </row>
    <row r="21" spans="1:21" ht="0.75" customHeight="1" x14ac:dyDescent="0.15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15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15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196875</v>
      </c>
      <c r="H23" s="33"/>
      <c r="I23" s="25">
        <v>1618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311594</v>
      </c>
      <c r="O23" s="25">
        <f>I23+L23</f>
        <v>3352</v>
      </c>
      <c r="P23" s="42">
        <v>4707</v>
      </c>
      <c r="Q23" s="20">
        <f t="shared" ref="Q23:Q27" si="12">O23/P23</f>
        <v>0.71213086891863187</v>
      </c>
      <c r="R23" s="29">
        <f t="shared" ref="R23:R28" si="13">N23/O23</f>
        <v>92.957637231503583</v>
      </c>
      <c r="S23" s="25"/>
      <c r="T23" s="25"/>
      <c r="U23" s="25">
        <f t="shared" ref="U23:U27" si="14">SUM(S23:T23)</f>
        <v>0</v>
      </c>
    </row>
    <row r="24" spans="1:21" x14ac:dyDescent="0.15">
      <c r="A24" s="55" t="s">
        <v>60</v>
      </c>
      <c r="B24" s="55"/>
      <c r="C24" s="55"/>
      <c r="D24" s="55" t="s">
        <v>61</v>
      </c>
      <c r="E24" s="55" t="s">
        <v>112</v>
      </c>
      <c r="F24" s="57">
        <v>125000</v>
      </c>
      <c r="G24" s="58">
        <v>131321</v>
      </c>
      <c r="H24" s="58"/>
      <c r="I24" s="59">
        <v>2056</v>
      </c>
      <c r="J24" s="57">
        <v>128000</v>
      </c>
      <c r="K24" s="71">
        <v>118047</v>
      </c>
      <c r="L24" s="59">
        <v>1804</v>
      </c>
      <c r="M24" s="60">
        <f t="shared" si="11"/>
        <v>253000</v>
      </c>
      <c r="N24" s="60">
        <f t="shared" si="11"/>
        <v>249368</v>
      </c>
      <c r="O24" s="59">
        <f>I24+L24</f>
        <v>3860</v>
      </c>
      <c r="P24" s="61">
        <v>4707</v>
      </c>
      <c r="Q24" s="53">
        <f t="shared" si="12"/>
        <v>0.82005523688124071</v>
      </c>
      <c r="R24" s="62">
        <f t="shared" si="13"/>
        <v>64.603108808290159</v>
      </c>
      <c r="S24" s="59"/>
      <c r="T24" s="59"/>
      <c r="U24" s="59">
        <f t="shared" si="14"/>
        <v>0</v>
      </c>
    </row>
    <row r="25" spans="1:21" x14ac:dyDescent="0.15">
      <c r="A25" s="16" t="s">
        <v>96</v>
      </c>
      <c r="B25" s="16"/>
      <c r="C25" s="16"/>
      <c r="D25" s="16" t="s">
        <v>62</v>
      </c>
      <c r="E25" s="16" t="s">
        <v>32</v>
      </c>
      <c r="F25" s="63">
        <v>125000</v>
      </c>
      <c r="G25" s="64">
        <v>40936</v>
      </c>
      <c r="H25" s="64"/>
      <c r="I25" s="65">
        <v>510</v>
      </c>
      <c r="J25" s="63">
        <v>128000</v>
      </c>
      <c r="K25" s="66">
        <v>119991</v>
      </c>
      <c r="L25" s="65">
        <v>1891</v>
      </c>
      <c r="M25" s="67">
        <f t="shared" si="11"/>
        <v>253000</v>
      </c>
      <c r="N25" s="67">
        <f t="shared" si="11"/>
        <v>160927</v>
      </c>
      <c r="O25" s="65">
        <f>I25+L25</f>
        <v>2401</v>
      </c>
      <c r="P25" s="68">
        <v>4707</v>
      </c>
      <c r="Q25" s="69">
        <f t="shared" si="12"/>
        <v>0.51009135330359034</v>
      </c>
      <c r="R25" s="70">
        <f t="shared" si="13"/>
        <v>67.024989587671797</v>
      </c>
      <c r="S25" s="65"/>
      <c r="T25" s="65"/>
      <c r="U25" s="65">
        <f t="shared" si="14"/>
        <v>0</v>
      </c>
    </row>
    <row r="26" spans="1:21" x14ac:dyDescent="0.15">
      <c r="A26" s="16" t="s">
        <v>63</v>
      </c>
      <c r="D26" s="17" t="s">
        <v>64</v>
      </c>
      <c r="E26" t="s">
        <v>65</v>
      </c>
      <c r="F26" s="32">
        <v>125000</v>
      </c>
      <c r="G26" s="33">
        <v>56830</v>
      </c>
      <c r="H26" s="33"/>
      <c r="I26" s="25">
        <v>776</v>
      </c>
      <c r="J26" s="32">
        <v>128000</v>
      </c>
      <c r="K26" s="46">
        <v>119782</v>
      </c>
      <c r="L26" s="25">
        <v>1843</v>
      </c>
      <c r="M26" s="40">
        <f t="shared" si="11"/>
        <v>253000</v>
      </c>
      <c r="N26" s="40">
        <f t="shared" si="11"/>
        <v>176612</v>
      </c>
      <c r="O26" s="25">
        <f>I26+L26</f>
        <v>2619</v>
      </c>
      <c r="P26" s="42">
        <v>4707</v>
      </c>
      <c r="Q26" s="20">
        <f t="shared" si="12"/>
        <v>0.55640535372848954</v>
      </c>
      <c r="R26" s="29">
        <f t="shared" si="13"/>
        <v>67.434898816342113</v>
      </c>
      <c r="S26" s="25"/>
      <c r="T26" s="25"/>
      <c r="U26" s="25">
        <f t="shared" si="14"/>
        <v>0</v>
      </c>
    </row>
    <row r="27" spans="1:21" ht="14" thickBot="1" x14ac:dyDescent="0.2">
      <c r="A27" s="16" t="s">
        <v>66</v>
      </c>
      <c r="D27" s="11" t="s">
        <v>67</v>
      </c>
      <c r="E27" t="s">
        <v>32</v>
      </c>
      <c r="F27" s="38">
        <v>125000</v>
      </c>
      <c r="G27" s="34">
        <v>16817</v>
      </c>
      <c r="H27" s="76"/>
      <c r="I27" s="25">
        <v>248</v>
      </c>
      <c r="J27" s="32">
        <v>128000</v>
      </c>
      <c r="K27" s="47">
        <v>119420</v>
      </c>
      <c r="L27" s="25">
        <v>1839</v>
      </c>
      <c r="M27" s="40">
        <f t="shared" si="11"/>
        <v>253000</v>
      </c>
      <c r="N27" s="40">
        <f t="shared" si="11"/>
        <v>136237</v>
      </c>
      <c r="O27" s="25">
        <f>I27+L27</f>
        <v>2087</v>
      </c>
      <c r="P27" s="42">
        <v>4707</v>
      </c>
      <c r="Q27" s="21">
        <f t="shared" si="12"/>
        <v>0.44338219672827706</v>
      </c>
      <c r="R27" s="10">
        <f t="shared" si="13"/>
        <v>65.278869190225208</v>
      </c>
      <c r="S27" s="25"/>
      <c r="T27" s="25"/>
      <c r="U27" s="25">
        <f t="shared" si="14"/>
        <v>0</v>
      </c>
    </row>
    <row r="28" spans="1:21" ht="14" thickBot="1" x14ac:dyDescent="0.2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442779</v>
      </c>
      <c r="H28" s="39">
        <v>298654</v>
      </c>
      <c r="I28" s="27">
        <f t="shared" si="15"/>
        <v>5208</v>
      </c>
      <c r="J28" s="35">
        <f t="shared" si="15"/>
        <v>640000</v>
      </c>
      <c r="K28" s="39">
        <f t="shared" si="15"/>
        <v>591959</v>
      </c>
      <c r="L28" s="27">
        <f t="shared" si="15"/>
        <v>9111</v>
      </c>
      <c r="M28" s="35">
        <f t="shared" si="15"/>
        <v>1360000</v>
      </c>
      <c r="N28" s="39">
        <f t="shared" si="15"/>
        <v>1034738</v>
      </c>
      <c r="O28" s="27">
        <f t="shared" si="15"/>
        <v>14319</v>
      </c>
      <c r="P28" s="43">
        <f t="shared" si="15"/>
        <v>23535</v>
      </c>
      <c r="Q28" s="28">
        <f>O28/P28</f>
        <v>0.60841300191204584</v>
      </c>
      <c r="R28" s="31">
        <f t="shared" si="13"/>
        <v>72.263286542356312</v>
      </c>
      <c r="S28" s="43">
        <f>SUM(S23:S27)</f>
        <v>0</v>
      </c>
      <c r="T28" s="43">
        <f t="shared" ref="T28:U28" si="16">SUM(T23:T27)</f>
        <v>0</v>
      </c>
      <c r="U28" s="43">
        <f t="shared" si="16"/>
        <v>0</v>
      </c>
    </row>
    <row r="29" spans="1:21" ht="0.75" customHeight="1" x14ac:dyDescent="0.15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15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15">
      <c r="A31" s="55" t="s">
        <v>128</v>
      </c>
      <c r="B31" s="55"/>
      <c r="C31" s="55"/>
      <c r="D31" s="55" t="s">
        <v>68</v>
      </c>
      <c r="E31" s="55" t="s">
        <v>130</v>
      </c>
      <c r="F31" s="49">
        <v>9000</v>
      </c>
      <c r="G31" s="79">
        <v>16170</v>
      </c>
      <c r="H31" s="79"/>
      <c r="I31" s="51">
        <v>432</v>
      </c>
      <c r="J31" s="49">
        <v>11250</v>
      </c>
      <c r="K31" s="79">
        <v>10706</v>
      </c>
      <c r="L31" s="51">
        <v>528</v>
      </c>
      <c r="M31" s="73">
        <f t="shared" ref="M31:N34" si="17">F31+J31</f>
        <v>20250</v>
      </c>
      <c r="N31" s="73">
        <f t="shared" si="17"/>
        <v>26876</v>
      </c>
      <c r="O31" s="51">
        <f>I31+L31</f>
        <v>960</v>
      </c>
      <c r="P31" s="52">
        <v>1575</v>
      </c>
      <c r="Q31" s="80">
        <f t="shared" ref="Q31:Q34" si="18">O31/P31</f>
        <v>0.60952380952380958</v>
      </c>
      <c r="R31" s="54">
        <f>N31/O31</f>
        <v>27.995833333333334</v>
      </c>
      <c r="S31" s="51"/>
      <c r="T31" s="51"/>
      <c r="U31" s="51">
        <f t="shared" ref="U31:U34" si="19">SUM(S31:T31)</f>
        <v>0</v>
      </c>
    </row>
    <row r="32" spans="1:21" x14ac:dyDescent="0.15">
      <c r="A32" t="s">
        <v>29</v>
      </c>
      <c r="D32" s="17" t="s">
        <v>69</v>
      </c>
      <c r="E32" s="16" t="s">
        <v>132</v>
      </c>
      <c r="F32" s="32">
        <v>410000</v>
      </c>
      <c r="G32" s="33">
        <v>408378</v>
      </c>
      <c r="H32" s="33"/>
      <c r="I32" s="25">
        <v>6411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420468</v>
      </c>
      <c r="O32" s="25">
        <f>I32+L32</f>
        <v>6979</v>
      </c>
      <c r="P32" s="42">
        <v>8508</v>
      </c>
      <c r="Q32" s="20">
        <f t="shared" si="18"/>
        <v>0.82028678890456042</v>
      </c>
      <c r="R32" s="29">
        <f>N32/O32</f>
        <v>60.247599942685198</v>
      </c>
      <c r="S32" s="25"/>
      <c r="T32" s="25"/>
      <c r="U32" s="25">
        <f t="shared" si="19"/>
        <v>0</v>
      </c>
    </row>
    <row r="33" spans="1:21" x14ac:dyDescent="0.15">
      <c r="A33" s="16" t="s">
        <v>70</v>
      </c>
      <c r="D33" s="22" t="s">
        <v>71</v>
      </c>
      <c r="E33" s="16" t="s">
        <v>112</v>
      </c>
      <c r="F33" s="32">
        <v>9000</v>
      </c>
      <c r="G33" s="33">
        <v>21316</v>
      </c>
      <c r="H33" s="33"/>
      <c r="I33" s="25">
        <v>429</v>
      </c>
      <c r="J33" s="32">
        <v>11250</v>
      </c>
      <c r="K33" s="33">
        <v>11082</v>
      </c>
      <c r="L33" s="25">
        <v>594</v>
      </c>
      <c r="M33" s="40">
        <f t="shared" si="17"/>
        <v>20250</v>
      </c>
      <c r="N33" s="40">
        <f t="shared" si="17"/>
        <v>32398</v>
      </c>
      <c r="O33" s="25">
        <f>I33+L33</f>
        <v>1023</v>
      </c>
      <c r="P33" s="42">
        <v>1308</v>
      </c>
      <c r="Q33" s="20">
        <f t="shared" si="18"/>
        <v>0.7821100917431193</v>
      </c>
      <c r="R33" s="29">
        <f>N33/O33</f>
        <v>31.669599217986313</v>
      </c>
      <c r="S33" s="25"/>
      <c r="T33" s="25"/>
      <c r="U33" s="25">
        <f t="shared" si="19"/>
        <v>0</v>
      </c>
    </row>
    <row r="34" spans="1:21" ht="14" thickBot="1" x14ac:dyDescent="0.2">
      <c r="A34" s="16" t="s">
        <v>72</v>
      </c>
      <c r="D34" s="22" t="s">
        <v>73</v>
      </c>
      <c r="E34" t="s">
        <v>132</v>
      </c>
      <c r="F34" s="32">
        <v>9000</v>
      </c>
      <c r="G34" s="33">
        <v>3258</v>
      </c>
      <c r="H34" s="33"/>
      <c r="I34" s="25">
        <v>68</v>
      </c>
      <c r="J34" s="32">
        <v>11250</v>
      </c>
      <c r="K34" s="33">
        <v>11100</v>
      </c>
      <c r="L34" s="25">
        <v>538</v>
      </c>
      <c r="M34" s="40">
        <f t="shared" si="17"/>
        <v>20250</v>
      </c>
      <c r="N34" s="40">
        <f t="shared" si="17"/>
        <v>14358</v>
      </c>
      <c r="O34" s="25">
        <f>I34+L34</f>
        <v>606</v>
      </c>
      <c r="P34" s="42">
        <v>1575</v>
      </c>
      <c r="Q34" s="21">
        <f t="shared" si="18"/>
        <v>0.38476190476190475</v>
      </c>
      <c r="R34" s="10">
        <f>N34/O34</f>
        <v>23.693069306930692</v>
      </c>
      <c r="S34" s="25"/>
      <c r="T34" s="25"/>
      <c r="U34" s="25">
        <f t="shared" si="19"/>
        <v>0</v>
      </c>
    </row>
    <row r="35" spans="1:21" ht="14" thickBot="1" x14ac:dyDescent="0.2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449122</v>
      </c>
      <c r="H35" s="39">
        <v>82089</v>
      </c>
      <c r="I35" s="27">
        <f t="shared" si="20"/>
        <v>7340</v>
      </c>
      <c r="J35" s="35">
        <f t="shared" si="20"/>
        <v>45000</v>
      </c>
      <c r="K35" s="39">
        <f t="shared" si="20"/>
        <v>44978</v>
      </c>
      <c r="L35" s="27">
        <f t="shared" si="20"/>
        <v>2228</v>
      </c>
      <c r="M35" s="35">
        <f t="shared" si="20"/>
        <v>482000</v>
      </c>
      <c r="N35" s="39">
        <f t="shared" si="20"/>
        <v>494100</v>
      </c>
      <c r="O35" s="27">
        <f t="shared" si="20"/>
        <v>9568</v>
      </c>
      <c r="P35" s="43">
        <f t="shared" si="20"/>
        <v>12966</v>
      </c>
      <c r="Q35" s="28">
        <f>O35/P35</f>
        <v>0.73792997069258059</v>
      </c>
      <c r="R35" s="31">
        <f>N35/O35</f>
        <v>51.64088628762542</v>
      </c>
      <c r="S35" s="43">
        <f>SUM(S31:S34)</f>
        <v>0</v>
      </c>
      <c r="T35" s="43">
        <f t="shared" ref="T35:U35" si="21">SUM(T31:T34)</f>
        <v>0</v>
      </c>
      <c r="U35" s="43">
        <f t="shared" si="21"/>
        <v>0</v>
      </c>
    </row>
    <row r="36" spans="1:21" ht="13.5" customHeight="1" x14ac:dyDescent="0.15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15">
      <c r="A37" s="16" t="s">
        <v>91</v>
      </c>
      <c r="B37" s="13"/>
      <c r="C37" s="13"/>
      <c r="D37" s="16" t="s">
        <v>78</v>
      </c>
      <c r="E37" s="16" t="s">
        <v>108</v>
      </c>
      <c r="F37" s="32">
        <v>375000</v>
      </c>
      <c r="G37" s="33">
        <v>361141</v>
      </c>
      <c r="H37" s="33"/>
      <c r="I37" s="25">
        <v>5141</v>
      </c>
      <c r="J37" s="32">
        <v>0</v>
      </c>
      <c r="K37" s="33">
        <v>1337</v>
      </c>
      <c r="L37" s="25">
        <v>33</v>
      </c>
      <c r="M37" s="40">
        <f t="shared" ref="M37:M48" si="22">F37+J37</f>
        <v>375000</v>
      </c>
      <c r="N37" s="40">
        <f t="shared" ref="N37:N48" si="23">G37+K37</f>
        <v>362478</v>
      </c>
      <c r="O37" s="25">
        <f t="shared" ref="O37:O48" si="24">I37+L37</f>
        <v>5174</v>
      </c>
      <c r="P37" s="42">
        <v>5184</v>
      </c>
      <c r="Q37" s="20">
        <f t="shared" ref="Q37:Q48" si="25">O37/P37</f>
        <v>0.99807098765432101</v>
      </c>
      <c r="R37" s="29">
        <f t="shared" ref="R37:R50" si="26">N37/O37</f>
        <v>70.057595670661001</v>
      </c>
      <c r="S37" s="25"/>
      <c r="T37" s="25"/>
      <c r="U37" s="25">
        <f t="shared" ref="U37:U48" si="27">SUM(S37:T37)</f>
        <v>0</v>
      </c>
    </row>
    <row r="38" spans="1:21" ht="13.5" customHeight="1" x14ac:dyDescent="0.15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/>
      <c r="T38" s="25"/>
      <c r="U38" s="25">
        <f t="shared" si="27"/>
        <v>0</v>
      </c>
    </row>
    <row r="39" spans="1:21" ht="13.5" customHeight="1" x14ac:dyDescent="0.15">
      <c r="A39" s="16" t="s">
        <v>82</v>
      </c>
      <c r="B39" s="16"/>
      <c r="C39" s="16"/>
      <c r="D39" s="18" t="s">
        <v>83</v>
      </c>
      <c r="E39" s="16" t="s">
        <v>113</v>
      </c>
      <c r="F39" s="63">
        <v>100000</v>
      </c>
      <c r="G39" s="64">
        <v>99728</v>
      </c>
      <c r="H39" s="64"/>
      <c r="I39" s="65">
        <v>1356</v>
      </c>
      <c r="J39" s="63">
        <v>0</v>
      </c>
      <c r="K39" s="64">
        <v>628</v>
      </c>
      <c r="L39" s="65">
        <v>21</v>
      </c>
      <c r="M39" s="67">
        <f t="shared" si="22"/>
        <v>100000</v>
      </c>
      <c r="N39" s="67">
        <f t="shared" si="23"/>
        <v>100356</v>
      </c>
      <c r="O39" s="65">
        <f t="shared" si="24"/>
        <v>1377</v>
      </c>
      <c r="P39" s="68">
        <v>1575</v>
      </c>
      <c r="Q39" s="69">
        <f t="shared" si="25"/>
        <v>0.87428571428571433</v>
      </c>
      <c r="R39" s="70">
        <f t="shared" si="26"/>
        <v>72.880174291938999</v>
      </c>
      <c r="S39" s="65"/>
      <c r="T39" s="65"/>
      <c r="U39" s="65">
        <f t="shared" si="27"/>
        <v>0</v>
      </c>
    </row>
    <row r="40" spans="1:21" ht="13.5" customHeight="1" x14ac:dyDescent="0.15">
      <c r="A40" s="16" t="s">
        <v>84</v>
      </c>
      <c r="B40" s="13"/>
      <c r="C40" s="13"/>
      <c r="D40" s="18" t="s">
        <v>85</v>
      </c>
      <c r="E40" s="16" t="s">
        <v>86</v>
      </c>
      <c r="F40" s="75">
        <v>40000</v>
      </c>
      <c r="G40" s="76">
        <v>64541</v>
      </c>
      <c r="H40" s="76"/>
      <c r="I40" s="77">
        <v>1248</v>
      </c>
      <c r="J40" s="75">
        <v>0</v>
      </c>
      <c r="K40" s="76">
        <v>797</v>
      </c>
      <c r="L40" s="77">
        <v>40</v>
      </c>
      <c r="M40" s="81">
        <f t="shared" si="22"/>
        <v>40000</v>
      </c>
      <c r="N40" s="81">
        <f t="shared" si="23"/>
        <v>65338</v>
      </c>
      <c r="O40" s="77">
        <f t="shared" si="24"/>
        <v>1288</v>
      </c>
      <c r="P40" s="78">
        <v>1308</v>
      </c>
      <c r="Q40" s="20">
        <f t="shared" si="25"/>
        <v>0.98470948012232418</v>
      </c>
      <c r="R40" s="41">
        <f t="shared" si="26"/>
        <v>50.728260869565219</v>
      </c>
      <c r="S40" s="77"/>
      <c r="T40" s="77"/>
      <c r="U40" s="77">
        <f t="shared" si="27"/>
        <v>0</v>
      </c>
    </row>
    <row r="41" spans="1:21" ht="13.5" customHeight="1" x14ac:dyDescent="0.15">
      <c r="A41" s="16" t="s">
        <v>28</v>
      </c>
      <c r="B41" s="13"/>
      <c r="C41" s="13"/>
      <c r="D41" s="18" t="s">
        <v>74</v>
      </c>
      <c r="E41" s="16" t="s">
        <v>134</v>
      </c>
      <c r="F41" s="75">
        <v>180000</v>
      </c>
      <c r="G41" s="76">
        <v>225710</v>
      </c>
      <c r="H41" s="76"/>
      <c r="I41" s="77">
        <v>4071</v>
      </c>
      <c r="J41" s="75">
        <v>0</v>
      </c>
      <c r="K41" s="76">
        <v>986</v>
      </c>
      <c r="L41" s="77">
        <v>39</v>
      </c>
      <c r="M41" s="81">
        <f t="shared" si="22"/>
        <v>180000</v>
      </c>
      <c r="N41" s="81">
        <f t="shared" si="23"/>
        <v>226696</v>
      </c>
      <c r="O41" s="77">
        <f t="shared" si="24"/>
        <v>4110</v>
      </c>
      <c r="P41" s="78">
        <v>4254</v>
      </c>
      <c r="Q41" s="20">
        <f t="shared" si="25"/>
        <v>0.96614950634696761</v>
      </c>
      <c r="R41" s="41">
        <f t="shared" si="26"/>
        <v>55.157177615571776</v>
      </c>
      <c r="S41" s="77"/>
      <c r="T41" s="77"/>
      <c r="U41" s="77">
        <f t="shared" si="27"/>
        <v>0</v>
      </c>
    </row>
    <row r="42" spans="1:21" ht="13.5" customHeight="1" x14ac:dyDescent="0.15">
      <c r="A42" s="55" t="s">
        <v>75</v>
      </c>
      <c r="B42" s="72"/>
      <c r="C42" s="72"/>
      <c r="D42" s="56" t="s">
        <v>76</v>
      </c>
      <c r="E42" s="55" t="s">
        <v>113</v>
      </c>
      <c r="F42" s="49">
        <v>155000</v>
      </c>
      <c r="G42" s="50">
        <v>173896</v>
      </c>
      <c r="H42" s="50"/>
      <c r="I42" s="51">
        <v>2568</v>
      </c>
      <c r="J42" s="49">
        <v>0</v>
      </c>
      <c r="K42" s="50">
        <v>1089</v>
      </c>
      <c r="L42" s="51">
        <v>22</v>
      </c>
      <c r="M42" s="73">
        <f t="shared" si="22"/>
        <v>155000</v>
      </c>
      <c r="N42" s="73">
        <f t="shared" si="23"/>
        <v>174985</v>
      </c>
      <c r="O42" s="51">
        <f t="shared" si="24"/>
        <v>2590</v>
      </c>
      <c r="P42" s="52">
        <v>2616</v>
      </c>
      <c r="Q42" s="74">
        <f t="shared" si="25"/>
        <v>0.99006116207951067</v>
      </c>
      <c r="R42" s="54">
        <f t="shared" si="26"/>
        <v>67.561776061776058</v>
      </c>
      <c r="S42" s="51"/>
      <c r="T42" s="51"/>
      <c r="U42" s="51">
        <f t="shared" si="27"/>
        <v>0</v>
      </c>
    </row>
    <row r="43" spans="1:21" ht="12.75" customHeight="1" x14ac:dyDescent="0.15">
      <c r="A43" s="16" t="s">
        <v>77</v>
      </c>
      <c r="B43" s="13"/>
      <c r="C43" s="13"/>
      <c r="D43" s="16" t="s">
        <v>114</v>
      </c>
      <c r="E43" s="16" t="s">
        <v>107</v>
      </c>
      <c r="F43" s="32">
        <v>330000</v>
      </c>
      <c r="G43" s="33">
        <v>340385</v>
      </c>
      <c r="H43" s="33"/>
      <c r="I43" s="25">
        <v>4636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341567</v>
      </c>
      <c r="O43" s="25">
        <f t="shared" si="24"/>
        <v>4664</v>
      </c>
      <c r="P43" s="42">
        <v>5184</v>
      </c>
      <c r="Q43" s="20">
        <f t="shared" si="25"/>
        <v>0.89969135802469136</v>
      </c>
      <c r="R43" s="29">
        <f t="shared" si="26"/>
        <v>73.234777015437388</v>
      </c>
      <c r="S43" s="25"/>
      <c r="T43" s="25"/>
      <c r="U43" s="25">
        <f t="shared" si="27"/>
        <v>0</v>
      </c>
    </row>
    <row r="44" spans="1:21" ht="12.75" customHeight="1" x14ac:dyDescent="0.15">
      <c r="A44" s="16" t="s">
        <v>87</v>
      </c>
      <c r="B44" s="13"/>
      <c r="C44" s="13"/>
      <c r="D44" s="16" t="s">
        <v>88</v>
      </c>
      <c r="E44" s="16" t="s">
        <v>112</v>
      </c>
      <c r="F44" s="32">
        <v>232000</v>
      </c>
      <c r="G44" s="33">
        <v>72347</v>
      </c>
      <c r="H44" s="33"/>
      <c r="I44" s="25">
        <v>1122</v>
      </c>
      <c r="J44" s="32">
        <v>0</v>
      </c>
      <c r="K44" s="33">
        <v>1265</v>
      </c>
      <c r="L44" s="25">
        <v>30</v>
      </c>
      <c r="M44" s="40">
        <f t="shared" si="22"/>
        <v>232000</v>
      </c>
      <c r="N44" s="40">
        <f t="shared" si="23"/>
        <v>73612</v>
      </c>
      <c r="O44" s="25">
        <f t="shared" si="24"/>
        <v>1152</v>
      </c>
      <c r="P44" s="42">
        <v>3888</v>
      </c>
      <c r="Q44" s="20">
        <f t="shared" si="25"/>
        <v>0.29629629629629628</v>
      </c>
      <c r="R44" s="29">
        <f t="shared" si="26"/>
        <v>63.899305555555557</v>
      </c>
      <c r="S44" s="25"/>
      <c r="T44" s="25"/>
      <c r="U44" s="25">
        <f t="shared" si="27"/>
        <v>0</v>
      </c>
    </row>
    <row r="45" spans="1:21" ht="12.75" customHeight="1" x14ac:dyDescent="0.15">
      <c r="A45" s="16" t="s">
        <v>89</v>
      </c>
      <c r="B45" s="13"/>
      <c r="C45" s="13"/>
      <c r="D45" s="18" t="s">
        <v>90</v>
      </c>
      <c r="E45" s="16" t="s">
        <v>132</v>
      </c>
      <c r="F45" s="32">
        <v>92000</v>
      </c>
      <c r="G45" s="33">
        <v>8931</v>
      </c>
      <c r="H45" s="33"/>
      <c r="I45" s="25">
        <v>95</v>
      </c>
      <c r="J45" s="32">
        <v>0</v>
      </c>
      <c r="K45" s="33">
        <v>612</v>
      </c>
      <c r="L45" s="25">
        <v>14</v>
      </c>
      <c r="M45" s="40">
        <f t="shared" si="22"/>
        <v>92000</v>
      </c>
      <c r="N45" s="40">
        <f t="shared" si="23"/>
        <v>9543</v>
      </c>
      <c r="O45" s="25">
        <f t="shared" si="24"/>
        <v>109</v>
      </c>
      <c r="P45" s="42">
        <v>1575</v>
      </c>
      <c r="Q45" s="20">
        <f t="shared" si="25"/>
        <v>6.9206349206349202E-2</v>
      </c>
      <c r="R45" s="29">
        <f t="shared" si="26"/>
        <v>87.550458715596335</v>
      </c>
      <c r="S45" s="25"/>
      <c r="T45" s="25"/>
      <c r="U45" s="25">
        <f t="shared" si="27"/>
        <v>0</v>
      </c>
    </row>
    <row r="46" spans="1:21" ht="12.75" customHeight="1" x14ac:dyDescent="0.15">
      <c r="A46" s="16" t="s">
        <v>92</v>
      </c>
      <c r="B46" s="13"/>
      <c r="C46" s="13"/>
      <c r="D46" s="18" t="s">
        <v>93</v>
      </c>
      <c r="E46" s="16" t="s">
        <v>108</v>
      </c>
      <c r="F46" s="32">
        <v>375000</v>
      </c>
      <c r="G46" s="33">
        <v>213941</v>
      </c>
      <c r="H46" s="33"/>
      <c r="I46" s="25">
        <v>2533</v>
      </c>
      <c r="J46" s="32">
        <v>0</v>
      </c>
      <c r="K46" s="33">
        <v>2045</v>
      </c>
      <c r="L46" s="25">
        <v>38</v>
      </c>
      <c r="M46" s="40">
        <f t="shared" si="22"/>
        <v>375000</v>
      </c>
      <c r="N46" s="40">
        <f t="shared" si="23"/>
        <v>215986</v>
      </c>
      <c r="O46" s="25">
        <f t="shared" si="24"/>
        <v>2571</v>
      </c>
      <c r="P46" s="42">
        <v>5184</v>
      </c>
      <c r="Q46" s="20">
        <f t="shared" si="25"/>
        <v>0.49594907407407407</v>
      </c>
      <c r="R46" s="29">
        <f t="shared" si="26"/>
        <v>84.008556981719181</v>
      </c>
      <c r="S46" s="25"/>
      <c r="T46" s="25"/>
      <c r="U46" s="25">
        <f t="shared" si="27"/>
        <v>0</v>
      </c>
    </row>
    <row r="47" spans="1:21" ht="12.75" customHeight="1" x14ac:dyDescent="0.15">
      <c r="A47" s="16" t="s">
        <v>99</v>
      </c>
      <c r="B47" s="13"/>
      <c r="C47" s="13"/>
      <c r="D47" s="18" t="s">
        <v>100</v>
      </c>
      <c r="E47" s="16" t="s">
        <v>107</v>
      </c>
      <c r="F47" s="32">
        <v>100000</v>
      </c>
      <c r="G47" s="33">
        <v>40399</v>
      </c>
      <c r="H47" s="33"/>
      <c r="I47" s="25">
        <v>453</v>
      </c>
      <c r="J47" s="32">
        <v>0</v>
      </c>
      <c r="K47" s="33">
        <v>0</v>
      </c>
      <c r="L47" s="25">
        <v>0</v>
      </c>
      <c r="M47" s="40">
        <f t="shared" si="22"/>
        <v>100000</v>
      </c>
      <c r="N47" s="40">
        <f t="shared" si="23"/>
        <v>40399</v>
      </c>
      <c r="O47" s="25">
        <f t="shared" si="24"/>
        <v>453</v>
      </c>
      <c r="P47" s="42">
        <v>1575</v>
      </c>
      <c r="Q47" s="20">
        <f t="shared" si="25"/>
        <v>0.28761904761904761</v>
      </c>
      <c r="R47" s="29">
        <f t="shared" si="26"/>
        <v>89.181015452538631</v>
      </c>
      <c r="S47" s="25"/>
      <c r="T47" s="25"/>
      <c r="U47" s="25">
        <f t="shared" si="27"/>
        <v>0</v>
      </c>
    </row>
    <row r="48" spans="1:21" ht="12.75" customHeight="1" thickBot="1" x14ac:dyDescent="0.2">
      <c r="A48" s="16" t="s">
        <v>94</v>
      </c>
      <c r="B48" s="13"/>
      <c r="C48" s="13"/>
      <c r="D48" s="16" t="s">
        <v>95</v>
      </c>
      <c r="E48" s="16" t="s">
        <v>25</v>
      </c>
      <c r="F48" s="32">
        <v>350000</v>
      </c>
      <c r="G48" s="33">
        <v>30881</v>
      </c>
      <c r="H48" s="33"/>
      <c r="I48" s="25">
        <v>82</v>
      </c>
      <c r="J48" s="32">
        <v>0</v>
      </c>
      <c r="K48" s="33">
        <v>0</v>
      </c>
      <c r="L48" s="25">
        <v>0</v>
      </c>
      <c r="M48" s="40">
        <f t="shared" si="22"/>
        <v>350000</v>
      </c>
      <c r="N48" s="40">
        <f t="shared" si="23"/>
        <v>30881</v>
      </c>
      <c r="O48" s="25">
        <f t="shared" si="24"/>
        <v>82</v>
      </c>
      <c r="P48" s="42">
        <v>1575</v>
      </c>
      <c r="Q48" s="21">
        <f t="shared" si="25"/>
        <v>5.2063492063492062E-2</v>
      </c>
      <c r="R48" s="10">
        <f t="shared" si="26"/>
        <v>376.59756097560978</v>
      </c>
      <c r="S48" s="25"/>
      <c r="T48" s="25"/>
      <c r="U48" s="25">
        <f t="shared" si="27"/>
        <v>0</v>
      </c>
    </row>
    <row r="49" spans="1:21" ht="16" customHeight="1" thickBot="1" x14ac:dyDescent="0.2">
      <c r="A49" s="3" t="s">
        <v>9</v>
      </c>
      <c r="B49" s="4"/>
      <c r="C49" s="4"/>
      <c r="D49" s="4"/>
      <c r="E49" s="4"/>
      <c r="F49" s="35">
        <f t="shared" ref="F49:P49" si="28">SUM(F37:F48)</f>
        <v>2433000</v>
      </c>
      <c r="G49" s="39">
        <f t="shared" si="28"/>
        <v>1745197</v>
      </c>
      <c r="H49" s="39">
        <v>835431</v>
      </c>
      <c r="I49" s="27">
        <f t="shared" si="28"/>
        <v>24856</v>
      </c>
      <c r="J49" s="35">
        <f t="shared" si="28"/>
        <v>0</v>
      </c>
      <c r="K49" s="39">
        <f t="shared" si="28"/>
        <v>10948</v>
      </c>
      <c r="L49" s="27">
        <f t="shared" si="28"/>
        <v>282</v>
      </c>
      <c r="M49" s="35">
        <f t="shared" si="28"/>
        <v>2433000</v>
      </c>
      <c r="N49" s="39">
        <f t="shared" si="28"/>
        <v>1756145</v>
      </c>
      <c r="O49" s="27">
        <f t="shared" si="28"/>
        <v>25138</v>
      </c>
      <c r="P49" s="43">
        <f t="shared" si="28"/>
        <v>35493</v>
      </c>
      <c r="Q49" s="28">
        <f>O49/P49</f>
        <v>0.70825233144563715</v>
      </c>
      <c r="R49" s="31">
        <f t="shared" si="26"/>
        <v>69.860171851380386</v>
      </c>
      <c r="S49" s="43">
        <f>SUM(S37:S47)</f>
        <v>0</v>
      </c>
      <c r="T49" s="43">
        <f t="shared" ref="T49:U49" si="29">SUM(T37:T47)</f>
        <v>0</v>
      </c>
      <c r="U49" s="43">
        <f t="shared" si="29"/>
        <v>0</v>
      </c>
    </row>
    <row r="50" spans="1:21" ht="16" customHeight="1" thickBot="1" x14ac:dyDescent="0.2">
      <c r="A50" s="3" t="s">
        <v>5</v>
      </c>
      <c r="B50" s="4"/>
      <c r="C50" s="4"/>
      <c r="D50" s="4"/>
      <c r="E50" s="4"/>
      <c r="F50" s="35">
        <f>SUM(F20,F28,F35,F49)</f>
        <v>4206000</v>
      </c>
      <c r="G50" s="39">
        <f t="shared" ref="G50" si="30">SUM(G20,G28,G35,G49)</f>
        <v>2914347</v>
      </c>
      <c r="H50" s="39">
        <v>1574062</v>
      </c>
      <c r="I50" s="27">
        <f>SUM(I20,I28,I35,I49)</f>
        <v>42962</v>
      </c>
      <c r="J50" s="35">
        <f>SUM(J20,J28,J35,J49)</f>
        <v>2438000</v>
      </c>
      <c r="K50" s="39">
        <f t="shared" ref="K50" si="31">SUM(K20,K28,K35,K49)</f>
        <v>2326003</v>
      </c>
      <c r="L50" s="27">
        <f>SUM(L20,L28,L35,L49)</f>
        <v>40878</v>
      </c>
      <c r="M50" s="35">
        <f>SUM(M20,M28,M35,M49)</f>
        <v>6644000</v>
      </c>
      <c r="N50" s="39">
        <f t="shared" ref="N50" si="32">SUM(N20,N28,N35,N49)</f>
        <v>5240350</v>
      </c>
      <c r="O50" s="27">
        <f>SUM(O20,O28,O35,O49)</f>
        <v>83840</v>
      </c>
      <c r="P50" s="43">
        <f>SUM(P20,P28,P35,P49)</f>
        <v>137202</v>
      </c>
      <c r="Q50" s="28">
        <f>O50/P50</f>
        <v>0.61106980947799594</v>
      </c>
      <c r="R50" s="31">
        <f t="shared" si="26"/>
        <v>62.504174618320612</v>
      </c>
      <c r="S50" s="43">
        <f>SUM(S20,S28,S35,S49)</f>
        <v>10</v>
      </c>
      <c r="T50" s="43">
        <f t="shared" ref="T50:U50" si="33">SUM(T20,T28,T35,T49)</f>
        <v>100</v>
      </c>
      <c r="U50" s="43">
        <f t="shared" si="33"/>
        <v>110</v>
      </c>
    </row>
    <row r="51" spans="1:21" ht="12.75" customHeight="1" x14ac:dyDescent="0.15">
      <c r="A51" s="9"/>
      <c r="T51" s="6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2023-10-23T18:58:03Z</cp:lastPrinted>
  <dcterms:created xsi:type="dcterms:W3CDTF">2005-10-20T22:05:14Z</dcterms:created>
  <dcterms:modified xsi:type="dcterms:W3CDTF">2024-11-15T16:15:10Z</dcterms:modified>
</cp:coreProperties>
</file>