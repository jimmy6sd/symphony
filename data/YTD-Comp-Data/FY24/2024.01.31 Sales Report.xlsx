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63" documentId="13_ncr:1_{724D712D-B0A7-4318-B18A-D997F46391E7}" xr6:coauthVersionLast="47" xr6:coauthVersionMax="47" xr10:uidLastSave="{A89AE464-DEC4-4785-8D82-39FD614D430C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<sst xmlns="http://schemas.openxmlformats.org/spreadsheetml/2006/main" count="160" uniqueCount="136">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</sst>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 applyBorder="1"/>
    <xf numFmtId="9" fontId="0" fillId="0" borderId="0" xfId="0" applyNumberFormat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showGridLines="0" tabSelected="1" topLeftCell="A6" workbookViewId="0">
      <selection activeCell="X35" sqref="X35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132</v>
      </c>
      <c r="R1" s="79">
        <v>45320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122</v>
      </c>
      <c r="Q3" s="89"/>
      <c r="R3" s="89"/>
      <c r="S3" s="88" t="s">
        <v>128</v>
      </c>
      <c r="T3" s="88"/>
    </row>
    <row r="4" spans="1:20" x14ac:dyDescent="0.2">
      <c r="E4" s="16"/>
      <c r="P4" s="19" t="s">
        <v>123</v>
      </c>
      <c r="Q4" s="19" t="s">
        <v>35</v>
      </c>
      <c r="R4" s="19" t="s">
        <v>118</v>
      </c>
      <c r="S4" s="19" t="s">
        <v>119</v>
      </c>
      <c r="T4" s="19" t="s">
        <v>119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130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124</v>
      </c>
      <c r="Q5" s="8" t="s">
        <v>33</v>
      </c>
      <c r="R5" s="8" t="s">
        <v>34</v>
      </c>
      <c r="S5" s="8" t="s">
        <v>120</v>
      </c>
      <c r="T5" s="8" t="s">
        <v>121</v>
      </c>
    </row>
    <row r="6" spans="1:20" x14ac:dyDescent="0.2">
      <c r="A6" t="s">
        <v>10</v>
      </c>
      <c r="B6" t="s">
        <v>108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109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110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126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s="90" t="s">
        <v>14</v>
      </c>
      <c r="B10" s="90" t="s">
        <v>42</v>
      </c>
      <c r="C10" s="90"/>
      <c r="D10" s="90" t="s">
        <v>43</v>
      </c>
      <c r="E10" s="90" t="s">
        <v>25</v>
      </c>
      <c r="F10" s="74">
        <v>55000</v>
      </c>
      <c r="G10" s="75">
        <v>68614</v>
      </c>
      <c r="H10" s="75"/>
      <c r="I10" s="76">
        <v>1164</v>
      </c>
      <c r="J10" s="74">
        <v>125217</v>
      </c>
      <c r="K10" s="75">
        <v>121113</v>
      </c>
      <c r="L10" s="76">
        <v>2088</v>
      </c>
      <c r="M10" s="74">
        <f t="shared" si="0"/>
        <v>180217</v>
      </c>
      <c r="N10" s="75">
        <f t="shared" si="1"/>
        <v>189727</v>
      </c>
      <c r="O10" s="76">
        <f t="shared" si="2"/>
        <v>3252</v>
      </c>
      <c r="P10" s="77">
        <v>4725</v>
      </c>
      <c r="Q10" s="91">
        <f t="shared" si="4"/>
        <v>0.68825396825396823</v>
      </c>
      <c r="R10" s="41">
        <f t="shared" si="3"/>
        <v>58.341635916359166</v>
      </c>
      <c r="S10" s="25"/>
      <c r="T10" s="25"/>
    </row>
    <row r="11" spans="1:20" x14ac:dyDescent="0.2">
      <c r="A11" s="48" t="s">
        <v>15</v>
      </c>
      <c r="B11" s="48" t="s">
        <v>135</v>
      </c>
      <c r="C11" s="48"/>
      <c r="D11" s="48" t="s">
        <v>44</v>
      </c>
      <c r="E11" s="48" t="s">
        <v>100</v>
      </c>
      <c r="F11" s="49">
        <v>40000</v>
      </c>
      <c r="G11" s="50">
        <v>49430</v>
      </c>
      <c r="H11" s="50"/>
      <c r="I11" s="51">
        <v>976</v>
      </c>
      <c r="J11" s="49">
        <v>125217</v>
      </c>
      <c r="K11" s="50">
        <v>117919</v>
      </c>
      <c r="L11" s="51">
        <v>2117</v>
      </c>
      <c r="M11" s="49">
        <f t="shared" si="0"/>
        <v>165217</v>
      </c>
      <c r="N11" s="50">
        <f t="shared" si="1"/>
        <v>167349</v>
      </c>
      <c r="O11" s="51">
        <f t="shared" si="2"/>
        <v>3093</v>
      </c>
      <c r="P11" s="52">
        <v>4725</v>
      </c>
      <c r="Q11" s="73">
        <f t="shared" si="4"/>
        <v>0.65460317460317463</v>
      </c>
      <c r="R11" s="54">
        <f t="shared" si="3"/>
        <v>54.105722599418044</v>
      </c>
      <c r="S11" s="25"/>
      <c r="T11" s="25"/>
    </row>
    <row r="12" spans="1:20" x14ac:dyDescent="0.2">
      <c r="A12" t="s">
        <v>16</v>
      </c>
      <c r="B12" t="s">
        <v>96</v>
      </c>
      <c r="D12" t="s">
        <v>45</v>
      </c>
      <c r="E12" s="16" t="s">
        <v>25</v>
      </c>
      <c r="F12" s="32">
        <v>40000</v>
      </c>
      <c r="G12" s="33">
        <v>19829</v>
      </c>
      <c r="H12" s="33"/>
      <c r="I12" s="25">
        <v>578</v>
      </c>
      <c r="J12" s="32">
        <v>125217</v>
      </c>
      <c r="K12" s="33">
        <v>124711</v>
      </c>
      <c r="L12" s="25">
        <v>2184</v>
      </c>
      <c r="M12" s="32">
        <f t="shared" si="0"/>
        <v>165217</v>
      </c>
      <c r="N12" s="33">
        <f t="shared" si="1"/>
        <v>144540</v>
      </c>
      <c r="O12" s="25">
        <f t="shared" si="2"/>
        <v>2762</v>
      </c>
      <c r="P12" s="42">
        <v>4725</v>
      </c>
      <c r="Q12" s="20">
        <f t="shared" si="4"/>
        <v>0.5845502645502646</v>
      </c>
      <c r="R12" s="29">
        <f t="shared" si="3"/>
        <v>52.331643736422883</v>
      </c>
      <c r="S12" s="25"/>
      <c r="T12" s="25"/>
    </row>
    <row r="13" spans="1:20" x14ac:dyDescent="0.2">
      <c r="A13" t="s">
        <v>17</v>
      </c>
      <c r="B13" t="s">
        <v>97</v>
      </c>
      <c r="D13" s="16" t="s">
        <v>46</v>
      </c>
      <c r="E13" s="16" t="s">
        <v>101</v>
      </c>
      <c r="F13" s="32">
        <v>40000</v>
      </c>
      <c r="G13" s="33">
        <v>22150</v>
      </c>
      <c r="H13" s="33"/>
      <c r="I13" s="25">
        <v>486</v>
      </c>
      <c r="J13" s="32">
        <v>125217</v>
      </c>
      <c r="K13" s="33">
        <v>120904</v>
      </c>
      <c r="L13" s="25">
        <v>2114</v>
      </c>
      <c r="M13" s="32">
        <f t="shared" si="0"/>
        <v>165217</v>
      </c>
      <c r="N13" s="33">
        <f t="shared" si="1"/>
        <v>143054</v>
      </c>
      <c r="O13" s="25">
        <f t="shared" si="2"/>
        <v>2600</v>
      </c>
      <c r="P13" s="42">
        <v>4725</v>
      </c>
      <c r="Q13" s="20">
        <f t="shared" si="4"/>
        <v>0.55026455026455023</v>
      </c>
      <c r="R13" s="29">
        <f t="shared" si="3"/>
        <v>55.020769230769233</v>
      </c>
      <c r="S13" s="25"/>
      <c r="T13" s="25"/>
    </row>
    <row r="14" spans="1:20" x14ac:dyDescent="0.2">
      <c r="A14" t="s">
        <v>18</v>
      </c>
      <c r="B14" t="s">
        <v>102</v>
      </c>
      <c r="D14" s="16" t="s">
        <v>47</v>
      </c>
      <c r="E14" t="s">
        <v>103</v>
      </c>
      <c r="F14" s="32">
        <v>40000</v>
      </c>
      <c r="G14" s="33">
        <v>11114</v>
      </c>
      <c r="H14" s="33"/>
      <c r="I14" s="25">
        <v>203</v>
      </c>
      <c r="J14" s="32">
        <v>125217</v>
      </c>
      <c r="K14" s="33">
        <v>121188</v>
      </c>
      <c r="L14" s="25">
        <v>2133</v>
      </c>
      <c r="M14" s="32">
        <f t="shared" si="0"/>
        <v>165217</v>
      </c>
      <c r="N14" s="33">
        <f t="shared" si="1"/>
        <v>132302</v>
      </c>
      <c r="O14" s="25">
        <f t="shared" si="2"/>
        <v>2336</v>
      </c>
      <c r="P14" s="42">
        <v>4725</v>
      </c>
      <c r="Q14" s="20">
        <f t="shared" si="4"/>
        <v>0.49439153439153438</v>
      </c>
      <c r="R14" s="29">
        <f t="shared" si="3"/>
        <v>56.636130136986303</v>
      </c>
      <c r="S14" s="25"/>
      <c r="T14" s="25"/>
    </row>
    <row r="15" spans="1:20" x14ac:dyDescent="0.2">
      <c r="A15" t="s">
        <v>19</v>
      </c>
      <c r="B15" s="16" t="s">
        <v>104</v>
      </c>
      <c r="D15" s="16" t="s">
        <v>48</v>
      </c>
      <c r="E15" s="16" t="s">
        <v>25</v>
      </c>
      <c r="F15" s="32">
        <v>35000</v>
      </c>
      <c r="G15" s="33">
        <v>14649</v>
      </c>
      <c r="H15" s="33"/>
      <c r="I15" s="25">
        <v>237</v>
      </c>
      <c r="J15" s="32">
        <v>125217</v>
      </c>
      <c r="K15" s="33">
        <v>117213</v>
      </c>
      <c r="L15" s="25">
        <v>2066</v>
      </c>
      <c r="M15" s="32">
        <f t="shared" si="0"/>
        <v>160217</v>
      </c>
      <c r="N15" s="33">
        <f t="shared" si="1"/>
        <v>131862</v>
      </c>
      <c r="O15" s="25">
        <f t="shared" si="2"/>
        <v>2303</v>
      </c>
      <c r="P15" s="42">
        <v>4725</v>
      </c>
      <c r="Q15" s="20">
        <f t="shared" si="4"/>
        <v>0.4874074074074074</v>
      </c>
      <c r="R15" s="29">
        <f t="shared" si="3"/>
        <v>57.256621797655235</v>
      </c>
      <c r="S15" s="25"/>
      <c r="T15" s="25"/>
    </row>
    <row r="16" spans="1:20" x14ac:dyDescent="0.2">
      <c r="A16" t="s">
        <v>20</v>
      </c>
      <c r="B16" s="16" t="s">
        <v>105</v>
      </c>
      <c r="D16" s="16" t="s">
        <v>49</v>
      </c>
      <c r="E16" s="16" t="s">
        <v>25</v>
      </c>
      <c r="F16" s="32">
        <v>45000</v>
      </c>
      <c r="G16" s="33">
        <v>10513</v>
      </c>
      <c r="H16" s="33"/>
      <c r="I16" s="25">
        <v>184</v>
      </c>
      <c r="J16" s="32">
        <v>125217</v>
      </c>
      <c r="K16" s="33">
        <v>125463</v>
      </c>
      <c r="L16" s="25">
        <v>2203</v>
      </c>
      <c r="M16" s="32">
        <f t="shared" si="0"/>
        <v>170217</v>
      </c>
      <c r="N16" s="33">
        <f t="shared" si="1"/>
        <v>135976</v>
      </c>
      <c r="O16" s="25">
        <f t="shared" si="2"/>
        <v>2387</v>
      </c>
      <c r="P16" s="42">
        <v>4725</v>
      </c>
      <c r="Q16" s="20">
        <f t="shared" si="4"/>
        <v>0.50518518518518518</v>
      </c>
      <c r="R16" s="29">
        <f t="shared" si="3"/>
        <v>56.965228320067027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24989</v>
      </c>
      <c r="H17" s="33"/>
      <c r="I17" s="25">
        <v>405</v>
      </c>
      <c r="J17" s="32">
        <v>125217</v>
      </c>
      <c r="K17" s="33">
        <v>120090</v>
      </c>
      <c r="L17" s="25">
        <v>2083</v>
      </c>
      <c r="M17" s="32">
        <f t="shared" si="0"/>
        <v>180217</v>
      </c>
      <c r="N17" s="33">
        <f t="shared" si="1"/>
        <v>145079</v>
      </c>
      <c r="O17" s="25">
        <f t="shared" si="2"/>
        <v>2488</v>
      </c>
      <c r="P17" s="42">
        <v>4725</v>
      </c>
      <c r="Q17" s="20">
        <f t="shared" si="4"/>
        <v>0.52656084656084656</v>
      </c>
      <c r="R17" s="29">
        <f t="shared" si="3"/>
        <v>58.311495176848872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19213</v>
      </c>
      <c r="H18" s="33"/>
      <c r="I18" s="25">
        <v>322</v>
      </c>
      <c r="J18" s="32">
        <v>125217</v>
      </c>
      <c r="K18" s="33">
        <v>121815</v>
      </c>
      <c r="L18" s="25">
        <v>2129</v>
      </c>
      <c r="M18" s="32">
        <f t="shared" si="0"/>
        <v>163217</v>
      </c>
      <c r="N18" s="33">
        <f t="shared" si="1"/>
        <v>141028</v>
      </c>
      <c r="O18" s="25">
        <f t="shared" si="2"/>
        <v>2451</v>
      </c>
      <c r="P18" s="42">
        <v>4254</v>
      </c>
      <c r="Q18" s="20">
        <f t="shared" si="4"/>
        <v>0.57616361071932298</v>
      </c>
      <c r="R18" s="29">
        <f t="shared" si="3"/>
        <v>57.538963688290494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23101</v>
      </c>
      <c r="H19" s="34"/>
      <c r="I19" s="26">
        <v>348</v>
      </c>
      <c r="J19" s="32">
        <v>125217</v>
      </c>
      <c r="K19" s="34">
        <v>122796</v>
      </c>
      <c r="L19" s="26">
        <v>2122</v>
      </c>
      <c r="M19" s="32">
        <f t="shared" si="0"/>
        <v>192217</v>
      </c>
      <c r="N19" s="34">
        <f t="shared" si="1"/>
        <v>145897</v>
      </c>
      <c r="O19" s="26">
        <f t="shared" si="2"/>
        <v>2470</v>
      </c>
      <c r="P19" s="45">
        <v>4725</v>
      </c>
      <c r="Q19" s="21">
        <f t="shared" si="4"/>
        <v>0.52275132275132274</v>
      </c>
      <c r="R19" s="30">
        <f t="shared" si="3"/>
        <v>59.067611336032385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5">SUM(G6:G19)</f>
        <v>418172</v>
      </c>
      <c r="H20" s="83">
        <v>197828</v>
      </c>
      <c r="I20" s="23">
        <f t="shared" si="5"/>
        <v>8378</v>
      </c>
      <c r="J20" s="35">
        <f>SUM(J6:J19)</f>
        <v>1753000</v>
      </c>
      <c r="K20" s="35">
        <f t="shared" ref="K20" si="6">SUM(K6:K19)</f>
        <v>1685706</v>
      </c>
      <c r="L20" s="23">
        <f t="shared" ref="L20" si="7">SUM(L6:L19)</f>
        <v>29500</v>
      </c>
      <c r="M20" s="35">
        <f>SUM(M6:M19)</f>
        <v>2369000</v>
      </c>
      <c r="N20" s="35">
        <f t="shared" ref="N20" si="8">SUM(N6:N19)</f>
        <v>2103878</v>
      </c>
      <c r="O20" s="23">
        <f t="shared" ref="O20" si="9">SUM(O6:O19)</f>
        <v>37878</v>
      </c>
      <c r="P20" s="43">
        <f>SUM(P6:P19)</f>
        <v>65208</v>
      </c>
      <c r="Q20" s="28">
        <f>O20/P20</f>
        <v>0.5808796466691204</v>
      </c>
      <c r="R20" s="24">
        <f t="shared" si="3"/>
        <v>55.543534505517712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16" t="s">
        <v>59</v>
      </c>
      <c r="B24" s="16"/>
      <c r="C24" s="16"/>
      <c r="D24" s="16" t="s">
        <v>60</v>
      </c>
      <c r="E24" s="16" t="s">
        <v>111</v>
      </c>
      <c r="F24" s="62">
        <v>125000</v>
      </c>
      <c r="G24" s="63">
        <v>131321</v>
      </c>
      <c r="H24" s="63"/>
      <c r="I24" s="64">
        <v>2056</v>
      </c>
      <c r="J24" s="62">
        <v>128000</v>
      </c>
      <c r="K24" s="65">
        <v>118047</v>
      </c>
      <c r="L24" s="64">
        <v>1804</v>
      </c>
      <c r="M24" s="66">
        <f t="shared" si="10"/>
        <v>253000</v>
      </c>
      <c r="N24" s="66">
        <f t="shared" si="10"/>
        <v>249368</v>
      </c>
      <c r="O24" s="64">
        <f>I24+L24</f>
        <v>3860</v>
      </c>
      <c r="P24" s="67">
        <v>4707</v>
      </c>
      <c r="Q24" s="68">
        <f t="shared" si="11"/>
        <v>0.82005523688124071</v>
      </c>
      <c r="R24" s="69">
        <f t="shared" si="12"/>
        <v>64.603108808290159</v>
      </c>
      <c r="S24" s="58"/>
      <c r="T24" s="58"/>
    </row>
    <row r="25" spans="1:20" x14ac:dyDescent="0.2">
      <c r="A25" s="55" t="s">
        <v>95</v>
      </c>
      <c r="B25" s="55"/>
      <c r="C25" s="55"/>
      <c r="D25" s="55" t="s">
        <v>61</v>
      </c>
      <c r="E25" s="55" t="s">
        <v>32</v>
      </c>
      <c r="F25" s="56">
        <v>125000</v>
      </c>
      <c r="G25" s="57">
        <v>132284</v>
      </c>
      <c r="H25" s="57"/>
      <c r="I25" s="58">
        <v>1670</v>
      </c>
      <c r="J25" s="56">
        <v>128000</v>
      </c>
      <c r="K25" s="70">
        <v>120395</v>
      </c>
      <c r="L25" s="58">
        <v>1916</v>
      </c>
      <c r="M25" s="59">
        <f t="shared" si="10"/>
        <v>253000</v>
      </c>
      <c r="N25" s="59">
        <f t="shared" si="10"/>
        <v>252679</v>
      </c>
      <c r="O25" s="58">
        <f>I25+L25</f>
        <v>3586</v>
      </c>
      <c r="P25" s="60">
        <v>4707</v>
      </c>
      <c r="Q25" s="53">
        <f t="shared" si="11"/>
        <v>0.76184406203526667</v>
      </c>
      <c r="R25" s="61">
        <f t="shared" si="12"/>
        <v>70.462632459564972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87768</v>
      </c>
      <c r="H26" s="33"/>
      <c r="I26" s="25">
        <v>1197</v>
      </c>
      <c r="J26" s="32">
        <v>128000</v>
      </c>
      <c r="K26" s="46">
        <v>120185</v>
      </c>
      <c r="L26" s="25">
        <v>1859</v>
      </c>
      <c r="M26" s="40">
        <f t="shared" si="10"/>
        <v>253000</v>
      </c>
      <c r="N26" s="40">
        <f t="shared" si="10"/>
        <v>207953</v>
      </c>
      <c r="O26" s="25">
        <f>I26+L26</f>
        <v>3056</v>
      </c>
      <c r="P26" s="42">
        <v>4707</v>
      </c>
      <c r="Q26" s="20">
        <f t="shared" si="11"/>
        <v>0.64924580412152111</v>
      </c>
      <c r="R26" s="29">
        <f t="shared" si="12"/>
        <v>68.047447643979055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25004</v>
      </c>
      <c r="H27" s="75"/>
      <c r="I27" s="25">
        <v>344</v>
      </c>
      <c r="J27" s="32">
        <v>128000</v>
      </c>
      <c r="K27" s="47">
        <v>119823</v>
      </c>
      <c r="L27" s="25">
        <v>1868</v>
      </c>
      <c r="M27" s="40">
        <f t="shared" si="10"/>
        <v>253000</v>
      </c>
      <c r="N27" s="40">
        <f t="shared" si="10"/>
        <v>144827</v>
      </c>
      <c r="O27" s="25">
        <f>I27+L27</f>
        <v>2212</v>
      </c>
      <c r="P27" s="42">
        <v>4707</v>
      </c>
      <c r="Q27" s="21">
        <f t="shared" si="11"/>
        <v>0.46993838963246232</v>
      </c>
      <c r="R27" s="10">
        <f t="shared" si="12"/>
        <v>65.473327305605793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573252</v>
      </c>
      <c r="H28" s="84">
        <v>146748</v>
      </c>
      <c r="I28" s="27">
        <f t="shared" si="13"/>
        <v>6885</v>
      </c>
      <c r="J28" s="35">
        <f t="shared" si="13"/>
        <v>640000</v>
      </c>
      <c r="K28" s="39">
        <f t="shared" si="13"/>
        <v>593169</v>
      </c>
      <c r="L28" s="27">
        <f t="shared" si="13"/>
        <v>9181</v>
      </c>
      <c r="M28" s="35">
        <f t="shared" si="13"/>
        <v>1360000</v>
      </c>
      <c r="N28" s="39">
        <f t="shared" si="13"/>
        <v>1166421</v>
      </c>
      <c r="O28" s="27">
        <f t="shared" si="13"/>
        <v>16066</v>
      </c>
      <c r="P28" s="43">
        <f t="shared" si="13"/>
        <v>23535</v>
      </c>
      <c r="Q28" s="28">
        <f>O28/P28</f>
        <v>0.6826428723178245</v>
      </c>
      <c r="R28" s="31">
        <f t="shared" si="12"/>
        <v>72.60182995145027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125</v>
      </c>
      <c r="B31" s="16"/>
      <c r="C31" s="16"/>
      <c r="D31" s="16" t="s">
        <v>67</v>
      </c>
      <c r="E31" s="16" t="s">
        <v>127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129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0" x14ac:dyDescent="0.2">
      <c r="A33" s="16" t="s">
        <v>69</v>
      </c>
      <c r="D33" s="22" t="s">
        <v>70</v>
      </c>
      <c r="E33" s="16" t="s">
        <v>111</v>
      </c>
      <c r="F33" s="32">
        <v>9000</v>
      </c>
      <c r="G33" s="33">
        <v>31820</v>
      </c>
      <c r="H33" s="33"/>
      <c r="I33" s="25">
        <v>646</v>
      </c>
      <c r="J33" s="32">
        <v>11250</v>
      </c>
      <c r="K33" s="33">
        <v>11204</v>
      </c>
      <c r="L33" s="25">
        <v>598</v>
      </c>
      <c r="M33" s="40">
        <f t="shared" si="15"/>
        <v>20250</v>
      </c>
      <c r="N33" s="40">
        <f t="shared" si="15"/>
        <v>43024</v>
      </c>
      <c r="O33" s="25">
        <f>I33+L33</f>
        <v>1244</v>
      </c>
      <c r="P33" s="42">
        <v>1308</v>
      </c>
      <c r="Q33" s="20">
        <f t="shared" si="16"/>
        <v>0.95107033639143734</v>
      </c>
      <c r="R33" s="29">
        <f>N33/O33</f>
        <v>34.585209003215432</v>
      </c>
      <c r="S33" s="25"/>
      <c r="T33" s="25"/>
    </row>
    <row r="34" spans="1:20" ht="13.5" thickBot="1" x14ac:dyDescent="0.25">
      <c r="A34" s="16" t="s">
        <v>71</v>
      </c>
      <c r="D34" s="22" t="s">
        <v>72</v>
      </c>
      <c r="E34" t="s">
        <v>129</v>
      </c>
      <c r="F34" s="32">
        <v>9000</v>
      </c>
      <c r="G34" s="33">
        <v>7993</v>
      </c>
      <c r="H34" s="33"/>
      <c r="I34" s="25">
        <v>150</v>
      </c>
      <c r="J34" s="32">
        <v>11250</v>
      </c>
      <c r="K34" s="33">
        <v>11100</v>
      </c>
      <c r="L34" s="25">
        <v>554</v>
      </c>
      <c r="M34" s="40">
        <f t="shared" si="15"/>
        <v>20250</v>
      </c>
      <c r="N34" s="40">
        <f t="shared" si="15"/>
        <v>19093</v>
      </c>
      <c r="O34" s="25">
        <f>I34+L34</f>
        <v>704</v>
      </c>
      <c r="P34" s="42">
        <v>1575</v>
      </c>
      <c r="Q34" s="21">
        <f t="shared" si="16"/>
        <v>0.44698412698412698</v>
      </c>
      <c r="R34" s="10">
        <f>N34/O34</f>
        <v>27.120738636363637</v>
      </c>
      <c r="S34" s="25"/>
      <c r="T34" s="25"/>
    </row>
    <row r="35" spans="1:20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503486</v>
      </c>
      <c r="H35" s="39">
        <v>66486</v>
      </c>
      <c r="I35" s="27">
        <f t="shared" si="17"/>
        <v>8260</v>
      </c>
      <c r="J35" s="35">
        <f t="shared" si="17"/>
        <v>45000</v>
      </c>
      <c r="K35" s="39">
        <f t="shared" si="17"/>
        <v>45100</v>
      </c>
      <c r="L35" s="27">
        <f t="shared" si="17"/>
        <v>2248</v>
      </c>
      <c r="M35" s="35">
        <f t="shared" si="17"/>
        <v>482000</v>
      </c>
      <c r="N35" s="39">
        <f t="shared" si="17"/>
        <v>548586</v>
      </c>
      <c r="O35" s="27">
        <f t="shared" si="17"/>
        <v>10508</v>
      </c>
      <c r="P35" s="43">
        <f t="shared" si="17"/>
        <v>12966</v>
      </c>
      <c r="Q35" s="28">
        <f>O35/P35</f>
        <v>0.81042727132500381</v>
      </c>
      <c r="R35" s="31">
        <f>N35/O35</f>
        <v>52.206509326227639</v>
      </c>
      <c r="S35" s="43">
        <f>SUM(S31:S34)</f>
        <v>0</v>
      </c>
      <c r="T35" s="43">
        <f t="shared" ref="T35" si="18">SUM(T31:T34)</f>
        <v>0</v>
      </c>
    </row>
    <row r="36" spans="1:20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0" ht="13.5" customHeight="1" x14ac:dyDescent="0.2">
      <c r="A37" s="16" t="s">
        <v>90</v>
      </c>
      <c r="B37" s="13"/>
      <c r="C37" s="13"/>
      <c r="D37" s="16" t="s">
        <v>77</v>
      </c>
      <c r="E37" s="16" t="s">
        <v>107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0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0" ht="13.5" customHeight="1" x14ac:dyDescent="0.2">
      <c r="A39" s="16" t="s">
        <v>81</v>
      </c>
      <c r="B39" s="16"/>
      <c r="C39" s="16"/>
      <c r="D39" s="18" t="s">
        <v>82</v>
      </c>
      <c r="E39" s="16" t="s">
        <v>112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0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</row>
    <row r="41" spans="1:20" ht="13.5" customHeight="1" x14ac:dyDescent="0.2">
      <c r="A41" s="16" t="s">
        <v>28</v>
      </c>
      <c r="B41" s="13"/>
      <c r="C41" s="13"/>
      <c r="D41" s="18" t="s">
        <v>73</v>
      </c>
      <c r="E41" s="16" t="s">
        <v>131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0" ht="13.5" customHeight="1" x14ac:dyDescent="0.2">
      <c r="A42" s="16" t="s">
        <v>74</v>
      </c>
      <c r="B42" s="13"/>
      <c r="C42" s="13"/>
      <c r="D42" s="18" t="s">
        <v>75</v>
      </c>
      <c r="E42" s="16" t="s">
        <v>112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0" ht="12.75" customHeight="1" x14ac:dyDescent="0.2">
      <c r="A43" s="55" t="s">
        <v>76</v>
      </c>
      <c r="B43" s="71"/>
      <c r="C43" s="71"/>
      <c r="D43" s="55" t="s">
        <v>113</v>
      </c>
      <c r="E43" s="55" t="s">
        <v>106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0" ht="12.75" customHeight="1" x14ac:dyDescent="0.2">
      <c r="A44" s="16" t="s">
        <v>86</v>
      </c>
      <c r="B44" s="13"/>
      <c r="C44" s="13"/>
      <c r="D44" s="16" t="s">
        <v>87</v>
      </c>
      <c r="E44" s="16" t="s">
        <v>111</v>
      </c>
      <c r="F44" s="32">
        <v>232000</v>
      </c>
      <c r="G44" s="33">
        <v>142036</v>
      </c>
      <c r="H44" s="33"/>
      <c r="I44" s="25">
        <v>2225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143301</v>
      </c>
      <c r="O44" s="25">
        <f t="shared" si="21"/>
        <v>2255</v>
      </c>
      <c r="P44" s="42">
        <v>3888</v>
      </c>
      <c r="Q44" s="20">
        <f t="shared" si="22"/>
        <v>0.57998971193415638</v>
      </c>
      <c r="R44" s="29">
        <f t="shared" si="23"/>
        <v>63.54811529933481</v>
      </c>
      <c r="S44" s="25"/>
      <c r="T44" s="25"/>
    </row>
    <row r="45" spans="1:20" ht="12.75" customHeight="1" x14ac:dyDescent="0.2">
      <c r="A45" s="16" t="s">
        <v>88</v>
      </c>
      <c r="B45" s="13"/>
      <c r="C45" s="13"/>
      <c r="D45" s="18" t="s">
        <v>89</v>
      </c>
      <c r="E45" s="16" t="s">
        <v>129</v>
      </c>
      <c r="F45" s="32">
        <v>92000</v>
      </c>
      <c r="G45" s="33">
        <v>14803</v>
      </c>
      <c r="H45" s="33"/>
      <c r="I45" s="25">
        <v>136</v>
      </c>
      <c r="J45" s="32">
        <v>0</v>
      </c>
      <c r="K45" s="33">
        <v>612</v>
      </c>
      <c r="L45" s="25">
        <v>25</v>
      </c>
      <c r="M45" s="40">
        <f t="shared" si="19"/>
        <v>92000</v>
      </c>
      <c r="N45" s="40">
        <f t="shared" si="20"/>
        <v>15415</v>
      </c>
      <c r="O45" s="25">
        <f t="shared" si="21"/>
        <v>161</v>
      </c>
      <c r="P45" s="42">
        <v>1575</v>
      </c>
      <c r="Q45" s="20">
        <f t="shared" si="22"/>
        <v>0.10222222222222223</v>
      </c>
      <c r="R45" s="29">
        <f t="shared" si="23"/>
        <v>95.745341614906835</v>
      </c>
      <c r="S45" s="25"/>
      <c r="T45" s="25"/>
    </row>
    <row r="46" spans="1:20" ht="12.75" customHeight="1" x14ac:dyDescent="0.2">
      <c r="A46" s="16" t="s">
        <v>91</v>
      </c>
      <c r="B46" s="13"/>
      <c r="C46" s="13"/>
      <c r="D46" s="18" t="s">
        <v>92</v>
      </c>
      <c r="E46" s="16" t="s">
        <v>107</v>
      </c>
      <c r="F46" s="32">
        <v>375000</v>
      </c>
      <c r="G46" s="33">
        <v>301776</v>
      </c>
      <c r="H46" s="33"/>
      <c r="I46" s="25">
        <v>3418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303821</v>
      </c>
      <c r="O46" s="25">
        <f t="shared" si="21"/>
        <v>3456</v>
      </c>
      <c r="P46" s="42">
        <v>5184</v>
      </c>
      <c r="Q46" s="20">
        <f t="shared" si="22"/>
        <v>0.66666666666666663</v>
      </c>
      <c r="R46" s="29">
        <f t="shared" si="23"/>
        <v>87.911168981481481</v>
      </c>
      <c r="S46" s="25"/>
      <c r="T46" s="25"/>
    </row>
    <row r="47" spans="1:20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58289</v>
      </c>
      <c r="H47" s="33"/>
      <c r="I47" s="25">
        <v>660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58289</v>
      </c>
      <c r="O47" s="25">
        <f t="shared" si="21"/>
        <v>660</v>
      </c>
      <c r="P47" s="42">
        <v>1575</v>
      </c>
      <c r="Q47" s="20">
        <f t="shared" si="22"/>
        <v>0.41904761904761906</v>
      </c>
      <c r="R47" s="29">
        <f t="shared" si="23"/>
        <v>88.316666666666663</v>
      </c>
      <c r="S47" s="25"/>
      <c r="T47" s="25"/>
    </row>
    <row r="48" spans="1:20" ht="12.75" customHeight="1" x14ac:dyDescent="0.2">
      <c r="A48" s="16" t="s">
        <v>133</v>
      </c>
      <c r="B48" s="13"/>
      <c r="C48" s="13"/>
      <c r="D48" s="18" t="s">
        <v>134</v>
      </c>
      <c r="E48" s="16"/>
      <c r="F48" s="32">
        <v>150000</v>
      </c>
      <c r="G48" s="33">
        <v>154596</v>
      </c>
      <c r="H48" s="33"/>
      <c r="I48" s="25">
        <v>1712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154596</v>
      </c>
      <c r="O48" s="25">
        <f t="shared" si="21"/>
        <v>1712</v>
      </c>
      <c r="P48" s="42">
        <v>2468</v>
      </c>
      <c r="Q48" s="20">
        <v>0.69</v>
      </c>
      <c r="R48" s="29">
        <f t="shared" si="23"/>
        <v>90.30140186915888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105108</v>
      </c>
      <c r="H49" s="33"/>
      <c r="I49" s="25">
        <v>306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105108</v>
      </c>
      <c r="O49" s="25">
        <f t="shared" si="21"/>
        <v>306</v>
      </c>
      <c r="P49" s="42">
        <v>1575</v>
      </c>
      <c r="Q49" s="21">
        <f t="shared" si="22"/>
        <v>0.19428571428571428</v>
      </c>
      <c r="R49" s="10">
        <f t="shared" si="23"/>
        <v>343.49019607843138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2196700</v>
      </c>
      <c r="H50" s="84">
        <v>386300</v>
      </c>
      <c r="I50" s="27">
        <f t="shared" si="24"/>
        <v>29440</v>
      </c>
      <c r="J50" s="35">
        <f t="shared" si="24"/>
        <v>0</v>
      </c>
      <c r="K50" s="39">
        <f t="shared" si="24"/>
        <v>10948</v>
      </c>
      <c r="L50" s="27">
        <f t="shared" si="24"/>
        <v>293</v>
      </c>
      <c r="M50" s="35">
        <f t="shared" si="24"/>
        <v>2583000</v>
      </c>
      <c r="N50" s="39">
        <f t="shared" si="24"/>
        <v>2207648</v>
      </c>
      <c r="O50" s="27">
        <f t="shared" si="24"/>
        <v>29733</v>
      </c>
      <c r="P50" s="43">
        <f t="shared" si="24"/>
        <v>37961</v>
      </c>
      <c r="Q50" s="28">
        <f>O50/P50</f>
        <v>0.78325123152709364</v>
      </c>
      <c r="R50" s="31">
        <f t="shared" si="23"/>
        <v>74.249083509904821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3691610</v>
      </c>
      <c r="H51" s="84">
        <v>664390</v>
      </c>
      <c r="I51" s="27">
        <f>SUM(I20,I28,I35,I50)</f>
        <v>52963</v>
      </c>
      <c r="J51" s="35">
        <f>SUM(J20,J28,J35,J50)</f>
        <v>2438000</v>
      </c>
      <c r="K51" s="39">
        <f t="shared" ref="K51" si="27">SUM(K20,K28,K35,K50)</f>
        <v>2334923</v>
      </c>
      <c r="L51" s="27">
        <f>SUM(L20,L28,L35,L50)</f>
        <v>41222</v>
      </c>
      <c r="M51" s="35">
        <f>SUM(M20,M28,M35,M50)</f>
        <v>6794000</v>
      </c>
      <c r="N51" s="39">
        <f t="shared" ref="N51" si="28">SUM(N20,N28,N35,N50)</f>
        <v>6026533</v>
      </c>
      <c r="O51" s="27">
        <f>SUM(O20,O28,O35,O50)</f>
        <v>94185</v>
      </c>
      <c r="P51" s="43">
        <f>SUM(P20,P28,P35,P50)</f>
        <v>139670</v>
      </c>
      <c r="Q51" s="28">
        <f>O51/P51</f>
        <v>0.67433951457005803</v>
      </c>
      <c r="R51" s="31">
        <f t="shared" si="23"/>
        <v>63.986123055688275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2024-01-29T16:18:49Z</dcterms:modified>
</cp:coreProperties>
</file>