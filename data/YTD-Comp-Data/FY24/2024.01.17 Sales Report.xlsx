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96F9E3EC-2564-495B-975D-CE456D884B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8" i="1" l="1"/>
  <c r="R48" i="1" s="1"/>
  <c r="N48" i="1"/>
  <c r="F20" i="1"/>
  <c r="T50" i="1"/>
  <c r="S50" i="1"/>
  <c r="T35" i="1"/>
  <c r="S35" i="1"/>
  <c r="T28" i="1"/>
  <c r="S28" i="1"/>
  <c r="T20" i="1"/>
  <c r="S20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T51" i="1" l="1"/>
  <c r="R49" i="1"/>
  <c r="Q49" i="1"/>
  <c r="R19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M51" i="1" l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<sst xmlns="http://schemas.openxmlformats.org/spreadsheetml/2006/main" count="160" uniqueCount="136">
  <si>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</si>
  <si>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</si>
  <si>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</si>
  <si>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</si>
  <si>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</si>
  <si>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</si>
  <si>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</si>
  <si>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</si>
  <si>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</si>
  <si>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</si>
  <si>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</si>
  <si>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</si>
  <si>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</si>
  <si>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</si>
  <si>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</si>
  <si>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</si>
  <si>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</si>
  <si>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</si>
  <si>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</si>
  <si>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</si>
  <si>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</si>
  <si>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</si>
  <si>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</si>
  <si>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</si>
  <si>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</si>
  <si>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</si>
  <si>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</si>
  <si>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</si>
  <si>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</si>
  <si>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</si>
  <si>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</si>
  <si>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</si>
  <si>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</si>
  <si>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</si>
  <si>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</si>
  <si>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</si>
  <si>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</si>
  <si>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</si>
  <si>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</si>
  <si>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</si>
  <si>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</si>
  <si>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</si>
  <si>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</si>
  <si>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</si>
  <si>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</si>
  <si>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</si>
  <si>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</si>
  <si>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</si>
  <si>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</si>
  <si>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</si>
  <si>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</si>
  <si>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</si>
  <si>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</si>
  <si>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</si>
  <si>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</si>
  <si>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</si>
  <si>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</si>
  <si>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</si>
  <si>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</si>
  <si>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</si>
  <si>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</si>
  <si>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</si>
  <si>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</si>
  <si>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</si>
  <si>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</si>
  <si>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</si>
  <si>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</si>
  <si>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</si>
  <si>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</si>
  <si>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</si>
  <si>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</si>
  <si>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</si>
  <si>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</si>
  <si>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</si>
  <si>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</si>
  <si>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</si>
  <si>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</si>
  <si>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</si>
  <si>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</si>
  <si>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</si>
  <si>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</si>
  <si>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</si>
  <si>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</si>
  <si>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</si>
  <si>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</si>
  <si>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</si>
  <si>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</si>
  <si>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</si>
  <si>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</si>
  <si>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</si>
  <si>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</si>
  <si>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</si>
  <si>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</si>
  <si>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</si>
  <si>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</si>
  <si>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</si>
  <si>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</si>
  <si>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</si>
  <si>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</si>
  <si>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</si>
  <si>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</si>
  <si>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</si>
  <si>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</si>
  <si>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</si>
  <si>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</si>
  <si>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</si>
  <si>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</si>
  <si>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</si>
  <si>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</si>
  <si>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</si>
  <si>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</si>
  <si>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</si>
  <si>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</si>
  <si>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</si>
  <si>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</si>
  <si>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</si>
  <si>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</si>
  <si>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</si>
  <si>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</si>
  <si>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</si>
  <si>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</si>
  <si>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</si>
  <si>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</si>
  <si>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</si>
  <si>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</si>
  <si>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</si>
  <si>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</si>
  <si>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</si>
  <si>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</si>
  <si>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</si>
  <si>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</si>
  <si>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Demirjian</t>
  </si>
  <si>
    <t>Revised:</t>
  </si>
  <si>
    <t>Tech N9ne</t>
  </si>
  <si>
    <t>May. 4</t>
  </si>
  <si>
    <t>Mozart VC No. 5 &amp; Korngold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</si>
</sst>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165" fontId="10" fillId="3" borderId="2" xfId="1" applyNumberFormat="1" applyFont="1" applyFill="1" applyBorder="1" applyAlignment="1">
      <alignment horizontal="center"/>
    </xf>
    <xf numFmtId="165" fontId="10" fillId="3" borderId="2" xfId="1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showGridLines="0" tabSelected="1" workbookViewId="0">
      <selection activeCell="Y30" sqref="Y30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2.425781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7.42578125" customWidth="1"/>
    <col min="16" max="16" width="10.140625" customWidth="1"/>
    <col min="17" max="17" width="6.85546875" customWidth="1"/>
    <col min="18" max="18" width="9.5703125" customWidth="1"/>
    <col min="19" max="20" width="0.140625" hidden="1" customWidth="1"/>
  </cols>
  <sheetData>
    <row r="1" spans="1:20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132</v>
      </c>
      <c r="R1" s="79">
        <v>45306</v>
      </c>
    </row>
    <row r="2" spans="1:20" x14ac:dyDescent="0.2">
      <c r="A2" s="9"/>
      <c r="E2" s="13" t="s">
        <v>27</v>
      </c>
    </row>
    <row r="3" spans="1:20" x14ac:dyDescent="0.2">
      <c r="E3" s="16"/>
      <c r="F3" s="85" t="s">
        <v>115</v>
      </c>
      <c r="G3" s="85"/>
      <c r="H3" s="85"/>
      <c r="I3" s="85"/>
      <c r="J3" s="86" t="s">
        <v>116</v>
      </c>
      <c r="K3" s="86"/>
      <c r="L3" s="86"/>
      <c r="M3" s="87" t="s">
        <v>117</v>
      </c>
      <c r="N3" s="87"/>
      <c r="O3" s="87"/>
      <c r="P3" s="89" t="s">
        <v>122</v>
      </c>
      <c r="Q3" s="89"/>
      <c r="R3" s="89"/>
      <c r="S3" s="88" t="s">
        <v>128</v>
      </c>
      <c r="T3" s="88"/>
    </row>
    <row r="4" spans="1:20" x14ac:dyDescent="0.2">
      <c r="E4" s="16"/>
      <c r="P4" s="19" t="s">
        <v>123</v>
      </c>
      <c r="Q4" s="19" t="s">
        <v>35</v>
      </c>
      <c r="R4" s="19" t="s">
        <v>118</v>
      </c>
      <c r="S4" s="19" t="s">
        <v>119</v>
      </c>
      <c r="T4" s="19" t="s">
        <v>119</v>
      </c>
    </row>
    <row r="5" spans="1:20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130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124</v>
      </c>
      <c r="Q5" s="8" t="s">
        <v>33</v>
      </c>
      <c r="R5" s="8" t="s">
        <v>34</v>
      </c>
      <c r="S5" s="8" t="s">
        <v>120</v>
      </c>
      <c r="T5" s="8" t="s">
        <v>121</v>
      </c>
    </row>
    <row r="6" spans="1:20" x14ac:dyDescent="0.2">
      <c r="A6" t="s">
        <v>10</v>
      </c>
      <c r="B6" t="s">
        <v>108</v>
      </c>
      <c r="D6" t="s">
        <v>36</v>
      </c>
      <c r="E6" t="s">
        <v>25</v>
      </c>
      <c r="F6" s="74">
        <v>38000</v>
      </c>
      <c r="G6" s="75">
        <v>34287</v>
      </c>
      <c r="H6" s="75"/>
      <c r="I6" s="76">
        <v>755</v>
      </c>
      <c r="J6" s="74">
        <v>125179</v>
      </c>
      <c r="K6" s="75">
        <v>119397</v>
      </c>
      <c r="L6" s="76">
        <v>2094</v>
      </c>
      <c r="M6" s="74">
        <f t="shared" ref="M6:M19" si="0">F6+J6</f>
        <v>163179</v>
      </c>
      <c r="N6" s="75">
        <f t="shared" ref="N6:N19" si="1">G6+K6</f>
        <v>153684</v>
      </c>
      <c r="O6" s="76">
        <f t="shared" ref="O6:O19" si="2">I6+L6</f>
        <v>2849</v>
      </c>
      <c r="P6" s="77">
        <v>4725</v>
      </c>
      <c r="Q6" s="68">
        <f>O6/P6</f>
        <v>0.60296296296296292</v>
      </c>
      <c r="R6" s="41">
        <f t="shared" ref="R6:R20" si="3">N6/O6</f>
        <v>53.943137943137941</v>
      </c>
      <c r="S6" s="76">
        <v>10</v>
      </c>
      <c r="T6" s="76">
        <v>100</v>
      </c>
    </row>
    <row r="7" spans="1:20" x14ac:dyDescent="0.2">
      <c r="A7" t="s">
        <v>11</v>
      </c>
      <c r="B7" t="s">
        <v>109</v>
      </c>
      <c r="D7" t="s">
        <v>37</v>
      </c>
      <c r="E7" t="s">
        <v>25</v>
      </c>
      <c r="F7" s="74">
        <v>38000</v>
      </c>
      <c r="G7" s="75">
        <v>26681</v>
      </c>
      <c r="H7" s="75"/>
      <c r="I7" s="76">
        <v>782</v>
      </c>
      <c r="J7" s="74">
        <v>125217</v>
      </c>
      <c r="K7" s="75">
        <v>116837</v>
      </c>
      <c r="L7" s="76">
        <v>2031</v>
      </c>
      <c r="M7" s="74">
        <f t="shared" si="0"/>
        <v>163217</v>
      </c>
      <c r="N7" s="75">
        <f t="shared" si="1"/>
        <v>143518</v>
      </c>
      <c r="O7" s="76">
        <f t="shared" si="2"/>
        <v>2813</v>
      </c>
      <c r="P7" s="77">
        <v>4725</v>
      </c>
      <c r="Q7" s="20">
        <f t="shared" ref="Q7:Q19" si="4">O7/P7</f>
        <v>0.5953439153439154</v>
      </c>
      <c r="R7" s="41">
        <f t="shared" si="3"/>
        <v>51.019552079630287</v>
      </c>
      <c r="S7" s="76"/>
      <c r="T7" s="76"/>
    </row>
    <row r="8" spans="1:20" x14ac:dyDescent="0.2">
      <c r="A8" t="s">
        <v>12</v>
      </c>
      <c r="B8" t="s">
        <v>110</v>
      </c>
      <c r="D8" t="s">
        <v>38</v>
      </c>
      <c r="E8" t="s">
        <v>40</v>
      </c>
      <c r="F8" s="74">
        <v>35000</v>
      </c>
      <c r="G8" s="75">
        <v>55138</v>
      </c>
      <c r="H8" s="75"/>
      <c r="I8" s="76">
        <v>1149</v>
      </c>
      <c r="J8" s="74">
        <v>125217</v>
      </c>
      <c r="K8" s="75">
        <v>117086</v>
      </c>
      <c r="L8" s="76">
        <v>2050</v>
      </c>
      <c r="M8" s="74">
        <f t="shared" si="0"/>
        <v>160217</v>
      </c>
      <c r="N8" s="75">
        <f t="shared" si="1"/>
        <v>172224</v>
      </c>
      <c r="O8" s="76">
        <f t="shared" si="2"/>
        <v>3199</v>
      </c>
      <c r="P8" s="77">
        <v>4254</v>
      </c>
      <c r="Q8" s="20">
        <f t="shared" si="4"/>
        <v>0.75199811941701933</v>
      </c>
      <c r="R8" s="41">
        <f t="shared" si="3"/>
        <v>53.836824007502344</v>
      </c>
      <c r="S8" s="76"/>
      <c r="T8" s="76"/>
    </row>
    <row r="9" spans="1:20" x14ac:dyDescent="0.2">
      <c r="A9" t="s">
        <v>13</v>
      </c>
      <c r="B9" t="s">
        <v>126</v>
      </c>
      <c r="D9" s="16" t="s">
        <v>39</v>
      </c>
      <c r="E9" t="s">
        <v>41</v>
      </c>
      <c r="F9" s="74">
        <v>50000</v>
      </c>
      <c r="G9" s="75">
        <v>38464</v>
      </c>
      <c r="H9" s="75"/>
      <c r="I9" s="76">
        <v>789</v>
      </c>
      <c r="J9" s="74">
        <v>125217</v>
      </c>
      <c r="K9" s="75">
        <v>119174</v>
      </c>
      <c r="L9" s="76">
        <v>2086</v>
      </c>
      <c r="M9" s="74">
        <f t="shared" si="0"/>
        <v>175217</v>
      </c>
      <c r="N9" s="75">
        <f t="shared" si="1"/>
        <v>157638</v>
      </c>
      <c r="O9" s="76">
        <f t="shared" si="2"/>
        <v>2875</v>
      </c>
      <c r="P9" s="77">
        <v>4725</v>
      </c>
      <c r="Q9" s="20">
        <f t="shared" si="4"/>
        <v>0.60846560846560849</v>
      </c>
      <c r="R9" s="41">
        <f t="shared" si="3"/>
        <v>54.830608695652174</v>
      </c>
      <c r="S9" s="51"/>
      <c r="T9" s="51"/>
    </row>
    <row r="10" spans="1:20" x14ac:dyDescent="0.2">
      <c r="A10" s="48" t="s">
        <v>14</v>
      </c>
      <c r="B10" s="48" t="s">
        <v>42</v>
      </c>
      <c r="C10" s="48"/>
      <c r="D10" s="48" t="s">
        <v>43</v>
      </c>
      <c r="E10" s="48" t="s">
        <v>25</v>
      </c>
      <c r="F10" s="49">
        <v>55000</v>
      </c>
      <c r="G10" s="50">
        <v>68585</v>
      </c>
      <c r="H10" s="50"/>
      <c r="I10" s="51">
        <v>1164</v>
      </c>
      <c r="J10" s="49">
        <v>125217</v>
      </c>
      <c r="K10" s="50">
        <v>121113</v>
      </c>
      <c r="L10" s="51">
        <v>2090</v>
      </c>
      <c r="M10" s="49">
        <f t="shared" si="0"/>
        <v>180217</v>
      </c>
      <c r="N10" s="50">
        <f t="shared" si="1"/>
        <v>189698</v>
      </c>
      <c r="O10" s="51">
        <f t="shared" si="2"/>
        <v>3254</v>
      </c>
      <c r="P10" s="52">
        <v>4725</v>
      </c>
      <c r="Q10" s="73">
        <f t="shared" si="4"/>
        <v>0.68867724867724867</v>
      </c>
      <c r="R10" s="54">
        <f t="shared" si="3"/>
        <v>58.296865396435159</v>
      </c>
      <c r="S10" s="25"/>
      <c r="T10" s="25"/>
    </row>
    <row r="11" spans="1:20" x14ac:dyDescent="0.2">
      <c r="A11" t="s">
        <v>15</v>
      </c>
      <c r="B11" t="s">
        <v>135</v>
      </c>
      <c r="D11" t="s">
        <v>44</v>
      </c>
      <c r="E11" t="s">
        <v>100</v>
      </c>
      <c r="F11" s="32">
        <v>40000</v>
      </c>
      <c r="G11" s="33">
        <v>32283</v>
      </c>
      <c r="H11" s="33"/>
      <c r="I11" s="25">
        <v>588</v>
      </c>
      <c r="J11" s="32">
        <v>125217</v>
      </c>
      <c r="K11" s="33">
        <v>117577</v>
      </c>
      <c r="L11" s="25">
        <v>2092</v>
      </c>
      <c r="M11" s="32">
        <f t="shared" si="0"/>
        <v>165217</v>
      </c>
      <c r="N11" s="33">
        <f t="shared" si="1"/>
        <v>149860</v>
      </c>
      <c r="O11" s="25">
        <f t="shared" si="2"/>
        <v>2680</v>
      </c>
      <c r="P11" s="42">
        <v>4725</v>
      </c>
      <c r="Q11" s="20">
        <f t="shared" si="4"/>
        <v>0.56719576719576714</v>
      </c>
      <c r="R11" s="29">
        <f t="shared" si="3"/>
        <v>55.917910447761194</v>
      </c>
      <c r="S11" s="25"/>
      <c r="T11" s="25"/>
    </row>
    <row r="12" spans="1:20" x14ac:dyDescent="0.2">
      <c r="A12" t="s">
        <v>16</v>
      </c>
      <c r="B12" t="s">
        <v>96</v>
      </c>
      <c r="D12" t="s">
        <v>45</v>
      </c>
      <c r="E12" s="16" t="s">
        <v>25</v>
      </c>
      <c r="F12" s="32">
        <v>40000</v>
      </c>
      <c r="G12" s="33">
        <v>12224</v>
      </c>
      <c r="H12" s="33"/>
      <c r="I12" s="25">
        <v>320</v>
      </c>
      <c r="J12" s="32">
        <v>125217</v>
      </c>
      <c r="K12" s="33">
        <v>124711</v>
      </c>
      <c r="L12" s="25">
        <v>2184</v>
      </c>
      <c r="M12" s="32">
        <f t="shared" si="0"/>
        <v>165217</v>
      </c>
      <c r="N12" s="33">
        <f t="shared" si="1"/>
        <v>136935</v>
      </c>
      <c r="O12" s="25">
        <f t="shared" si="2"/>
        <v>2504</v>
      </c>
      <c r="P12" s="42">
        <v>4725</v>
      </c>
      <c r="Q12" s="20">
        <f t="shared" si="4"/>
        <v>0.52994708994708994</v>
      </c>
      <c r="R12" s="29">
        <f t="shared" si="3"/>
        <v>54.686501597444092</v>
      </c>
      <c r="S12" s="25"/>
      <c r="T12" s="25"/>
    </row>
    <row r="13" spans="1:20" x14ac:dyDescent="0.2">
      <c r="A13" t="s">
        <v>17</v>
      </c>
      <c r="B13" t="s">
        <v>97</v>
      </c>
      <c r="D13" s="16" t="s">
        <v>46</v>
      </c>
      <c r="E13" s="16" t="s">
        <v>101</v>
      </c>
      <c r="F13" s="32">
        <v>40000</v>
      </c>
      <c r="G13" s="33">
        <v>18597</v>
      </c>
      <c r="H13" s="33"/>
      <c r="I13" s="25">
        <v>417</v>
      </c>
      <c r="J13" s="32">
        <v>125217</v>
      </c>
      <c r="K13" s="33">
        <v>120244</v>
      </c>
      <c r="L13" s="25">
        <v>2103</v>
      </c>
      <c r="M13" s="32">
        <f t="shared" si="0"/>
        <v>165217</v>
      </c>
      <c r="N13" s="33">
        <f t="shared" si="1"/>
        <v>138841</v>
      </c>
      <c r="O13" s="25">
        <f t="shared" si="2"/>
        <v>2520</v>
      </c>
      <c r="P13" s="42">
        <v>4725</v>
      </c>
      <c r="Q13" s="20">
        <f t="shared" si="4"/>
        <v>0.53333333333333333</v>
      </c>
      <c r="R13" s="29">
        <f t="shared" si="3"/>
        <v>55.095634920634922</v>
      </c>
      <c r="S13" s="25"/>
      <c r="T13" s="25"/>
    </row>
    <row r="14" spans="1:20" x14ac:dyDescent="0.2">
      <c r="A14" t="s">
        <v>18</v>
      </c>
      <c r="B14" t="s">
        <v>102</v>
      </c>
      <c r="D14" s="16" t="s">
        <v>47</v>
      </c>
      <c r="E14" t="s">
        <v>103</v>
      </c>
      <c r="F14" s="32">
        <v>40000</v>
      </c>
      <c r="G14" s="33">
        <v>9925</v>
      </c>
      <c r="H14" s="33"/>
      <c r="I14" s="25">
        <v>187</v>
      </c>
      <c r="J14" s="32">
        <v>125217</v>
      </c>
      <c r="K14" s="33">
        <v>121188</v>
      </c>
      <c r="L14" s="25">
        <v>2129</v>
      </c>
      <c r="M14" s="32">
        <f t="shared" si="0"/>
        <v>165217</v>
      </c>
      <c r="N14" s="33">
        <f t="shared" si="1"/>
        <v>131113</v>
      </c>
      <c r="O14" s="25">
        <f t="shared" si="2"/>
        <v>2316</v>
      </c>
      <c r="P14" s="42">
        <v>4725</v>
      </c>
      <c r="Q14" s="20">
        <f t="shared" si="4"/>
        <v>0.49015873015873018</v>
      </c>
      <c r="R14" s="29">
        <f t="shared" si="3"/>
        <v>56.611830742659755</v>
      </c>
      <c r="S14" s="25"/>
      <c r="T14" s="25"/>
    </row>
    <row r="15" spans="1:20" x14ac:dyDescent="0.2">
      <c r="A15" t="s">
        <v>19</v>
      </c>
      <c r="B15" s="16" t="s">
        <v>104</v>
      </c>
      <c r="D15" s="16" t="s">
        <v>48</v>
      </c>
      <c r="E15" s="16" t="s">
        <v>25</v>
      </c>
      <c r="F15" s="32">
        <v>35000</v>
      </c>
      <c r="G15" s="33">
        <v>12977</v>
      </c>
      <c r="H15" s="33"/>
      <c r="I15" s="25">
        <v>215</v>
      </c>
      <c r="J15" s="32">
        <v>125217</v>
      </c>
      <c r="K15" s="33">
        <v>116849</v>
      </c>
      <c r="L15" s="25">
        <v>2056</v>
      </c>
      <c r="M15" s="32">
        <f t="shared" si="0"/>
        <v>160217</v>
      </c>
      <c r="N15" s="33">
        <f t="shared" si="1"/>
        <v>129826</v>
      </c>
      <c r="O15" s="25">
        <f t="shared" si="2"/>
        <v>2271</v>
      </c>
      <c r="P15" s="42">
        <v>4725</v>
      </c>
      <c r="Q15" s="20">
        <f t="shared" si="4"/>
        <v>0.48063492063492064</v>
      </c>
      <c r="R15" s="29">
        <f t="shared" si="3"/>
        <v>57.166886833993836</v>
      </c>
      <c r="S15" s="25"/>
      <c r="T15" s="25"/>
    </row>
    <row r="16" spans="1:20" x14ac:dyDescent="0.2">
      <c r="A16" t="s">
        <v>20</v>
      </c>
      <c r="B16" s="16" t="s">
        <v>105</v>
      </c>
      <c r="D16" s="16" t="s">
        <v>49</v>
      </c>
      <c r="E16" s="16" t="s">
        <v>25</v>
      </c>
      <c r="F16" s="32">
        <v>45000</v>
      </c>
      <c r="G16" s="33">
        <v>9618</v>
      </c>
      <c r="H16" s="33"/>
      <c r="I16" s="25">
        <v>169</v>
      </c>
      <c r="J16" s="32">
        <v>125217</v>
      </c>
      <c r="K16" s="33">
        <v>125199</v>
      </c>
      <c r="L16" s="25">
        <v>2195</v>
      </c>
      <c r="M16" s="32">
        <f t="shared" si="0"/>
        <v>170217</v>
      </c>
      <c r="N16" s="33">
        <f t="shared" si="1"/>
        <v>134817</v>
      </c>
      <c r="O16" s="25">
        <f t="shared" si="2"/>
        <v>2364</v>
      </c>
      <c r="P16" s="42">
        <v>4725</v>
      </c>
      <c r="Q16" s="20">
        <f t="shared" si="4"/>
        <v>0.50031746031746027</v>
      </c>
      <c r="R16" s="29">
        <f t="shared" si="3"/>
        <v>57.029187817258887</v>
      </c>
      <c r="S16" s="25"/>
      <c r="T16" s="25"/>
    </row>
    <row r="17" spans="1:20" x14ac:dyDescent="0.2">
      <c r="A17" s="13" t="s">
        <v>21</v>
      </c>
      <c r="B17" s="16" t="s">
        <v>50</v>
      </c>
      <c r="C17" s="13"/>
      <c r="D17" s="16" t="s">
        <v>51</v>
      </c>
      <c r="E17" s="16" t="s">
        <v>25</v>
      </c>
      <c r="F17" s="32">
        <v>55000</v>
      </c>
      <c r="G17" s="33">
        <v>23600</v>
      </c>
      <c r="H17" s="33"/>
      <c r="I17" s="25">
        <v>380</v>
      </c>
      <c r="J17" s="32">
        <v>125217</v>
      </c>
      <c r="K17" s="33">
        <v>119714</v>
      </c>
      <c r="L17" s="25">
        <v>2080</v>
      </c>
      <c r="M17" s="32">
        <f t="shared" si="0"/>
        <v>180217</v>
      </c>
      <c r="N17" s="33">
        <f t="shared" si="1"/>
        <v>143314</v>
      </c>
      <c r="O17" s="25">
        <f t="shared" si="2"/>
        <v>2460</v>
      </c>
      <c r="P17" s="42">
        <v>4725</v>
      </c>
      <c r="Q17" s="20">
        <f t="shared" si="4"/>
        <v>0.52063492063492067</v>
      </c>
      <c r="R17" s="29">
        <f t="shared" si="3"/>
        <v>58.257723577235772</v>
      </c>
      <c r="S17" s="25"/>
      <c r="T17" s="25"/>
    </row>
    <row r="18" spans="1:20" x14ac:dyDescent="0.2">
      <c r="A18" t="s">
        <v>22</v>
      </c>
      <c r="B18" s="16" t="s">
        <v>52</v>
      </c>
      <c r="D18" s="16" t="s">
        <v>53</v>
      </c>
      <c r="E18" t="s">
        <v>25</v>
      </c>
      <c r="F18" s="32">
        <v>38000</v>
      </c>
      <c r="G18" s="33">
        <v>16088</v>
      </c>
      <c r="H18" s="33"/>
      <c r="I18" s="25">
        <v>275</v>
      </c>
      <c r="J18" s="32">
        <v>125217</v>
      </c>
      <c r="K18" s="33">
        <v>121683</v>
      </c>
      <c r="L18" s="25">
        <v>2124</v>
      </c>
      <c r="M18" s="32">
        <f t="shared" si="0"/>
        <v>163217</v>
      </c>
      <c r="N18" s="33">
        <f t="shared" si="1"/>
        <v>137771</v>
      </c>
      <c r="O18" s="25">
        <f t="shared" si="2"/>
        <v>2399</v>
      </c>
      <c r="P18" s="42">
        <v>4254</v>
      </c>
      <c r="Q18" s="20">
        <f t="shared" si="4"/>
        <v>0.56393982134461684</v>
      </c>
      <c r="R18" s="29">
        <f t="shared" si="3"/>
        <v>57.42851187994998</v>
      </c>
      <c r="S18" s="25"/>
      <c r="T18" s="25"/>
    </row>
    <row r="19" spans="1:20" ht="13.5" thickBot="1" x14ac:dyDescent="0.25">
      <c r="A19" s="13" t="s">
        <v>26</v>
      </c>
      <c r="B19" s="16" t="s">
        <v>55</v>
      </c>
      <c r="D19" s="16" t="s">
        <v>54</v>
      </c>
      <c r="E19" s="16" t="s">
        <v>25</v>
      </c>
      <c r="F19" s="32">
        <v>67000</v>
      </c>
      <c r="G19" s="34">
        <v>21173</v>
      </c>
      <c r="H19" s="34"/>
      <c r="I19" s="26">
        <v>328</v>
      </c>
      <c r="J19" s="32">
        <v>125217</v>
      </c>
      <c r="K19" s="34">
        <v>122420</v>
      </c>
      <c r="L19" s="26">
        <v>2118</v>
      </c>
      <c r="M19" s="32">
        <f t="shared" si="0"/>
        <v>192217</v>
      </c>
      <c r="N19" s="34">
        <f t="shared" si="1"/>
        <v>143593</v>
      </c>
      <c r="O19" s="26">
        <f t="shared" si="2"/>
        <v>2446</v>
      </c>
      <c r="P19" s="45">
        <v>4725</v>
      </c>
      <c r="Q19" s="21">
        <f t="shared" si="4"/>
        <v>0.51767195767195762</v>
      </c>
      <c r="R19" s="30">
        <f t="shared" si="3"/>
        <v>58.705233033524124</v>
      </c>
      <c r="S19" s="25"/>
      <c r="T19" s="25"/>
    </row>
    <row r="20" spans="1:20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5">SUM(G6:G19)</f>
        <v>379640</v>
      </c>
      <c r="H20" s="83">
        <v>236360</v>
      </c>
      <c r="I20" s="23">
        <f t="shared" si="5"/>
        <v>7518</v>
      </c>
      <c r="J20" s="35">
        <f>SUM(J6:J19)</f>
        <v>1753000</v>
      </c>
      <c r="K20" s="35">
        <f t="shared" ref="K20" si="6">SUM(K6:K19)</f>
        <v>1683192</v>
      </c>
      <c r="L20" s="23">
        <f t="shared" ref="L20" si="7">SUM(L6:L19)</f>
        <v>29432</v>
      </c>
      <c r="M20" s="35">
        <f>SUM(M6:M19)</f>
        <v>2369000</v>
      </c>
      <c r="N20" s="35">
        <f t="shared" ref="N20" si="8">SUM(N6:N19)</f>
        <v>2062832</v>
      </c>
      <c r="O20" s="23">
        <f t="shared" ref="O20" si="9">SUM(O6:O19)</f>
        <v>36950</v>
      </c>
      <c r="P20" s="43">
        <f>SUM(P6:P19)</f>
        <v>65208</v>
      </c>
      <c r="Q20" s="28">
        <f>O20/P20</f>
        <v>0.56664826401668511</v>
      </c>
      <c r="R20" s="24">
        <f t="shared" si="3"/>
        <v>55.827658998646818</v>
      </c>
      <c r="S20" s="43">
        <f>SUM(S6:S19)</f>
        <v>10</v>
      </c>
      <c r="T20" s="43">
        <f>SUM(T6:T19)</f>
        <v>100</v>
      </c>
    </row>
    <row r="21" spans="1:20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</row>
    <row r="22" spans="1:20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</row>
    <row r="23" spans="1:20" x14ac:dyDescent="0.2">
      <c r="A23" s="16" t="s">
        <v>56</v>
      </c>
      <c r="B23" s="13"/>
      <c r="C23" s="13"/>
      <c r="D23" s="17" t="s">
        <v>57</v>
      </c>
      <c r="E23" s="16" t="s">
        <v>58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6">
        <v>114719</v>
      </c>
      <c r="L23" s="25">
        <v>1734</v>
      </c>
      <c r="M23" s="40">
        <f t="shared" ref="M23:N27" si="10">F23+J23</f>
        <v>348000</v>
      </c>
      <c r="N23" s="40">
        <f t="shared" si="10"/>
        <v>311594</v>
      </c>
      <c r="O23" s="25">
        <f>I23+L23</f>
        <v>3352</v>
      </c>
      <c r="P23" s="42">
        <v>4707</v>
      </c>
      <c r="Q23" s="20">
        <f t="shared" ref="Q23:Q27" si="11">O23/P23</f>
        <v>0.71213086891863187</v>
      </c>
      <c r="R23" s="29">
        <f t="shared" ref="R23:R28" si="12">N23/O23</f>
        <v>92.957637231503583</v>
      </c>
      <c r="S23" s="25"/>
      <c r="T23" s="25"/>
    </row>
    <row r="24" spans="1:20" x14ac:dyDescent="0.2">
      <c r="A24" s="55" t="s">
        <v>59</v>
      </c>
      <c r="B24" s="55"/>
      <c r="C24" s="55"/>
      <c r="D24" s="55" t="s">
        <v>60</v>
      </c>
      <c r="E24" s="55" t="s">
        <v>111</v>
      </c>
      <c r="F24" s="56">
        <v>125000</v>
      </c>
      <c r="G24" s="57">
        <v>131321</v>
      </c>
      <c r="H24" s="57"/>
      <c r="I24" s="58">
        <v>2056</v>
      </c>
      <c r="J24" s="56">
        <v>128000</v>
      </c>
      <c r="K24" s="70">
        <v>118047</v>
      </c>
      <c r="L24" s="58">
        <v>1804</v>
      </c>
      <c r="M24" s="59">
        <f t="shared" si="10"/>
        <v>253000</v>
      </c>
      <c r="N24" s="59">
        <f t="shared" si="10"/>
        <v>249368</v>
      </c>
      <c r="O24" s="58">
        <f>I24+L24</f>
        <v>3860</v>
      </c>
      <c r="P24" s="60">
        <v>4707</v>
      </c>
      <c r="Q24" s="53">
        <f t="shared" si="11"/>
        <v>0.82005523688124071</v>
      </c>
      <c r="R24" s="61">
        <f t="shared" si="12"/>
        <v>64.603108808290159</v>
      </c>
      <c r="S24" s="58"/>
      <c r="T24" s="58"/>
    </row>
    <row r="25" spans="1:20" x14ac:dyDescent="0.2">
      <c r="A25" s="16" t="s">
        <v>95</v>
      </c>
      <c r="B25" s="16"/>
      <c r="C25" s="16"/>
      <c r="D25" s="16" t="s">
        <v>61</v>
      </c>
      <c r="E25" s="16" t="s">
        <v>32</v>
      </c>
      <c r="F25" s="62">
        <v>125000</v>
      </c>
      <c r="G25" s="63">
        <v>108425</v>
      </c>
      <c r="H25" s="63"/>
      <c r="I25" s="64">
        <v>1501</v>
      </c>
      <c r="J25" s="62">
        <v>128000</v>
      </c>
      <c r="K25" s="65">
        <v>120395</v>
      </c>
      <c r="L25" s="64">
        <v>1930</v>
      </c>
      <c r="M25" s="66">
        <f t="shared" si="10"/>
        <v>253000</v>
      </c>
      <c r="N25" s="66">
        <f t="shared" si="10"/>
        <v>228820</v>
      </c>
      <c r="O25" s="64">
        <f>I25+L25</f>
        <v>3431</v>
      </c>
      <c r="P25" s="67">
        <v>4707</v>
      </c>
      <c r="Q25" s="68">
        <f t="shared" si="11"/>
        <v>0.72891438283407695</v>
      </c>
      <c r="R25" s="69">
        <f t="shared" si="12"/>
        <v>66.691926552025649</v>
      </c>
      <c r="S25" s="64"/>
      <c r="T25" s="64"/>
    </row>
    <row r="26" spans="1:20" x14ac:dyDescent="0.2">
      <c r="A26" s="16" t="s">
        <v>62</v>
      </c>
      <c r="D26" s="17" t="s">
        <v>63</v>
      </c>
      <c r="E26" t="s">
        <v>64</v>
      </c>
      <c r="F26" s="32">
        <v>125000</v>
      </c>
      <c r="G26" s="33">
        <v>80180</v>
      </c>
      <c r="H26" s="33"/>
      <c r="I26" s="25">
        <v>1097</v>
      </c>
      <c r="J26" s="32">
        <v>128000</v>
      </c>
      <c r="K26" s="46">
        <v>120185</v>
      </c>
      <c r="L26" s="25">
        <v>1856</v>
      </c>
      <c r="M26" s="40">
        <f t="shared" si="10"/>
        <v>253000</v>
      </c>
      <c r="N26" s="40">
        <f t="shared" si="10"/>
        <v>200365</v>
      </c>
      <c r="O26" s="25">
        <f>I26+L26</f>
        <v>2953</v>
      </c>
      <c r="P26" s="42">
        <v>4707</v>
      </c>
      <c r="Q26" s="20">
        <f t="shared" si="11"/>
        <v>0.6273635011684725</v>
      </c>
      <c r="R26" s="29">
        <f t="shared" si="12"/>
        <v>67.851337622756517</v>
      </c>
      <c r="S26" s="25"/>
      <c r="T26" s="25"/>
    </row>
    <row r="27" spans="1:20" ht="13.5" thickBot="1" x14ac:dyDescent="0.25">
      <c r="A27" s="16" t="s">
        <v>65</v>
      </c>
      <c r="D27" s="11" t="s">
        <v>66</v>
      </c>
      <c r="E27" t="s">
        <v>32</v>
      </c>
      <c r="F27" s="38">
        <v>125000</v>
      </c>
      <c r="G27" s="34">
        <v>23478</v>
      </c>
      <c r="H27" s="75"/>
      <c r="I27" s="25">
        <v>328</v>
      </c>
      <c r="J27" s="32">
        <v>128000</v>
      </c>
      <c r="K27" s="47">
        <v>119823</v>
      </c>
      <c r="L27" s="25">
        <v>1864</v>
      </c>
      <c r="M27" s="40">
        <f t="shared" si="10"/>
        <v>253000</v>
      </c>
      <c r="N27" s="40">
        <f t="shared" si="10"/>
        <v>143301</v>
      </c>
      <c r="O27" s="25">
        <f>I27+L27</f>
        <v>2192</v>
      </c>
      <c r="P27" s="42">
        <v>4707</v>
      </c>
      <c r="Q27" s="21">
        <f t="shared" si="11"/>
        <v>0.46568939876779264</v>
      </c>
      <c r="R27" s="10">
        <f t="shared" si="12"/>
        <v>65.37454379562044</v>
      </c>
      <c r="S27" s="25"/>
      <c r="T27" s="25"/>
    </row>
    <row r="28" spans="1:20" ht="13.5" thickBot="1" x14ac:dyDescent="0.25">
      <c r="A28" s="3" t="s">
        <v>7</v>
      </c>
      <c r="B28" s="5"/>
      <c r="C28" s="5"/>
      <c r="D28" s="5"/>
      <c r="E28" s="5"/>
      <c r="F28" s="35">
        <f t="shared" ref="F28:P28" si="13">SUM(F23:F27)</f>
        <v>720000</v>
      </c>
      <c r="G28" s="39">
        <f t="shared" si="13"/>
        <v>540279</v>
      </c>
      <c r="H28" s="84">
        <v>179721</v>
      </c>
      <c r="I28" s="27">
        <f t="shared" si="13"/>
        <v>6600</v>
      </c>
      <c r="J28" s="35">
        <f t="shared" si="13"/>
        <v>640000</v>
      </c>
      <c r="K28" s="39">
        <f t="shared" si="13"/>
        <v>593169</v>
      </c>
      <c r="L28" s="27">
        <f t="shared" si="13"/>
        <v>9188</v>
      </c>
      <c r="M28" s="35">
        <f t="shared" si="13"/>
        <v>1360000</v>
      </c>
      <c r="N28" s="39">
        <f t="shared" si="13"/>
        <v>1133448</v>
      </c>
      <c r="O28" s="27">
        <f t="shared" si="13"/>
        <v>15788</v>
      </c>
      <c r="P28" s="43">
        <f t="shared" si="13"/>
        <v>23535</v>
      </c>
      <c r="Q28" s="28">
        <f>O28/P28</f>
        <v>0.67083067771404292</v>
      </c>
      <c r="R28" s="31">
        <f t="shared" si="12"/>
        <v>71.791740562452489</v>
      </c>
      <c r="S28" s="43">
        <f>SUM(S23:S27)</f>
        <v>0</v>
      </c>
      <c r="T28" s="43">
        <f t="shared" ref="T28" si="14">SUM(T23:T27)</f>
        <v>0</v>
      </c>
    </row>
    <row r="29" spans="1:20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</row>
    <row r="30" spans="1:20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</row>
    <row r="31" spans="1:20" x14ac:dyDescent="0.2">
      <c r="A31" s="16" t="s">
        <v>125</v>
      </c>
      <c r="B31" s="16"/>
      <c r="C31" s="16"/>
      <c r="D31" s="16" t="s">
        <v>67</v>
      </c>
      <c r="E31" s="16" t="s">
        <v>127</v>
      </c>
      <c r="F31" s="74">
        <v>9000</v>
      </c>
      <c r="G31" s="81">
        <v>16170</v>
      </c>
      <c r="H31" s="81"/>
      <c r="I31" s="76">
        <v>432</v>
      </c>
      <c r="J31" s="74">
        <v>11250</v>
      </c>
      <c r="K31" s="81">
        <v>10706</v>
      </c>
      <c r="L31" s="76">
        <v>528</v>
      </c>
      <c r="M31" s="78">
        <f t="shared" ref="M31:N34" si="15">F31+J31</f>
        <v>20250</v>
      </c>
      <c r="N31" s="78">
        <f t="shared" si="15"/>
        <v>26876</v>
      </c>
      <c r="O31" s="76">
        <f>I31+L31</f>
        <v>960</v>
      </c>
      <c r="P31" s="77">
        <v>1575</v>
      </c>
      <c r="Q31" s="82">
        <f t="shared" ref="Q31:Q34" si="16">O31/P31</f>
        <v>0.60952380952380958</v>
      </c>
      <c r="R31" s="41">
        <f>N31/O31</f>
        <v>27.995833333333334</v>
      </c>
      <c r="S31" s="76"/>
      <c r="T31" s="76"/>
    </row>
    <row r="32" spans="1:20" x14ac:dyDescent="0.2">
      <c r="A32" s="48" t="s">
        <v>29</v>
      </c>
      <c r="B32" s="48"/>
      <c r="C32" s="48"/>
      <c r="D32" s="80" t="s">
        <v>68</v>
      </c>
      <c r="E32" s="55" t="s">
        <v>129</v>
      </c>
      <c r="F32" s="49">
        <v>410000</v>
      </c>
      <c r="G32" s="50">
        <v>447503</v>
      </c>
      <c r="H32" s="50"/>
      <c r="I32" s="51">
        <v>7032</v>
      </c>
      <c r="J32" s="49">
        <v>11250</v>
      </c>
      <c r="K32" s="50">
        <v>12090</v>
      </c>
      <c r="L32" s="51">
        <v>568</v>
      </c>
      <c r="M32" s="72">
        <f t="shared" si="15"/>
        <v>421250</v>
      </c>
      <c r="N32" s="72">
        <f t="shared" si="15"/>
        <v>459593</v>
      </c>
      <c r="O32" s="51">
        <f>I32+L32</f>
        <v>7600</v>
      </c>
      <c r="P32" s="52">
        <v>8508</v>
      </c>
      <c r="Q32" s="73">
        <f t="shared" si="16"/>
        <v>0.89327691584391167</v>
      </c>
      <c r="R32" s="54">
        <f>N32/O32</f>
        <v>60.47276315789474</v>
      </c>
      <c r="S32" s="51"/>
      <c r="T32" s="51"/>
    </row>
    <row r="33" spans="1:20" x14ac:dyDescent="0.2">
      <c r="A33" s="16" t="s">
        <v>69</v>
      </c>
      <c r="D33" s="22" t="s">
        <v>70</v>
      </c>
      <c r="E33" s="16" t="s">
        <v>111</v>
      </c>
      <c r="F33" s="32">
        <v>9000</v>
      </c>
      <c r="G33" s="33">
        <v>31080</v>
      </c>
      <c r="H33" s="33"/>
      <c r="I33" s="25">
        <v>629</v>
      </c>
      <c r="J33" s="32">
        <v>11250</v>
      </c>
      <c r="K33" s="33">
        <v>11204</v>
      </c>
      <c r="L33" s="25">
        <v>603</v>
      </c>
      <c r="M33" s="40">
        <f t="shared" si="15"/>
        <v>20250</v>
      </c>
      <c r="N33" s="40">
        <f t="shared" si="15"/>
        <v>42284</v>
      </c>
      <c r="O33" s="25">
        <f>I33+L33</f>
        <v>1232</v>
      </c>
      <c r="P33" s="42">
        <v>1308</v>
      </c>
      <c r="Q33" s="20">
        <f t="shared" si="16"/>
        <v>0.94189602446483178</v>
      </c>
      <c r="R33" s="29">
        <f>N33/O33</f>
        <v>34.321428571428569</v>
      </c>
      <c r="S33" s="25"/>
      <c r="T33" s="25"/>
    </row>
    <row r="34" spans="1:20" ht="13.5" thickBot="1" x14ac:dyDescent="0.25">
      <c r="A34" s="16" t="s">
        <v>71</v>
      </c>
      <c r="D34" s="22" t="s">
        <v>72</v>
      </c>
      <c r="E34" t="s">
        <v>129</v>
      </c>
      <c r="F34" s="32">
        <v>9000</v>
      </c>
      <c r="G34" s="33">
        <v>6195</v>
      </c>
      <c r="H34" s="33"/>
      <c r="I34" s="25">
        <v>125</v>
      </c>
      <c r="J34" s="32">
        <v>11250</v>
      </c>
      <c r="K34" s="33">
        <v>11100</v>
      </c>
      <c r="L34" s="25">
        <v>548</v>
      </c>
      <c r="M34" s="40">
        <f t="shared" si="15"/>
        <v>20250</v>
      </c>
      <c r="N34" s="40">
        <f t="shared" si="15"/>
        <v>17295</v>
      </c>
      <c r="O34" s="25">
        <f>I34+L34</f>
        <v>673</v>
      </c>
      <c r="P34" s="42">
        <v>1575</v>
      </c>
      <c r="Q34" s="21">
        <f t="shared" si="16"/>
        <v>0.42730158730158729</v>
      </c>
      <c r="R34" s="10">
        <f>N34/O34</f>
        <v>25.698365527488857</v>
      </c>
      <c r="S34" s="25"/>
      <c r="T34" s="25"/>
    </row>
    <row r="35" spans="1:20" ht="13.5" thickBot="1" x14ac:dyDescent="0.25">
      <c r="A35" s="3" t="s">
        <v>6</v>
      </c>
      <c r="B35" s="5"/>
      <c r="C35" s="5"/>
      <c r="D35" s="5"/>
      <c r="E35" s="5"/>
      <c r="F35" s="35">
        <f t="shared" ref="F35:P35" si="17">SUM(F31:F34)</f>
        <v>437000</v>
      </c>
      <c r="G35" s="39">
        <f t="shared" si="17"/>
        <v>500948</v>
      </c>
      <c r="H35" s="39">
        <v>63948</v>
      </c>
      <c r="I35" s="27">
        <f t="shared" si="17"/>
        <v>8218</v>
      </c>
      <c r="J35" s="35">
        <f t="shared" si="17"/>
        <v>45000</v>
      </c>
      <c r="K35" s="39">
        <f t="shared" si="17"/>
        <v>45100</v>
      </c>
      <c r="L35" s="27">
        <f t="shared" si="17"/>
        <v>2247</v>
      </c>
      <c r="M35" s="35">
        <f t="shared" si="17"/>
        <v>482000</v>
      </c>
      <c r="N35" s="39">
        <f t="shared" si="17"/>
        <v>546048</v>
      </c>
      <c r="O35" s="27">
        <f t="shared" si="17"/>
        <v>10465</v>
      </c>
      <c r="P35" s="43">
        <f t="shared" si="17"/>
        <v>12966</v>
      </c>
      <c r="Q35" s="28">
        <f>O35/P35</f>
        <v>0.80711090544501007</v>
      </c>
      <c r="R35" s="31">
        <f>N35/O35</f>
        <v>52.178499761108455</v>
      </c>
      <c r="S35" s="43">
        <f>SUM(S31:S34)</f>
        <v>0</v>
      </c>
      <c r="T35" s="43">
        <f t="shared" ref="T35" si="18">SUM(T31:T34)</f>
        <v>0</v>
      </c>
    </row>
    <row r="36" spans="1:20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</row>
    <row r="37" spans="1:20" ht="13.5" customHeight="1" x14ac:dyDescent="0.2">
      <c r="A37" s="16" t="s">
        <v>90</v>
      </c>
      <c r="B37" s="13"/>
      <c r="C37" s="13"/>
      <c r="D37" s="16" t="s">
        <v>77</v>
      </c>
      <c r="E37" s="16" t="s">
        <v>107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9" si="19">F37+J37</f>
        <v>375000</v>
      </c>
      <c r="N37" s="40">
        <f t="shared" ref="N37:N49" si="20">G37+K37</f>
        <v>362478</v>
      </c>
      <c r="O37" s="25">
        <f t="shared" ref="O37:O49" si="21">I37+L37</f>
        <v>5174</v>
      </c>
      <c r="P37" s="42">
        <v>5184</v>
      </c>
      <c r="Q37" s="20">
        <f t="shared" ref="Q37:Q49" si="22">O37/P37</f>
        <v>0.99807098765432101</v>
      </c>
      <c r="R37" s="29">
        <f t="shared" ref="R37:R51" si="23">N37/O37</f>
        <v>70.057595670661001</v>
      </c>
      <c r="S37" s="25"/>
      <c r="T37" s="25"/>
    </row>
    <row r="38" spans="1:20" ht="13.5" customHeight="1" x14ac:dyDescent="0.2">
      <c r="A38" s="16" t="s">
        <v>78</v>
      </c>
      <c r="B38" s="13"/>
      <c r="C38" s="13"/>
      <c r="D38" s="16" t="s">
        <v>79</v>
      </c>
      <c r="E38" s="16" t="s">
        <v>80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19"/>
        <v>104000</v>
      </c>
      <c r="N38" s="40">
        <f t="shared" si="20"/>
        <v>114304</v>
      </c>
      <c r="O38" s="25">
        <f t="shared" si="21"/>
        <v>1568</v>
      </c>
      <c r="P38" s="42">
        <v>1575</v>
      </c>
      <c r="Q38" s="20">
        <f t="shared" si="22"/>
        <v>0.99555555555555553</v>
      </c>
      <c r="R38" s="29">
        <f t="shared" si="23"/>
        <v>72.897959183673464</v>
      </c>
      <c r="S38" s="25"/>
      <c r="T38" s="25"/>
    </row>
    <row r="39" spans="1:20" ht="13.5" customHeight="1" x14ac:dyDescent="0.2">
      <c r="A39" s="16" t="s">
        <v>81</v>
      </c>
      <c r="B39" s="16"/>
      <c r="C39" s="16"/>
      <c r="D39" s="18" t="s">
        <v>82</v>
      </c>
      <c r="E39" s="16" t="s">
        <v>112</v>
      </c>
      <c r="F39" s="62">
        <v>100000</v>
      </c>
      <c r="G39" s="63">
        <v>99728</v>
      </c>
      <c r="H39" s="63"/>
      <c r="I39" s="64">
        <v>1356</v>
      </c>
      <c r="J39" s="62">
        <v>0</v>
      </c>
      <c r="K39" s="63">
        <v>628</v>
      </c>
      <c r="L39" s="64">
        <v>21</v>
      </c>
      <c r="M39" s="66">
        <f t="shared" si="19"/>
        <v>100000</v>
      </c>
      <c r="N39" s="66">
        <f t="shared" si="20"/>
        <v>100356</v>
      </c>
      <c r="O39" s="64">
        <f t="shared" si="21"/>
        <v>1377</v>
      </c>
      <c r="P39" s="67">
        <v>1575</v>
      </c>
      <c r="Q39" s="68">
        <f t="shared" si="22"/>
        <v>0.87428571428571433</v>
      </c>
      <c r="R39" s="69">
        <f t="shared" si="23"/>
        <v>72.880174291938999</v>
      </c>
      <c r="S39" s="64"/>
      <c r="T39" s="64"/>
    </row>
    <row r="40" spans="1:20" ht="13.5" customHeight="1" x14ac:dyDescent="0.2">
      <c r="A40" s="16" t="s">
        <v>83</v>
      </c>
      <c r="B40" s="13"/>
      <c r="C40" s="13"/>
      <c r="D40" s="18" t="s">
        <v>84</v>
      </c>
      <c r="E40" s="16" t="s">
        <v>85</v>
      </c>
      <c r="F40" s="74">
        <v>40000</v>
      </c>
      <c r="G40" s="75">
        <v>64541</v>
      </c>
      <c r="H40" s="75"/>
      <c r="I40" s="76">
        <v>1248</v>
      </c>
      <c r="J40" s="74">
        <v>0</v>
      </c>
      <c r="K40" s="75">
        <v>797</v>
      </c>
      <c r="L40" s="76">
        <v>40</v>
      </c>
      <c r="M40" s="78">
        <f t="shared" si="19"/>
        <v>40000</v>
      </c>
      <c r="N40" s="78">
        <f t="shared" si="20"/>
        <v>65338</v>
      </c>
      <c r="O40" s="76">
        <f t="shared" si="21"/>
        <v>1288</v>
      </c>
      <c r="P40" s="77">
        <v>1308</v>
      </c>
      <c r="Q40" s="20">
        <f t="shared" si="22"/>
        <v>0.98470948012232418</v>
      </c>
      <c r="R40" s="41">
        <f t="shared" si="23"/>
        <v>50.728260869565219</v>
      </c>
      <c r="S40" s="76"/>
      <c r="T40" s="76"/>
    </row>
    <row r="41" spans="1:20" ht="13.5" customHeight="1" x14ac:dyDescent="0.2">
      <c r="A41" s="16" t="s">
        <v>28</v>
      </c>
      <c r="B41" s="13"/>
      <c r="C41" s="13"/>
      <c r="D41" s="18" t="s">
        <v>73</v>
      </c>
      <c r="E41" s="16" t="s">
        <v>131</v>
      </c>
      <c r="F41" s="74">
        <v>180000</v>
      </c>
      <c r="G41" s="75">
        <v>225710</v>
      </c>
      <c r="H41" s="75"/>
      <c r="I41" s="76">
        <v>4071</v>
      </c>
      <c r="J41" s="74">
        <v>0</v>
      </c>
      <c r="K41" s="75">
        <v>986</v>
      </c>
      <c r="L41" s="76">
        <v>39</v>
      </c>
      <c r="M41" s="78">
        <f t="shared" si="19"/>
        <v>180000</v>
      </c>
      <c r="N41" s="78">
        <f t="shared" si="20"/>
        <v>226696</v>
      </c>
      <c r="O41" s="76">
        <f t="shared" si="21"/>
        <v>4110</v>
      </c>
      <c r="P41" s="77">
        <v>4254</v>
      </c>
      <c r="Q41" s="20">
        <f t="shared" si="22"/>
        <v>0.96614950634696761</v>
      </c>
      <c r="R41" s="41">
        <f t="shared" si="23"/>
        <v>55.157177615571776</v>
      </c>
      <c r="S41" s="76"/>
      <c r="T41" s="76"/>
    </row>
    <row r="42" spans="1:20" ht="13.5" customHeight="1" x14ac:dyDescent="0.2">
      <c r="A42" s="16" t="s">
        <v>74</v>
      </c>
      <c r="B42" s="13"/>
      <c r="C42" s="13"/>
      <c r="D42" s="18" t="s">
        <v>75</v>
      </c>
      <c r="E42" s="16" t="s">
        <v>112</v>
      </c>
      <c r="F42" s="74">
        <v>155000</v>
      </c>
      <c r="G42" s="75">
        <v>173896</v>
      </c>
      <c r="H42" s="75"/>
      <c r="I42" s="76">
        <v>2568</v>
      </c>
      <c r="J42" s="74">
        <v>0</v>
      </c>
      <c r="K42" s="75">
        <v>1089</v>
      </c>
      <c r="L42" s="76">
        <v>22</v>
      </c>
      <c r="M42" s="78">
        <f t="shared" si="19"/>
        <v>155000</v>
      </c>
      <c r="N42" s="78">
        <f t="shared" si="20"/>
        <v>174985</v>
      </c>
      <c r="O42" s="76">
        <f t="shared" si="21"/>
        <v>2590</v>
      </c>
      <c r="P42" s="77">
        <v>2616</v>
      </c>
      <c r="Q42" s="20">
        <f t="shared" si="22"/>
        <v>0.99006116207951067</v>
      </c>
      <c r="R42" s="41">
        <f t="shared" si="23"/>
        <v>67.561776061776058</v>
      </c>
      <c r="S42" s="76"/>
      <c r="T42" s="76"/>
    </row>
    <row r="43" spans="1:20" ht="12.75" customHeight="1" x14ac:dyDescent="0.2">
      <c r="A43" s="55" t="s">
        <v>76</v>
      </c>
      <c r="B43" s="71"/>
      <c r="C43" s="71"/>
      <c r="D43" s="55" t="s">
        <v>113</v>
      </c>
      <c r="E43" s="55" t="s">
        <v>106</v>
      </c>
      <c r="F43" s="49">
        <v>330000</v>
      </c>
      <c r="G43" s="50">
        <v>381779</v>
      </c>
      <c r="H43" s="50"/>
      <c r="I43" s="51">
        <v>5048</v>
      </c>
      <c r="J43" s="49">
        <v>0</v>
      </c>
      <c r="K43" s="50">
        <v>1182</v>
      </c>
      <c r="L43" s="51">
        <v>28</v>
      </c>
      <c r="M43" s="72">
        <f t="shared" si="19"/>
        <v>330000</v>
      </c>
      <c r="N43" s="72">
        <f t="shared" si="20"/>
        <v>382961</v>
      </c>
      <c r="O43" s="51">
        <f t="shared" si="21"/>
        <v>5076</v>
      </c>
      <c r="P43" s="52">
        <v>5184</v>
      </c>
      <c r="Q43" s="73">
        <f t="shared" si="22"/>
        <v>0.97916666666666663</v>
      </c>
      <c r="R43" s="54">
        <f t="shared" si="23"/>
        <v>75.445429472025211</v>
      </c>
      <c r="S43" s="51"/>
      <c r="T43" s="51"/>
    </row>
    <row r="44" spans="1:20" ht="12.75" customHeight="1" x14ac:dyDescent="0.2">
      <c r="A44" s="16" t="s">
        <v>86</v>
      </c>
      <c r="B44" s="13"/>
      <c r="C44" s="13"/>
      <c r="D44" s="16" t="s">
        <v>87</v>
      </c>
      <c r="E44" s="16" t="s">
        <v>111</v>
      </c>
      <c r="F44" s="32">
        <v>232000</v>
      </c>
      <c r="G44" s="33">
        <v>120774</v>
      </c>
      <c r="H44" s="33"/>
      <c r="I44" s="25">
        <v>1891</v>
      </c>
      <c r="J44" s="32">
        <v>0</v>
      </c>
      <c r="K44" s="33">
        <v>1265</v>
      </c>
      <c r="L44" s="25">
        <v>30</v>
      </c>
      <c r="M44" s="40">
        <f t="shared" si="19"/>
        <v>232000</v>
      </c>
      <c r="N44" s="40">
        <f t="shared" si="20"/>
        <v>122039</v>
      </c>
      <c r="O44" s="25">
        <f t="shared" si="21"/>
        <v>1921</v>
      </c>
      <c r="P44" s="42">
        <v>3888</v>
      </c>
      <c r="Q44" s="20">
        <f t="shared" si="22"/>
        <v>0.49408436213991769</v>
      </c>
      <c r="R44" s="29">
        <f t="shared" si="23"/>
        <v>63.528891202498698</v>
      </c>
      <c r="S44" s="25"/>
      <c r="T44" s="25"/>
    </row>
    <row r="45" spans="1:20" ht="12.75" customHeight="1" x14ac:dyDescent="0.2">
      <c r="A45" s="16" t="s">
        <v>88</v>
      </c>
      <c r="B45" s="13"/>
      <c r="C45" s="13"/>
      <c r="D45" s="18" t="s">
        <v>89</v>
      </c>
      <c r="E45" s="16" t="s">
        <v>129</v>
      </c>
      <c r="F45" s="32">
        <v>92000</v>
      </c>
      <c r="G45" s="33">
        <v>11456</v>
      </c>
      <c r="H45" s="33"/>
      <c r="I45" s="25">
        <v>118</v>
      </c>
      <c r="J45" s="32">
        <v>0</v>
      </c>
      <c r="K45" s="33">
        <v>612</v>
      </c>
      <c r="L45" s="25">
        <v>21</v>
      </c>
      <c r="M45" s="40">
        <f t="shared" si="19"/>
        <v>92000</v>
      </c>
      <c r="N45" s="40">
        <f t="shared" si="20"/>
        <v>12068</v>
      </c>
      <c r="O45" s="25">
        <f t="shared" si="21"/>
        <v>139</v>
      </c>
      <c r="P45" s="42">
        <v>1575</v>
      </c>
      <c r="Q45" s="20">
        <f t="shared" si="22"/>
        <v>8.8253968253968251E-2</v>
      </c>
      <c r="R45" s="29">
        <f t="shared" si="23"/>
        <v>86.82014388489209</v>
      </c>
      <c r="S45" s="25"/>
      <c r="T45" s="25"/>
    </row>
    <row r="46" spans="1:20" ht="12.75" customHeight="1" x14ac:dyDescent="0.2">
      <c r="A46" s="16" t="s">
        <v>91</v>
      </c>
      <c r="B46" s="13"/>
      <c r="C46" s="13"/>
      <c r="D46" s="18" t="s">
        <v>92</v>
      </c>
      <c r="E46" s="16" t="s">
        <v>107</v>
      </c>
      <c r="F46" s="32">
        <v>375000</v>
      </c>
      <c r="G46" s="33">
        <v>279862</v>
      </c>
      <c r="H46" s="33"/>
      <c r="I46" s="25">
        <v>3213</v>
      </c>
      <c r="J46" s="32">
        <v>0</v>
      </c>
      <c r="K46" s="33">
        <v>2045</v>
      </c>
      <c r="L46" s="25">
        <v>38</v>
      </c>
      <c r="M46" s="40">
        <f t="shared" si="19"/>
        <v>375000</v>
      </c>
      <c r="N46" s="40">
        <f t="shared" si="20"/>
        <v>281907</v>
      </c>
      <c r="O46" s="25">
        <f t="shared" si="21"/>
        <v>3251</v>
      </c>
      <c r="P46" s="42">
        <v>5184</v>
      </c>
      <c r="Q46" s="20">
        <f t="shared" si="22"/>
        <v>0.62712191358024694</v>
      </c>
      <c r="R46" s="29">
        <f t="shared" si="23"/>
        <v>86.713934174100274</v>
      </c>
      <c r="S46" s="25"/>
      <c r="T46" s="25"/>
    </row>
    <row r="47" spans="1:20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32">
        <v>100000</v>
      </c>
      <c r="G47" s="33">
        <v>53380</v>
      </c>
      <c r="H47" s="33"/>
      <c r="I47" s="25">
        <v>608</v>
      </c>
      <c r="J47" s="32">
        <v>0</v>
      </c>
      <c r="K47" s="33">
        <v>0</v>
      </c>
      <c r="L47" s="25">
        <v>0</v>
      </c>
      <c r="M47" s="40">
        <f t="shared" si="19"/>
        <v>100000</v>
      </c>
      <c r="N47" s="40">
        <f t="shared" si="20"/>
        <v>53380</v>
      </c>
      <c r="O47" s="25">
        <f t="shared" si="21"/>
        <v>608</v>
      </c>
      <c r="P47" s="42">
        <v>1575</v>
      </c>
      <c r="Q47" s="20">
        <f t="shared" si="22"/>
        <v>0.38603174603174606</v>
      </c>
      <c r="R47" s="29">
        <f t="shared" si="23"/>
        <v>87.796052631578945</v>
      </c>
      <c r="S47" s="25"/>
      <c r="T47" s="25"/>
    </row>
    <row r="48" spans="1:20" ht="12.75" customHeight="1" x14ac:dyDescent="0.2">
      <c r="A48" s="16" t="s">
        <v>133</v>
      </c>
      <c r="B48" s="13"/>
      <c r="C48" s="13"/>
      <c r="D48" s="18" t="s">
        <v>134</v>
      </c>
      <c r="E48" s="16"/>
      <c r="F48" s="32">
        <v>150000</v>
      </c>
      <c r="G48" s="33">
        <v>113376</v>
      </c>
      <c r="H48" s="33"/>
      <c r="I48" s="25">
        <v>1247</v>
      </c>
      <c r="J48" s="32">
        <v>0</v>
      </c>
      <c r="K48" s="33">
        <v>0</v>
      </c>
      <c r="L48" s="25">
        <v>0</v>
      </c>
      <c r="M48" s="40">
        <v>150000</v>
      </c>
      <c r="N48" s="40">
        <f t="shared" si="20"/>
        <v>113376</v>
      </c>
      <c r="O48" s="25">
        <f t="shared" si="21"/>
        <v>1247</v>
      </c>
      <c r="P48" s="42">
        <v>2468</v>
      </c>
      <c r="Q48" s="20">
        <v>0.31</v>
      </c>
      <c r="R48" s="29">
        <f t="shared" si="23"/>
        <v>90.919005613472336</v>
      </c>
      <c r="S48" s="25"/>
      <c r="T48" s="25"/>
    </row>
    <row r="49" spans="1:20" ht="12.75" customHeight="1" thickBot="1" x14ac:dyDescent="0.25">
      <c r="A49" s="16" t="s">
        <v>93</v>
      </c>
      <c r="B49" s="13"/>
      <c r="C49" s="13"/>
      <c r="D49" s="16" t="s">
        <v>94</v>
      </c>
      <c r="E49" s="16" t="s">
        <v>25</v>
      </c>
      <c r="F49" s="32">
        <v>350000</v>
      </c>
      <c r="G49" s="33">
        <v>80883</v>
      </c>
      <c r="H49" s="33"/>
      <c r="I49" s="25">
        <v>229</v>
      </c>
      <c r="J49" s="32">
        <v>0</v>
      </c>
      <c r="K49" s="33">
        <v>0</v>
      </c>
      <c r="L49" s="25">
        <v>0</v>
      </c>
      <c r="M49" s="40">
        <f t="shared" si="19"/>
        <v>350000</v>
      </c>
      <c r="N49" s="40">
        <f t="shared" si="20"/>
        <v>80883</v>
      </c>
      <c r="O49" s="25">
        <f t="shared" si="21"/>
        <v>229</v>
      </c>
      <c r="P49" s="42">
        <v>1575</v>
      </c>
      <c r="Q49" s="21">
        <f t="shared" si="22"/>
        <v>0.14539682539682539</v>
      </c>
      <c r="R49" s="10">
        <f t="shared" si="23"/>
        <v>353.20087336244541</v>
      </c>
      <c r="S49" s="25"/>
      <c r="T49" s="25"/>
    </row>
    <row r="50" spans="1:20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4">SUM(F37:F49)</f>
        <v>2583000</v>
      </c>
      <c r="G50" s="39">
        <f t="shared" si="24"/>
        <v>2079823</v>
      </c>
      <c r="H50" s="84">
        <v>503177</v>
      </c>
      <c r="I50" s="27">
        <f t="shared" si="24"/>
        <v>28289</v>
      </c>
      <c r="J50" s="35">
        <f t="shared" si="24"/>
        <v>0</v>
      </c>
      <c r="K50" s="39">
        <f t="shared" si="24"/>
        <v>10948</v>
      </c>
      <c r="L50" s="27">
        <f t="shared" si="24"/>
        <v>289</v>
      </c>
      <c r="M50" s="35">
        <f t="shared" si="24"/>
        <v>2583000</v>
      </c>
      <c r="N50" s="39">
        <f t="shared" si="24"/>
        <v>2090771</v>
      </c>
      <c r="O50" s="27">
        <f t="shared" si="24"/>
        <v>28578</v>
      </c>
      <c r="P50" s="43">
        <f t="shared" si="24"/>
        <v>37961</v>
      </c>
      <c r="Q50" s="28">
        <f>O50/P50</f>
        <v>0.75282526803824978</v>
      </c>
      <c r="R50" s="31">
        <f t="shared" si="23"/>
        <v>73.16015816362237</v>
      </c>
      <c r="S50" s="43">
        <f>SUM(S37:S47)</f>
        <v>0</v>
      </c>
      <c r="T50" s="43">
        <f t="shared" ref="T50" si="25">SUM(T37:T47)</f>
        <v>0</v>
      </c>
    </row>
    <row r="51" spans="1:20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26">SUM(G20,G28,G35,G50)</f>
        <v>3500690</v>
      </c>
      <c r="H51" s="84">
        <v>855310</v>
      </c>
      <c r="I51" s="27">
        <f>SUM(I20,I28,I35,I50)</f>
        <v>50625</v>
      </c>
      <c r="J51" s="35">
        <f>SUM(J20,J28,J35,J50)</f>
        <v>2438000</v>
      </c>
      <c r="K51" s="39">
        <f t="shared" ref="K51" si="27">SUM(K20,K28,K35,K50)</f>
        <v>2332409</v>
      </c>
      <c r="L51" s="27">
        <f>SUM(L20,L28,L35,L50)</f>
        <v>41156</v>
      </c>
      <c r="M51" s="35">
        <f>SUM(M20,M28,M35,M50)</f>
        <v>6794000</v>
      </c>
      <c r="N51" s="39">
        <f t="shared" ref="N51" si="28">SUM(N20,N28,N35,N50)</f>
        <v>5833099</v>
      </c>
      <c r="O51" s="27">
        <f>SUM(O20,O28,O35,O50)</f>
        <v>91781</v>
      </c>
      <c r="P51" s="43">
        <f>SUM(P20,P28,P35,P50)</f>
        <v>139670</v>
      </c>
      <c r="Q51" s="28">
        <f>O51/P51</f>
        <v>0.65712751485644738</v>
      </c>
      <c r="R51" s="31">
        <f t="shared" si="23"/>
        <v>63.554537431494538</v>
      </c>
      <c r="S51" s="43">
        <f>SUM(S20,S28,S35,S50)</f>
        <v>10</v>
      </c>
      <c r="T51" s="43">
        <f t="shared" ref="T51" si="29">SUM(T20,T28,T35,T50)</f>
        <v>100</v>
      </c>
    </row>
    <row r="52" spans="1:20" ht="12.75" customHeight="1" x14ac:dyDescent="0.2">
      <c r="A52" s="9"/>
      <c r="T52" s="6"/>
    </row>
  </sheetData>
  <mergeCells count="5">
    <mergeCell ref="F3:I3"/>
    <mergeCell ref="J3:L3"/>
    <mergeCell ref="M3:O3"/>
    <mergeCell ref="S3:T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2024-01-16T17:03:50Z</dcterms:modified>
</cp:coreProperties>
</file>