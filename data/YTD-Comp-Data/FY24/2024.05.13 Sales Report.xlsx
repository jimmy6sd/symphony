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csymphony-my.sharepoint.com/personal/jbarker_kcsymphony_org/Documents/"/>
    </mc:Choice>
  </mc:AlternateContent>
  <xr:revisionPtr revIDLastSave="1068" documentId="8_{3E45E35C-2B2D-406E-9F95-3D7D9FC84DC2}" xr6:coauthVersionLast="47" xr6:coauthVersionMax="47" xr10:uidLastSave="{B74CE376-9269-4A38-82AC-07B6FCD4D6DD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8" i="1" l="1"/>
  <c r="F20" i="1"/>
  <c r="U49" i="1"/>
  <c r="U47" i="1"/>
  <c r="U46" i="1"/>
  <c r="U45" i="1"/>
  <c r="U44" i="1"/>
  <c r="U43" i="1"/>
  <c r="U42" i="1"/>
  <c r="U41" i="1"/>
  <c r="U40" i="1"/>
  <c r="U39" i="1"/>
  <c r="U38" i="1"/>
  <c r="U37" i="1"/>
  <c r="U34" i="1"/>
  <c r="U33" i="1"/>
  <c r="U32" i="1"/>
  <c r="U31" i="1"/>
  <c r="U27" i="1"/>
  <c r="U26" i="1"/>
  <c r="U25" i="1"/>
  <c r="U24" i="1"/>
  <c r="U23" i="1"/>
  <c r="T50" i="1"/>
  <c r="S50" i="1"/>
  <c r="T35" i="1"/>
  <c r="S35" i="1"/>
  <c r="T28" i="1"/>
  <c r="S28" i="1"/>
  <c r="T20" i="1"/>
  <c r="S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P50" i="1"/>
  <c r="P35" i="1"/>
  <c r="P28" i="1"/>
  <c r="P20" i="1"/>
  <c r="L50" i="1"/>
  <c r="K50" i="1"/>
  <c r="J50" i="1"/>
  <c r="L35" i="1"/>
  <c r="K35" i="1"/>
  <c r="J35" i="1"/>
  <c r="L28" i="1"/>
  <c r="K28" i="1"/>
  <c r="J28" i="1"/>
  <c r="L20" i="1"/>
  <c r="K20" i="1"/>
  <c r="J20" i="1"/>
  <c r="I50" i="1"/>
  <c r="G50" i="1"/>
  <c r="F50" i="1"/>
  <c r="I35" i="1"/>
  <c r="G35" i="1"/>
  <c r="F35" i="1"/>
  <c r="I28" i="1"/>
  <c r="I20" i="1"/>
  <c r="G20" i="1"/>
  <c r="O49" i="1"/>
  <c r="N49" i="1"/>
  <c r="M49" i="1"/>
  <c r="O47" i="1"/>
  <c r="Q47" i="1" s="1"/>
  <c r="N47" i="1"/>
  <c r="M47" i="1"/>
  <c r="O46" i="1"/>
  <c r="Q46" i="1" s="1"/>
  <c r="N46" i="1"/>
  <c r="M46" i="1"/>
  <c r="O45" i="1"/>
  <c r="Q45" i="1" s="1"/>
  <c r="N45" i="1"/>
  <c r="M45" i="1"/>
  <c r="O44" i="1"/>
  <c r="Q44" i="1" s="1"/>
  <c r="N44" i="1"/>
  <c r="M44" i="1"/>
  <c r="O43" i="1"/>
  <c r="Q43" i="1" s="1"/>
  <c r="N43" i="1"/>
  <c r="M43" i="1"/>
  <c r="O42" i="1"/>
  <c r="Q42" i="1" s="1"/>
  <c r="N42" i="1"/>
  <c r="M42" i="1"/>
  <c r="O41" i="1"/>
  <c r="Q41" i="1" s="1"/>
  <c r="N41" i="1"/>
  <c r="M41" i="1"/>
  <c r="O40" i="1"/>
  <c r="Q40" i="1" s="1"/>
  <c r="N40" i="1"/>
  <c r="M40" i="1"/>
  <c r="O39" i="1"/>
  <c r="Q39" i="1" s="1"/>
  <c r="N39" i="1"/>
  <c r="M39" i="1"/>
  <c r="O38" i="1"/>
  <c r="Q38" i="1" s="1"/>
  <c r="N38" i="1"/>
  <c r="M38" i="1"/>
  <c r="O37" i="1"/>
  <c r="Q37" i="1" s="1"/>
  <c r="N37" i="1"/>
  <c r="M37" i="1"/>
  <c r="O34" i="1"/>
  <c r="Q34" i="1" s="1"/>
  <c r="N34" i="1"/>
  <c r="M34" i="1"/>
  <c r="O33" i="1"/>
  <c r="Q33" i="1" s="1"/>
  <c r="N33" i="1"/>
  <c r="M33" i="1"/>
  <c r="O32" i="1"/>
  <c r="Q32" i="1" s="1"/>
  <c r="N32" i="1"/>
  <c r="M32" i="1"/>
  <c r="O31" i="1"/>
  <c r="Q31" i="1" s="1"/>
  <c r="N31" i="1"/>
  <c r="M31" i="1"/>
  <c r="O27" i="1"/>
  <c r="Q27" i="1" s="1"/>
  <c r="N27" i="1"/>
  <c r="M27" i="1"/>
  <c r="O26" i="1"/>
  <c r="N26" i="1"/>
  <c r="M26" i="1"/>
  <c r="O25" i="1"/>
  <c r="Q25" i="1" s="1"/>
  <c r="N25" i="1"/>
  <c r="M25" i="1"/>
  <c r="O24" i="1"/>
  <c r="Q24" i="1" s="1"/>
  <c r="N24" i="1"/>
  <c r="M24" i="1"/>
  <c r="O23" i="1"/>
  <c r="Q23" i="1" s="1"/>
  <c r="N23" i="1"/>
  <c r="M23" i="1"/>
  <c r="O19" i="1"/>
  <c r="Q19" i="1" s="1"/>
  <c r="N19" i="1"/>
  <c r="M19" i="1"/>
  <c r="O18" i="1"/>
  <c r="Q18" i="1" s="1"/>
  <c r="N18" i="1"/>
  <c r="M18" i="1"/>
  <c r="O17" i="1"/>
  <c r="Q17" i="1" s="1"/>
  <c r="N17" i="1"/>
  <c r="M17" i="1"/>
  <c r="O16" i="1"/>
  <c r="Q16" i="1" s="1"/>
  <c r="N16" i="1"/>
  <c r="M16" i="1"/>
  <c r="O15" i="1"/>
  <c r="Q15" i="1" s="1"/>
  <c r="N15" i="1"/>
  <c r="M15" i="1"/>
  <c r="O14" i="1"/>
  <c r="Q14" i="1" s="1"/>
  <c r="N14" i="1"/>
  <c r="M14" i="1"/>
  <c r="O13" i="1"/>
  <c r="Q13" i="1" s="1"/>
  <c r="N13" i="1"/>
  <c r="M13" i="1"/>
  <c r="O12" i="1"/>
  <c r="Q12" i="1" s="1"/>
  <c r="N12" i="1"/>
  <c r="M12" i="1"/>
  <c r="O11" i="1"/>
  <c r="Q11" i="1" s="1"/>
  <c r="N11" i="1"/>
  <c r="M11" i="1"/>
  <c r="O10" i="1"/>
  <c r="Q10" i="1" s="1"/>
  <c r="N10" i="1"/>
  <c r="M10" i="1"/>
  <c r="O9" i="1"/>
  <c r="Q9" i="1" s="1"/>
  <c r="N9" i="1"/>
  <c r="M9" i="1"/>
  <c r="O8" i="1"/>
  <c r="Q8" i="1" s="1"/>
  <c r="N8" i="1"/>
  <c r="M8" i="1"/>
  <c r="O7" i="1"/>
  <c r="Q7" i="1" s="1"/>
  <c r="N7" i="1"/>
  <c r="M7" i="1"/>
  <c r="M6" i="1"/>
  <c r="N6" i="1"/>
  <c r="O6" i="1"/>
  <c r="Q6" i="1" s="1"/>
  <c r="G28" i="1"/>
  <c r="F28" i="1"/>
  <c r="U28" i="1" l="1"/>
  <c r="T51" i="1"/>
  <c r="R49" i="1"/>
  <c r="Q49" i="1"/>
  <c r="R19" i="1"/>
  <c r="U35" i="1"/>
  <c r="U50" i="1"/>
  <c r="F51" i="1"/>
  <c r="R16" i="1"/>
  <c r="R42" i="1"/>
  <c r="R17" i="1"/>
  <c r="R27" i="1"/>
  <c r="R45" i="1"/>
  <c r="R32" i="1"/>
  <c r="R40" i="1"/>
  <c r="M35" i="1"/>
  <c r="R18" i="1"/>
  <c r="R47" i="1"/>
  <c r="R46" i="1"/>
  <c r="R15" i="1"/>
  <c r="R14" i="1"/>
  <c r="R34" i="1"/>
  <c r="R13" i="1"/>
  <c r="R26" i="1"/>
  <c r="Q26" i="1"/>
  <c r="R33" i="1"/>
  <c r="R44" i="1"/>
  <c r="R12" i="1"/>
  <c r="R11" i="1"/>
  <c r="R25" i="1"/>
  <c r="R10" i="1"/>
  <c r="R43" i="1"/>
  <c r="R41" i="1"/>
  <c r="R9" i="1"/>
  <c r="R8" i="1"/>
  <c r="R31" i="1"/>
  <c r="R7" i="1"/>
  <c r="R24" i="1"/>
  <c r="R6" i="1"/>
  <c r="P51" i="1"/>
  <c r="R39" i="1"/>
  <c r="R38" i="1"/>
  <c r="R23" i="1"/>
  <c r="R37" i="1"/>
  <c r="G51" i="1"/>
  <c r="S51" i="1"/>
  <c r="U20" i="1"/>
  <c r="I51" i="1"/>
  <c r="N28" i="1"/>
  <c r="N35" i="1"/>
  <c r="M50" i="1"/>
  <c r="N50" i="1"/>
  <c r="O35" i="1"/>
  <c r="Q35" i="1" s="1"/>
  <c r="M28" i="1"/>
  <c r="O20" i="1"/>
  <c r="Q20" i="1" s="1"/>
  <c r="O28" i="1"/>
  <c r="Q28" i="1" s="1"/>
  <c r="N20" i="1"/>
  <c r="O50" i="1"/>
  <c r="Q50" i="1" s="1"/>
  <c r="K51" i="1"/>
  <c r="M20" i="1"/>
  <c r="J51" i="1"/>
  <c r="L51" i="1"/>
  <c r="U51" i="1" l="1"/>
  <c r="M51" i="1"/>
  <c r="R35" i="1"/>
  <c r="R28" i="1"/>
  <c r="R20" i="1"/>
  <c r="N51" i="1"/>
  <c r="R50" i="1"/>
  <c r="O51" i="1"/>
  <c r="Q51" i="1" s="1"/>
  <c r="R51" i="1" l="1"/>
</calcChain>
</file>

<file path=xl/sharedStrings.xml><?xml version="1.0" encoding="utf-8"?>
<sst xmlns="http://schemas.openxmlformats.org/spreadsheetml/2006/main" count="164" uniqueCount="140">
  <si>
    <t>CLASSICAL SERIES</t>
  </si>
  <si>
    <t>POPS SERIES</t>
  </si>
  <si>
    <t>FAMILY SERIES</t>
  </si>
  <si>
    <t>OTHER CONCERTS</t>
  </si>
  <si>
    <t>ACTUAL</t>
  </si>
  <si>
    <t>GRAND TOTAL</t>
  </si>
  <si>
    <t>FAMILY SERIES TOTAL</t>
  </si>
  <si>
    <t>POPS SERIES TOTAL</t>
  </si>
  <si>
    <t>CLASSICAL SERIES TOTAL</t>
  </si>
  <si>
    <t>OTHER CONCERT TOTAL</t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</si>
  <si>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</si>
  <si>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</si>
  <si>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</si>
  <si>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</si>
  <si>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</si>
  <si>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</si>
  <si>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</si>
  <si>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</si>
  <si>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</si>
  <si>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</si>
  <si>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</si>
  <si>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</si>
  <si>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</si>
  <si>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</si>
  <si>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</si>
  <si>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</si>
  <si>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</si>
  <si>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</si>
  <si>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</si>
  <si>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</si>
  <si>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</si>
  <si>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BUDGET</t>
  </si>
  <si>
    <t>Everly</t>
  </si>
  <si>
    <t>%CAP</t>
  </si>
  <si>
    <t>TCKT</t>
  </si>
  <si>
    <t>PAID</t>
  </si>
  <si>
    <t>Oct. 6-8</t>
  </si>
  <si>
    <t>Oct. 27-29</t>
  </si>
  <si>
    <t>Nov. 17-19</t>
  </si>
  <si>
    <t>Nov. 24-26</t>
  </si>
  <si>
    <t>Strausser</t>
  </si>
  <si>
    <t>Bortolameolli</t>
  </si>
  <si>
    <t>Joyce DiDonato</t>
  </si>
  <si>
    <t>Jan. 12-14</t>
  </si>
  <si>
    <t>Mozart VC No. 5</t>
  </si>
  <si>
    <t>Jan. 26-28</t>
  </si>
  <si>
    <t>Feb. 2-4</t>
  </si>
  <si>
    <t>Mar. 1-3</t>
  </si>
  <si>
    <t>Mar. 22-24</t>
  </si>
  <si>
    <t>Apr. 5-7</t>
  </si>
  <si>
    <t>Apr. 19-21</t>
  </si>
  <si>
    <t>Joshua Bell</t>
  </si>
  <si>
    <t>May 31-June 2</t>
  </si>
  <si>
    <t>Mahler's Resurrection</t>
  </si>
  <si>
    <t>Jun. 14-16</t>
  </si>
  <si>
    <t>Jun. 21-23</t>
  </si>
  <si>
    <t>Mendelssohn/Barber/Sibelius</t>
  </si>
  <si>
    <t>Audra McDonald</t>
  </si>
  <si>
    <t>Sept. 15-17</t>
  </si>
  <si>
    <t>Einhorn</t>
  </si>
  <si>
    <t>Bond &amp; Beyond</t>
  </si>
  <si>
    <t>Oct. 13-15</t>
  </si>
  <si>
    <t>Jan. 19-21</t>
  </si>
  <si>
    <t>Symphonic Genesis &amp; Phil Collins</t>
  </si>
  <si>
    <t>Feb. 23-25</t>
  </si>
  <si>
    <t>Chafetz</t>
  </si>
  <si>
    <t>Sci-Fi Spectacular</t>
  </si>
  <si>
    <t>May 17-19</t>
  </si>
  <si>
    <t>Nov. 5</t>
  </si>
  <si>
    <t xml:space="preserve">Dec. 14-17 </t>
  </si>
  <si>
    <t>Legend of the Northern Lights</t>
  </si>
  <si>
    <t>Feb. 11</t>
  </si>
  <si>
    <t>Around the World in 80 Days</t>
  </si>
  <si>
    <t>Mar. 10</t>
  </si>
  <si>
    <t>Dec. 1-3</t>
  </si>
  <si>
    <t>Film: Muppet Christmas Carol</t>
  </si>
  <si>
    <t>Dec. 8-9</t>
  </si>
  <si>
    <t>Film: Nightmare Before Christmas</t>
  </si>
  <si>
    <t>Sept. 6-8, 10</t>
  </si>
  <si>
    <t>Music of Led Zeppelin</t>
  </si>
  <si>
    <t>Sept. 22</t>
  </si>
  <si>
    <t>Havens</t>
  </si>
  <si>
    <t>Tower of Power</t>
  </si>
  <si>
    <t>Sept. 30</t>
  </si>
  <si>
    <t>Phantom of the Opera</t>
  </si>
  <si>
    <t>Oct. 25</t>
  </si>
  <si>
    <t>None</t>
  </si>
  <si>
    <t>Film: Goonies in Concert</t>
  </si>
  <si>
    <t>Feb. 8-10</t>
  </si>
  <si>
    <t>Cathie Ryan</t>
  </si>
  <si>
    <t>Mar. 16</t>
  </si>
  <si>
    <t>Film: Harry Potter 7 Deathly Hallows        Sept. 6-8, 10</t>
  </si>
  <si>
    <t>Film: Harry Potter 8 Deathly Hallows   Sept. 6-8, 10</t>
  </si>
  <si>
    <t>Apr. 11-14</t>
  </si>
  <si>
    <t>Yo-Yo Ma</t>
  </si>
  <si>
    <t>Jun. 6</t>
  </si>
  <si>
    <t>Cirque Carmen</t>
  </si>
  <si>
    <t>Joyce Yang/Tchaikovsky PC 1</t>
  </si>
  <si>
    <t>The Music of Tina Turner</t>
  </si>
  <si>
    <t>Apr. 25</t>
  </si>
  <si>
    <t>Abdullah</t>
  </si>
  <si>
    <t>Hotoda</t>
  </si>
  <si>
    <t>Matthias Pintscher/Quint</t>
  </si>
  <si>
    <t>Pintscher</t>
  </si>
  <si>
    <t>Bolero/Xavier Foley</t>
  </si>
  <si>
    <t>Kahane/Beethoven PC4</t>
  </si>
  <si>
    <t>Seber</t>
  </si>
  <si>
    <t>Freer</t>
  </si>
  <si>
    <t>The Music is Calling</t>
  </si>
  <si>
    <t>Explore Your Imagination</t>
  </si>
  <si>
    <t>Music Illuminates the Soul</t>
  </si>
  <si>
    <t>Farias</t>
  </si>
  <si>
    <t>Gupton</t>
  </si>
  <si>
    <t>Dec. 21-24</t>
  </si>
  <si>
    <t>2023-24 SALES REPORT</t>
  </si>
  <si>
    <t>SINGLE TICKETS</t>
  </si>
  <si>
    <t>SUBSCRIPTION TICKETS</t>
  </si>
  <si>
    <t>TOTAL SALES (singles + subs)</t>
  </si>
  <si>
    <t>AVG $/</t>
  </si>
  <si>
    <t xml:space="preserve"># of </t>
  </si>
  <si>
    <t>New HH</t>
  </si>
  <si>
    <t>Return HH</t>
  </si>
  <si>
    <t>Total</t>
  </si>
  <si>
    <t>HH</t>
  </si>
  <si>
    <t>HALL INFO</t>
  </si>
  <si>
    <t>SELLABLE</t>
  </si>
  <si>
    <t>CAPACITY</t>
  </si>
  <si>
    <t>Heroes and Villains</t>
  </si>
  <si>
    <t>Through the Lens</t>
  </si>
  <si>
    <t>Caleb Young</t>
  </si>
  <si>
    <t>AUDIENCE/HOUSEHOLD INFO</t>
  </si>
  <si>
    <t>Young</t>
  </si>
  <si>
    <t>Demirjian</t>
  </si>
  <si>
    <t>Revised:</t>
  </si>
  <si>
    <t>May. 4</t>
  </si>
  <si>
    <t>Tech N9ne</t>
  </si>
  <si>
    <t>Beethoven's Fifth</t>
  </si>
  <si>
    <r>
      <rPr>
        <b/>
        <u/>
        <sz val="10"/>
        <color rgb="FFFF0000"/>
        <rFont val="Arial"/>
        <family val="2"/>
      </rPr>
      <t>TO GO</t>
    </r>
    <r>
      <rPr>
        <b/>
        <u/>
        <sz val="10"/>
        <rFont val="Arial"/>
        <family val="2"/>
      </rPr>
      <t>/OVER</t>
    </r>
  </si>
  <si>
    <t>Tim Davies</t>
  </si>
  <si>
    <t>For performances year to date, actual sales over (under) budget for Classical are $96,866; for Pops $39,579; FINAL for Family $76,563; and Other Concerts $193,998.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</si>
</sst>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1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u/>
      <sz val="10"/>
      <color rgb="FFFF0000"/>
      <name val="Arial"/>
      <family val="2"/>
    </font>
    <font>
      <sz val="10"/>
      <color rgb="FFFF0000"/>
      <name val="Arial"/>
      <family val="2"/>
    </font>
    <font>
      <b/>
      <i/>
      <sz val="10"/>
      <color rgb="FFFF0000"/>
      <name val="Arial"/>
      <family val="2"/>
    </font>
    <font>
      <sz val="12"/>
      <color rgb="FF000000"/>
      <name val="Aptos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16" fontId="0" fillId="0" borderId="0" xfId="0" applyNumberFormat="1"/>
    <xf numFmtId="0" fontId="7" fillId="0" borderId="0" xfId="0" applyFont="1"/>
    <xf numFmtId="0" fontId="5" fillId="0" borderId="0" xfId="0" applyFont="1"/>
    <xf numFmtId="0" fontId="8" fillId="0" borderId="0" xfId="0" applyFont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3" xfId="0" applyNumberFormat="1" applyBorder="1" applyAlignment="1">
      <alignment horizontal="center"/>
    </xf>
    <xf numFmtId="49" fontId="1" fillId="0" borderId="0" xfId="0" applyNumberFormat="1" applyFont="1"/>
    <xf numFmtId="164" fontId="2" fillId="3" borderId="2" xfId="2" applyNumberFormat="1" applyFont="1" applyFill="1" applyBorder="1" applyAlignment="1">
      <alignment horizontal="center"/>
    </xf>
    <xf numFmtId="44" fontId="2" fillId="3" borderId="3" xfId="1" applyFont="1" applyFill="1" applyBorder="1"/>
    <xf numFmtId="164" fontId="0" fillId="0" borderId="0" xfId="2" applyNumberFormat="1" applyFont="1"/>
    <xf numFmtId="164" fontId="0" fillId="0" borderId="3" xfId="2" applyNumberFormat="1" applyFont="1" applyBorder="1"/>
    <xf numFmtId="164" fontId="2" fillId="3" borderId="2" xfId="2" applyNumberFormat="1" applyFont="1" applyFill="1" applyBorder="1"/>
    <xf numFmtId="9" fontId="2" fillId="3" borderId="3" xfId="3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3" xfId="1" applyFont="1" applyBorder="1" applyAlignment="1">
      <alignment horizontal="center"/>
    </xf>
    <xf numFmtId="44" fontId="2" fillId="3" borderId="2" xfId="1" applyFont="1" applyFill="1" applyBorder="1"/>
    <xf numFmtId="165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right"/>
    </xf>
    <xf numFmtId="165" fontId="0" fillId="0" borderId="3" xfId="1" applyNumberFormat="1" applyFont="1" applyBorder="1" applyAlignment="1">
      <alignment horizontal="right"/>
    </xf>
    <xf numFmtId="165" fontId="2" fillId="3" borderId="2" xfId="1" applyNumberFormat="1" applyFont="1" applyFill="1" applyBorder="1" applyAlignment="1">
      <alignment horizontal="center"/>
    </xf>
    <xf numFmtId="165" fontId="5" fillId="0" borderId="0" xfId="1" applyNumberFormat="1" applyFont="1"/>
    <xf numFmtId="165" fontId="0" fillId="0" borderId="0" xfId="1" applyNumberFormat="1" applyFont="1" applyFill="1" applyBorder="1"/>
    <xf numFmtId="165" fontId="0" fillId="0" borderId="3" xfId="1" applyNumberFormat="1" applyFont="1" applyBorder="1" applyAlignment="1">
      <alignment horizontal="center"/>
    </xf>
    <xf numFmtId="165" fontId="2" fillId="3" borderId="2" xfId="1" applyNumberFormat="1" applyFont="1" applyFill="1" applyBorder="1" applyAlignment="1">
      <alignment horizontal="right"/>
    </xf>
    <xf numFmtId="165" fontId="0" fillId="0" borderId="0" xfId="1" applyNumberFormat="1" applyFont="1"/>
    <xf numFmtId="44" fontId="0" fillId="0" borderId="0" xfId="1" applyFont="1" applyBorder="1" applyAlignment="1">
      <alignment horizontal="center"/>
    </xf>
    <xf numFmtId="3" fontId="0" fillId="0" borderId="0" xfId="2" applyNumberFormat="1" applyFont="1" applyAlignment="1">
      <alignment horizontal="center"/>
    </xf>
    <xf numFmtId="3" fontId="2" fillId="3" borderId="2" xfId="2" applyNumberFormat="1" applyFont="1" applyFill="1" applyBorder="1" applyAlignment="1">
      <alignment horizontal="center"/>
    </xf>
    <xf numFmtId="3" fontId="0" fillId="0" borderId="0" xfId="2" applyNumberFormat="1" applyFont="1"/>
    <xf numFmtId="3" fontId="0" fillId="0" borderId="3" xfId="2" applyNumberFormat="1" applyFont="1" applyBorder="1" applyAlignment="1">
      <alignment horizontal="center"/>
    </xf>
    <xf numFmtId="165" fontId="0" fillId="0" borderId="0" xfId="1" applyNumberFormat="1" applyFont="1" applyFill="1" applyAlignment="1">
      <alignment horizontal="right"/>
    </xf>
    <xf numFmtId="165" fontId="0" fillId="0" borderId="3" xfId="1" applyNumberFormat="1" applyFont="1" applyFill="1" applyBorder="1" applyAlignment="1">
      <alignment horizontal="right"/>
    </xf>
    <xf numFmtId="0" fontId="0" fillId="0" borderId="4" xfId="0" applyBorder="1"/>
    <xf numFmtId="165" fontId="0" fillId="0" borderId="4" xfId="1" applyNumberFormat="1" applyFont="1" applyBorder="1" applyAlignment="1">
      <alignment horizontal="center"/>
    </xf>
    <xf numFmtId="165" fontId="0" fillId="0" borderId="4" xfId="1" applyNumberFormat="1" applyFont="1" applyBorder="1" applyAlignment="1">
      <alignment horizontal="right"/>
    </xf>
    <xf numFmtId="164" fontId="0" fillId="0" borderId="4" xfId="2" applyNumberFormat="1" applyFont="1" applyBorder="1"/>
    <xf numFmtId="3" fontId="0" fillId="0" borderId="4" xfId="2" applyNumberFormat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1" fillId="0" borderId="4" xfId="0" applyFont="1" applyBorder="1"/>
    <xf numFmtId="165" fontId="1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right"/>
    </xf>
    <xf numFmtId="164" fontId="1" fillId="0" borderId="0" xfId="2" applyNumberFormat="1" applyFont="1" applyBorder="1"/>
    <xf numFmtId="165" fontId="1" fillId="0" borderId="0" xfId="1" applyNumberFormat="1" applyFont="1" applyFill="1" applyBorder="1" applyAlignment="1">
      <alignment horizontal="right"/>
    </xf>
    <xf numFmtId="165" fontId="1" fillId="0" borderId="0" xfId="1" applyNumberFormat="1" applyFont="1" applyBorder="1"/>
    <xf numFmtId="3" fontId="1" fillId="0" borderId="0" xfId="2" applyNumberFormat="1" applyFont="1" applyBorder="1" applyAlignment="1">
      <alignment horizontal="center"/>
    </xf>
    <xf numFmtId="9" fontId="1" fillId="0" borderId="0" xfId="0" applyNumberFormat="1" applyFont="1" applyAlignment="1">
      <alignment horizontal="center"/>
    </xf>
    <xf numFmtId="44" fontId="1" fillId="0" borderId="0" xfId="1" applyFont="1" applyBorder="1" applyAlignment="1">
      <alignment horizontal="center"/>
    </xf>
    <xf numFmtId="0" fontId="5" fillId="0" borderId="4" xfId="0" applyFont="1" applyBorder="1"/>
    <xf numFmtId="165" fontId="0" fillId="0" borderId="4" xfId="1" applyNumberFormat="1" applyFont="1" applyBorder="1"/>
    <xf numFmtId="9" fontId="0" fillId="0" borderId="4" xfId="0" applyNumberForma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right"/>
    </xf>
    <xf numFmtId="164" fontId="0" fillId="0" borderId="0" xfId="2" applyNumberFormat="1" applyFont="1" applyBorder="1"/>
    <xf numFmtId="3" fontId="0" fillId="0" borderId="0" xfId="2" applyNumberFormat="1" applyFont="1" applyBorder="1" applyAlignment="1">
      <alignment horizontal="center"/>
    </xf>
    <xf numFmtId="165" fontId="0" fillId="0" borderId="4" xfId="1" applyNumberFormat="1" applyFont="1" applyFill="1" applyBorder="1" applyAlignment="1">
      <alignment horizontal="right"/>
    </xf>
    <xf numFmtId="165" fontId="0" fillId="0" borderId="0" xfId="1" applyNumberFormat="1" applyFont="1" applyBorder="1"/>
    <xf numFmtId="14" fontId="4" fillId="4" borderId="0" xfId="0" applyNumberFormat="1" applyFont="1" applyFill="1"/>
    <xf numFmtId="16" fontId="1" fillId="0" borderId="4" xfId="0" applyNumberFormat="1" applyFont="1" applyBorder="1"/>
    <xf numFmtId="165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13" fillId="0" borderId="0" xfId="0" applyFont="1"/>
    <xf numFmtId="164" fontId="0" fillId="0" borderId="0" xfId="2" applyNumberFormat="1" applyFont="1" applyAlignment="1">
      <alignment horizontal="center"/>
    </xf>
    <xf numFmtId="164" fontId="0" fillId="0" borderId="4" xfId="2" applyNumberFormat="1" applyFont="1" applyBorder="1" applyAlignment="1">
      <alignment horizontal="center"/>
    </xf>
    <xf numFmtId="164" fontId="0" fillId="0" borderId="0" xfId="2" applyNumberFormat="1" applyFont="1" applyBorder="1" applyAlignment="1"/>
    <xf numFmtId="164" fontId="0" fillId="0" borderId="0" xfId="2" applyNumberFormat="1" applyFont="1" applyAlignment="1"/>
    <xf numFmtId="164" fontId="0" fillId="0" borderId="4" xfId="2" applyNumberFormat="1" applyFont="1" applyBorder="1" applyAlignment="1"/>
    <xf numFmtId="164" fontId="1" fillId="0" borderId="0" xfId="2" applyNumberFormat="1" applyFont="1" applyBorder="1" applyAlignment="1">
      <alignment horizontal="center"/>
    </xf>
    <xf numFmtId="15" fontId="1" fillId="0" borderId="4" xfId="0" applyNumberFormat="1" applyFont="1" applyBorder="1"/>
    <xf numFmtId="8" fontId="0" fillId="0" borderId="4" xfId="1" applyNumberFormat="1" applyFont="1" applyBorder="1" applyAlignment="1">
      <alignment horizontal="right"/>
    </xf>
    <xf numFmtId="0" fontId="1" fillId="6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6"/>
  <sheetViews>
    <sheetView showGridLines="0" tabSelected="1" topLeftCell="A15" workbookViewId="0">
      <selection activeCell="Q54" sqref="Q54"/>
    </sheetView>
  </sheetViews>
  <sheetFormatPr defaultColWidth="8.85546875" defaultRowHeight="12.75" x14ac:dyDescent="0.2"/>
  <cols>
    <col min="1" max="1" width="5.42578125" customWidth="1"/>
    <col min="3" max="3" width="17.140625" customWidth="1"/>
    <col min="4" max="4" width="13.28515625" bestFit="1" customWidth="1"/>
    <col min="5" max="5" width="13" customWidth="1"/>
    <col min="6" max="7" width="11.28515625" bestFit="1" customWidth="1"/>
    <col min="8" max="8" width="13.140625" customWidth="1"/>
    <col min="9" max="9" width="8.28515625" customWidth="1"/>
    <col min="10" max="11" width="11.28515625" bestFit="1" customWidth="1"/>
    <col min="12" max="12" width="7.7109375" bestFit="1" customWidth="1"/>
    <col min="13" max="14" width="11.28515625" bestFit="1" customWidth="1"/>
    <col min="15" max="15" width="9" customWidth="1"/>
    <col min="16" max="16" width="10.140625" customWidth="1"/>
    <col min="17" max="17" width="6.85546875" customWidth="1"/>
    <col min="18" max="18" width="9" customWidth="1"/>
    <col min="19" max="19" width="8.5703125" customWidth="1"/>
    <col min="20" max="20" width="11.28515625" customWidth="1"/>
    <col min="21" max="21" width="7.140625" customWidth="1"/>
  </cols>
  <sheetData>
    <row r="1" spans="1:21" ht="15.75" x14ac:dyDescent="0.25">
      <c r="A1" s="12"/>
      <c r="B1" s="9"/>
      <c r="C1" s="9"/>
      <c r="E1" s="14" t="s">
        <v>114</v>
      </c>
      <c r="F1" s="14"/>
      <c r="G1" s="14"/>
      <c r="H1" s="14"/>
      <c r="Q1" s="15" t="s">
        <v>133</v>
      </c>
      <c r="R1" s="72">
        <v>45425</v>
      </c>
    </row>
    <row r="2" spans="1:21" x14ac:dyDescent="0.2">
      <c r="A2" s="9"/>
      <c r="E2" s="13" t="s">
        <v>27</v>
      </c>
    </row>
    <row r="3" spans="1:21" x14ac:dyDescent="0.2">
      <c r="E3" s="16"/>
      <c r="F3" s="87" t="s">
        <v>115</v>
      </c>
      <c r="G3" s="87"/>
      <c r="H3" s="87"/>
      <c r="I3" s="87"/>
      <c r="J3" s="88" t="s">
        <v>116</v>
      </c>
      <c r="K3" s="88"/>
      <c r="L3" s="88"/>
      <c r="M3" s="89" t="s">
        <v>117</v>
      </c>
      <c r="N3" s="89"/>
      <c r="O3" s="89"/>
      <c r="P3" s="91" t="s">
        <v>124</v>
      </c>
      <c r="Q3" s="91"/>
      <c r="R3" s="91"/>
      <c r="S3" s="90" t="s">
        <v>130</v>
      </c>
      <c r="T3" s="90"/>
      <c r="U3" s="90"/>
    </row>
    <row r="4" spans="1:21" x14ac:dyDescent="0.2">
      <c r="E4" s="16"/>
      <c r="P4" s="19" t="s">
        <v>125</v>
      </c>
      <c r="Q4" s="19" t="s">
        <v>35</v>
      </c>
      <c r="R4" s="19" t="s">
        <v>118</v>
      </c>
      <c r="S4" s="19" t="s">
        <v>119</v>
      </c>
      <c r="T4" s="19" t="s">
        <v>119</v>
      </c>
      <c r="U4" s="19" t="s">
        <v>122</v>
      </c>
    </row>
    <row r="5" spans="1:21" ht="12.75" customHeight="1" x14ac:dyDescent="0.2">
      <c r="A5" s="1" t="s">
        <v>0</v>
      </c>
      <c r="D5" s="2" t="s">
        <v>23</v>
      </c>
      <c r="E5" s="2" t="s">
        <v>24</v>
      </c>
      <c r="F5" s="7" t="s">
        <v>31</v>
      </c>
      <c r="G5" s="8" t="s">
        <v>4</v>
      </c>
      <c r="H5" s="8" t="s">
        <v>137</v>
      </c>
      <c r="I5" s="1" t="s">
        <v>30</v>
      </c>
      <c r="J5" s="7" t="s">
        <v>31</v>
      </c>
      <c r="K5" s="8" t="s">
        <v>4</v>
      </c>
      <c r="L5" s="1" t="s">
        <v>30</v>
      </c>
      <c r="M5" s="7" t="s">
        <v>31</v>
      </c>
      <c r="N5" s="8" t="s">
        <v>4</v>
      </c>
      <c r="O5" s="1" t="s">
        <v>30</v>
      </c>
      <c r="P5" s="8" t="s">
        <v>126</v>
      </c>
      <c r="Q5" s="8" t="s">
        <v>33</v>
      </c>
      <c r="R5" s="8" t="s">
        <v>34</v>
      </c>
      <c r="S5" s="8" t="s">
        <v>120</v>
      </c>
      <c r="T5" s="8" t="s">
        <v>121</v>
      </c>
      <c r="U5" s="8" t="s">
        <v>123</v>
      </c>
    </row>
    <row r="6" spans="1:21" x14ac:dyDescent="0.2">
      <c r="A6" t="s">
        <v>10</v>
      </c>
      <c r="B6" t="s">
        <v>108</v>
      </c>
      <c r="D6" t="s">
        <v>36</v>
      </c>
      <c r="E6" t="s">
        <v>25</v>
      </c>
      <c r="F6" s="66">
        <v>38000</v>
      </c>
      <c r="G6" s="67">
        <v>34287</v>
      </c>
      <c r="H6" s="67"/>
      <c r="I6" s="68">
        <v>755</v>
      </c>
      <c r="J6" s="66">
        <v>125179</v>
      </c>
      <c r="K6" s="67">
        <v>119397</v>
      </c>
      <c r="L6" s="68">
        <v>2094</v>
      </c>
      <c r="M6" s="66">
        <f t="shared" ref="M6:M19" si="0">F6+J6</f>
        <v>163179</v>
      </c>
      <c r="N6" s="67">
        <f t="shared" ref="N6:N19" si="1">G6+K6</f>
        <v>153684</v>
      </c>
      <c r="O6" s="68">
        <f t="shared" ref="O6:O19" si="2">I6+L6</f>
        <v>2849</v>
      </c>
      <c r="P6" s="69">
        <v>4725</v>
      </c>
      <c r="Q6" s="61">
        <f>O6/P6</f>
        <v>0.60296296296296292</v>
      </c>
      <c r="R6" s="41">
        <f t="shared" ref="R6:R20" si="3">N6/O6</f>
        <v>53.943137943137941</v>
      </c>
      <c r="S6" s="68">
        <v>169</v>
      </c>
      <c r="T6" s="81">
        <v>1422</v>
      </c>
      <c r="U6" s="68">
        <v>1591</v>
      </c>
    </row>
    <row r="7" spans="1:21" x14ac:dyDescent="0.2">
      <c r="A7" t="s">
        <v>11</v>
      </c>
      <c r="B7" t="s">
        <v>109</v>
      </c>
      <c r="D7" t="s">
        <v>37</v>
      </c>
      <c r="E7" t="s">
        <v>25</v>
      </c>
      <c r="F7" s="66">
        <v>38000</v>
      </c>
      <c r="G7" s="67">
        <v>26492</v>
      </c>
      <c r="H7" s="67"/>
      <c r="I7" s="68">
        <v>775</v>
      </c>
      <c r="J7" s="66">
        <v>125217</v>
      </c>
      <c r="K7" s="67">
        <v>116837</v>
      </c>
      <c r="L7" s="68">
        <v>2029</v>
      </c>
      <c r="M7" s="66">
        <f t="shared" si="0"/>
        <v>163217</v>
      </c>
      <c r="N7" s="67">
        <f t="shared" si="1"/>
        <v>143329</v>
      </c>
      <c r="O7" s="68">
        <f t="shared" si="2"/>
        <v>2804</v>
      </c>
      <c r="P7" s="69">
        <v>4725</v>
      </c>
      <c r="Q7" s="20">
        <f t="shared" ref="Q7:Q19" si="4">O7/P7</f>
        <v>0.59343915343915343</v>
      </c>
      <c r="R7" s="41">
        <f t="shared" si="3"/>
        <v>51.115905848787449</v>
      </c>
      <c r="S7" s="68">
        <v>132</v>
      </c>
      <c r="T7" s="81">
        <v>1343</v>
      </c>
      <c r="U7" s="68">
        <f t="shared" ref="U7:U19" si="5">SUM(S7:T7)</f>
        <v>1475</v>
      </c>
    </row>
    <row r="8" spans="1:21" x14ac:dyDescent="0.2">
      <c r="A8" t="s">
        <v>12</v>
      </c>
      <c r="B8" t="s">
        <v>110</v>
      </c>
      <c r="D8" t="s">
        <v>38</v>
      </c>
      <c r="E8" t="s">
        <v>40</v>
      </c>
      <c r="F8" s="66">
        <v>35000</v>
      </c>
      <c r="G8" s="67">
        <v>55138</v>
      </c>
      <c r="H8" s="67"/>
      <c r="I8" s="68">
        <v>1149</v>
      </c>
      <c r="J8" s="66">
        <v>125217</v>
      </c>
      <c r="K8" s="67">
        <v>117086</v>
      </c>
      <c r="L8" s="68">
        <v>2047</v>
      </c>
      <c r="M8" s="66">
        <f t="shared" si="0"/>
        <v>160217</v>
      </c>
      <c r="N8" s="67">
        <f t="shared" si="1"/>
        <v>172224</v>
      </c>
      <c r="O8" s="68">
        <f t="shared" si="2"/>
        <v>3196</v>
      </c>
      <c r="P8" s="69">
        <v>4254</v>
      </c>
      <c r="Q8" s="20">
        <f t="shared" si="4"/>
        <v>0.75129290079924782</v>
      </c>
      <c r="R8" s="41">
        <f t="shared" si="3"/>
        <v>53.887359198998752</v>
      </c>
      <c r="S8" s="68">
        <v>229</v>
      </c>
      <c r="T8" s="81">
        <v>1470</v>
      </c>
      <c r="U8" s="68">
        <f t="shared" si="5"/>
        <v>1699</v>
      </c>
    </row>
    <row r="9" spans="1:21" x14ac:dyDescent="0.2">
      <c r="A9" t="s">
        <v>13</v>
      </c>
      <c r="B9" t="s">
        <v>128</v>
      </c>
      <c r="D9" s="16" t="s">
        <v>39</v>
      </c>
      <c r="E9" t="s">
        <v>41</v>
      </c>
      <c r="F9" s="66">
        <v>50000</v>
      </c>
      <c r="G9" s="67">
        <v>38464</v>
      </c>
      <c r="H9" s="67"/>
      <c r="I9" s="68">
        <v>789</v>
      </c>
      <c r="J9" s="66">
        <v>125217</v>
      </c>
      <c r="K9" s="67">
        <v>119174</v>
      </c>
      <c r="L9" s="68">
        <v>2084</v>
      </c>
      <c r="M9" s="66">
        <f t="shared" si="0"/>
        <v>175217</v>
      </c>
      <c r="N9" s="67">
        <f t="shared" si="1"/>
        <v>157638</v>
      </c>
      <c r="O9" s="68">
        <f t="shared" si="2"/>
        <v>2873</v>
      </c>
      <c r="P9" s="69">
        <v>4725</v>
      </c>
      <c r="Q9" s="20">
        <f t="shared" si="4"/>
        <v>0.60804232804232805</v>
      </c>
      <c r="R9" s="41">
        <f t="shared" si="3"/>
        <v>54.868778280542983</v>
      </c>
      <c r="S9" s="68">
        <v>135</v>
      </c>
      <c r="T9" s="81">
        <v>1404</v>
      </c>
      <c r="U9" s="68">
        <f t="shared" si="5"/>
        <v>1539</v>
      </c>
    </row>
    <row r="10" spans="1:21" x14ac:dyDescent="0.2">
      <c r="A10" t="s">
        <v>14</v>
      </c>
      <c r="B10" t="s">
        <v>42</v>
      </c>
      <c r="D10" t="s">
        <v>43</v>
      </c>
      <c r="E10" t="s">
        <v>25</v>
      </c>
      <c r="F10" s="32">
        <v>55000</v>
      </c>
      <c r="G10" s="33">
        <v>68614</v>
      </c>
      <c r="H10" s="33"/>
      <c r="I10" s="25">
        <v>1164</v>
      </c>
      <c r="J10" s="32">
        <v>125217</v>
      </c>
      <c r="K10" s="33">
        <v>121133</v>
      </c>
      <c r="L10" s="25">
        <v>2083</v>
      </c>
      <c r="M10" s="32">
        <f t="shared" si="0"/>
        <v>180217</v>
      </c>
      <c r="N10" s="33">
        <f t="shared" si="1"/>
        <v>189747</v>
      </c>
      <c r="O10" s="25">
        <f t="shared" si="2"/>
        <v>3247</v>
      </c>
      <c r="P10" s="42">
        <v>4725</v>
      </c>
      <c r="Q10" s="20">
        <f t="shared" si="4"/>
        <v>0.68719576719576725</v>
      </c>
      <c r="R10" s="29">
        <f t="shared" si="3"/>
        <v>58.43763473975978</v>
      </c>
      <c r="S10" s="25">
        <v>167</v>
      </c>
      <c r="T10" s="82">
        <v>1628</v>
      </c>
      <c r="U10" s="25">
        <f t="shared" si="5"/>
        <v>1795</v>
      </c>
    </row>
    <row r="11" spans="1:21" x14ac:dyDescent="0.2">
      <c r="A11" t="s">
        <v>15</v>
      </c>
      <c r="B11" t="s">
        <v>44</v>
      </c>
      <c r="D11" t="s">
        <v>45</v>
      </c>
      <c r="E11" t="s">
        <v>100</v>
      </c>
      <c r="F11" s="32">
        <v>40000</v>
      </c>
      <c r="G11" s="33">
        <v>49320</v>
      </c>
      <c r="H11" s="33"/>
      <c r="I11" s="25">
        <v>974</v>
      </c>
      <c r="J11" s="32">
        <v>125217</v>
      </c>
      <c r="K11" s="33">
        <v>117919</v>
      </c>
      <c r="L11" s="25">
        <v>2117</v>
      </c>
      <c r="M11" s="32">
        <f t="shared" si="0"/>
        <v>165217</v>
      </c>
      <c r="N11" s="33">
        <f t="shared" si="1"/>
        <v>167239</v>
      </c>
      <c r="O11" s="25">
        <f t="shared" si="2"/>
        <v>3091</v>
      </c>
      <c r="P11" s="42">
        <v>4725</v>
      </c>
      <c r="Q11" s="20">
        <f t="shared" si="4"/>
        <v>0.65417989417989419</v>
      </c>
      <c r="R11" s="29">
        <f t="shared" si="3"/>
        <v>54.105143966353928</v>
      </c>
      <c r="S11" s="25">
        <v>211</v>
      </c>
      <c r="T11" s="82">
        <v>1442</v>
      </c>
      <c r="U11" s="25">
        <f t="shared" si="5"/>
        <v>1653</v>
      </c>
    </row>
    <row r="12" spans="1:21" x14ac:dyDescent="0.2">
      <c r="A12" t="s">
        <v>16</v>
      </c>
      <c r="B12" t="s">
        <v>136</v>
      </c>
      <c r="D12" t="s">
        <v>46</v>
      </c>
      <c r="E12" s="16" t="s">
        <v>25</v>
      </c>
      <c r="F12" s="66">
        <v>40000</v>
      </c>
      <c r="G12" s="67">
        <v>55051</v>
      </c>
      <c r="H12" s="67"/>
      <c r="I12" s="68">
        <v>1310</v>
      </c>
      <c r="J12" s="66">
        <v>125217</v>
      </c>
      <c r="K12" s="67">
        <v>124777</v>
      </c>
      <c r="L12" s="68">
        <v>2208</v>
      </c>
      <c r="M12" s="66">
        <f t="shared" si="0"/>
        <v>165217</v>
      </c>
      <c r="N12" s="67">
        <f t="shared" si="1"/>
        <v>179828</v>
      </c>
      <c r="O12" s="68">
        <f t="shared" si="2"/>
        <v>3518</v>
      </c>
      <c r="P12" s="69">
        <v>4725</v>
      </c>
      <c r="Q12" s="20">
        <f t="shared" si="4"/>
        <v>0.74455026455026452</v>
      </c>
      <c r="R12" s="41">
        <f t="shared" si="3"/>
        <v>51.116543490619669</v>
      </c>
      <c r="S12" s="68">
        <v>141</v>
      </c>
      <c r="T12" s="81">
        <v>1589</v>
      </c>
      <c r="U12" s="68">
        <f t="shared" si="5"/>
        <v>1730</v>
      </c>
    </row>
    <row r="13" spans="1:21" x14ac:dyDescent="0.2">
      <c r="A13" t="s">
        <v>17</v>
      </c>
      <c r="B13" t="s">
        <v>97</v>
      </c>
      <c r="D13" s="16" t="s">
        <v>47</v>
      </c>
      <c r="E13" s="16" t="s">
        <v>101</v>
      </c>
      <c r="F13" s="66">
        <v>40000</v>
      </c>
      <c r="G13" s="67">
        <v>62450</v>
      </c>
      <c r="H13" s="67"/>
      <c r="I13" s="68">
        <v>1350</v>
      </c>
      <c r="J13" s="66">
        <v>125217</v>
      </c>
      <c r="K13" s="67">
        <v>121952</v>
      </c>
      <c r="L13" s="68">
        <v>2160</v>
      </c>
      <c r="M13" s="66">
        <f t="shared" si="0"/>
        <v>165217</v>
      </c>
      <c r="N13" s="67">
        <f t="shared" si="1"/>
        <v>184402</v>
      </c>
      <c r="O13" s="68">
        <f t="shared" si="2"/>
        <v>3510</v>
      </c>
      <c r="P13" s="69">
        <v>4725</v>
      </c>
      <c r="Q13" s="20">
        <f t="shared" si="4"/>
        <v>0.74285714285714288</v>
      </c>
      <c r="R13" s="41">
        <f t="shared" si="3"/>
        <v>52.536182336182335</v>
      </c>
      <c r="S13" s="68">
        <v>185</v>
      </c>
      <c r="T13" s="81">
        <v>1640</v>
      </c>
      <c r="U13" s="68">
        <f t="shared" si="5"/>
        <v>1825</v>
      </c>
    </row>
    <row r="14" spans="1:21" x14ac:dyDescent="0.2">
      <c r="A14" t="s">
        <v>18</v>
      </c>
      <c r="B14" t="s">
        <v>102</v>
      </c>
      <c r="D14" s="16" t="s">
        <v>48</v>
      </c>
      <c r="E14" t="s">
        <v>103</v>
      </c>
      <c r="F14" s="66">
        <v>40000</v>
      </c>
      <c r="G14" s="67">
        <v>54823</v>
      </c>
      <c r="H14" s="67"/>
      <c r="I14" s="68">
        <v>1721</v>
      </c>
      <c r="J14" s="66">
        <v>125217</v>
      </c>
      <c r="K14" s="67">
        <v>121572</v>
      </c>
      <c r="L14" s="68">
        <v>2183</v>
      </c>
      <c r="M14" s="66">
        <f t="shared" si="0"/>
        <v>165217</v>
      </c>
      <c r="N14" s="67">
        <f t="shared" si="1"/>
        <v>176395</v>
      </c>
      <c r="O14" s="68">
        <f t="shared" si="2"/>
        <v>3904</v>
      </c>
      <c r="P14" s="69">
        <v>4725</v>
      </c>
      <c r="Q14" s="20">
        <f t="shared" si="4"/>
        <v>0.82624338624338622</v>
      </c>
      <c r="R14" s="41">
        <f t="shared" si="3"/>
        <v>45.18314549180328</v>
      </c>
      <c r="S14" s="68">
        <v>199</v>
      </c>
      <c r="T14" s="81">
        <v>1857</v>
      </c>
      <c r="U14" s="68">
        <f t="shared" si="5"/>
        <v>2056</v>
      </c>
    </row>
    <row r="15" spans="1:21" x14ac:dyDescent="0.2">
      <c r="A15" t="s">
        <v>19</v>
      </c>
      <c r="B15" s="16" t="s">
        <v>104</v>
      </c>
      <c r="D15" s="16" t="s">
        <v>49</v>
      </c>
      <c r="E15" s="16" t="s">
        <v>25</v>
      </c>
      <c r="F15" s="66">
        <v>35000</v>
      </c>
      <c r="G15" s="67">
        <v>58599</v>
      </c>
      <c r="H15" s="67"/>
      <c r="I15" s="68">
        <v>1126</v>
      </c>
      <c r="J15" s="66">
        <v>125217</v>
      </c>
      <c r="K15" s="67">
        <v>117470</v>
      </c>
      <c r="L15" s="68">
        <v>2092</v>
      </c>
      <c r="M15" s="66">
        <f t="shared" si="0"/>
        <v>160217</v>
      </c>
      <c r="N15" s="67">
        <f t="shared" si="1"/>
        <v>176069</v>
      </c>
      <c r="O15" s="68">
        <f t="shared" si="2"/>
        <v>3218</v>
      </c>
      <c r="P15" s="69">
        <v>4725</v>
      </c>
      <c r="Q15" s="20">
        <f t="shared" si="4"/>
        <v>0.68105820105820103</v>
      </c>
      <c r="R15" s="41">
        <f t="shared" si="3"/>
        <v>54.71379738968303</v>
      </c>
      <c r="S15" s="68">
        <v>162</v>
      </c>
      <c r="T15" s="81">
        <v>1601</v>
      </c>
      <c r="U15" s="68">
        <f t="shared" si="5"/>
        <v>1763</v>
      </c>
    </row>
    <row r="16" spans="1:21" x14ac:dyDescent="0.2">
      <c r="A16" s="48" t="s">
        <v>20</v>
      </c>
      <c r="B16" s="54" t="s">
        <v>105</v>
      </c>
      <c r="C16" s="48"/>
      <c r="D16" s="54" t="s">
        <v>50</v>
      </c>
      <c r="E16" s="54" t="s">
        <v>25</v>
      </c>
      <c r="F16" s="49">
        <v>45000</v>
      </c>
      <c r="G16" s="50">
        <v>49628</v>
      </c>
      <c r="H16" s="50"/>
      <c r="I16" s="51">
        <v>1012</v>
      </c>
      <c r="J16" s="49">
        <v>125217</v>
      </c>
      <c r="K16" s="50">
        <v>126612</v>
      </c>
      <c r="L16" s="51">
        <v>2268</v>
      </c>
      <c r="M16" s="49">
        <f t="shared" si="0"/>
        <v>170217</v>
      </c>
      <c r="N16" s="50">
        <f t="shared" si="1"/>
        <v>176240</v>
      </c>
      <c r="O16" s="51">
        <f t="shared" si="2"/>
        <v>3280</v>
      </c>
      <c r="P16" s="52">
        <v>4725</v>
      </c>
      <c r="Q16" s="65">
        <f t="shared" si="4"/>
        <v>0.69417989417989423</v>
      </c>
      <c r="R16" s="53">
        <f t="shared" si="3"/>
        <v>53.731707317073173</v>
      </c>
      <c r="S16" s="51">
        <v>151</v>
      </c>
      <c r="T16" s="83">
        <v>1651</v>
      </c>
      <c r="U16" s="51">
        <f t="shared" si="5"/>
        <v>1802</v>
      </c>
    </row>
    <row r="17" spans="1:21" x14ac:dyDescent="0.2">
      <c r="A17" s="13" t="s">
        <v>21</v>
      </c>
      <c r="B17" s="16" t="s">
        <v>51</v>
      </c>
      <c r="C17" s="13"/>
      <c r="D17" s="16" t="s">
        <v>52</v>
      </c>
      <c r="E17" s="16" t="s">
        <v>25</v>
      </c>
      <c r="F17" s="32">
        <v>55000</v>
      </c>
      <c r="G17" s="33">
        <v>65638</v>
      </c>
      <c r="H17" s="33"/>
      <c r="I17" s="25">
        <v>1079</v>
      </c>
      <c r="J17" s="32">
        <v>125217</v>
      </c>
      <c r="K17" s="33">
        <v>120346</v>
      </c>
      <c r="L17" s="25">
        <v>2090</v>
      </c>
      <c r="M17" s="32">
        <f t="shared" si="0"/>
        <v>180217</v>
      </c>
      <c r="N17" s="33">
        <f t="shared" si="1"/>
        <v>185984</v>
      </c>
      <c r="O17" s="25">
        <f t="shared" si="2"/>
        <v>3169</v>
      </c>
      <c r="P17" s="42">
        <v>4725</v>
      </c>
      <c r="Q17" s="20">
        <f t="shared" si="4"/>
        <v>0.67068783068783067</v>
      </c>
      <c r="R17" s="29">
        <f t="shared" si="3"/>
        <v>58.688545282423476</v>
      </c>
      <c r="S17" s="25">
        <v>124</v>
      </c>
      <c r="T17" s="82">
        <v>1511</v>
      </c>
      <c r="U17" s="25">
        <f t="shared" si="5"/>
        <v>1635</v>
      </c>
    </row>
    <row r="18" spans="1:21" x14ac:dyDescent="0.2">
      <c r="A18" t="s">
        <v>22</v>
      </c>
      <c r="B18" s="16" t="s">
        <v>53</v>
      </c>
      <c r="D18" s="16" t="s">
        <v>54</v>
      </c>
      <c r="E18" t="s">
        <v>25</v>
      </c>
      <c r="F18" s="32">
        <v>38000</v>
      </c>
      <c r="G18" s="33">
        <v>51975</v>
      </c>
      <c r="H18" s="33"/>
      <c r="I18" s="25">
        <v>912</v>
      </c>
      <c r="J18" s="32">
        <v>125217</v>
      </c>
      <c r="K18" s="33">
        <v>121874</v>
      </c>
      <c r="L18" s="25">
        <v>2148</v>
      </c>
      <c r="M18" s="32">
        <f t="shared" si="0"/>
        <v>163217</v>
      </c>
      <c r="N18" s="33">
        <f t="shared" si="1"/>
        <v>173849</v>
      </c>
      <c r="O18" s="25">
        <f t="shared" si="2"/>
        <v>3060</v>
      </c>
      <c r="P18" s="42">
        <v>4254</v>
      </c>
      <c r="Q18" s="20">
        <f t="shared" si="4"/>
        <v>0.71932299012693934</v>
      </c>
      <c r="R18" s="29">
        <f t="shared" si="3"/>
        <v>56.813398692810459</v>
      </c>
      <c r="S18" s="25">
        <v>119</v>
      </c>
      <c r="T18" s="82">
        <v>1443</v>
      </c>
      <c r="U18" s="25">
        <f t="shared" si="5"/>
        <v>1562</v>
      </c>
    </row>
    <row r="19" spans="1:21" ht="13.5" thickBot="1" x14ac:dyDescent="0.25">
      <c r="A19" s="13" t="s">
        <v>26</v>
      </c>
      <c r="B19" s="16" t="s">
        <v>56</v>
      </c>
      <c r="D19" s="16" t="s">
        <v>55</v>
      </c>
      <c r="E19" s="16" t="s">
        <v>25</v>
      </c>
      <c r="F19" s="32">
        <v>67000</v>
      </c>
      <c r="G19" s="34">
        <v>48891</v>
      </c>
      <c r="H19" s="34"/>
      <c r="I19" s="26">
        <v>744</v>
      </c>
      <c r="J19" s="32">
        <v>125217</v>
      </c>
      <c r="K19" s="34">
        <v>123053</v>
      </c>
      <c r="L19" s="26">
        <v>2129</v>
      </c>
      <c r="M19" s="32">
        <f t="shared" si="0"/>
        <v>192217</v>
      </c>
      <c r="N19" s="34">
        <f t="shared" si="1"/>
        <v>171944</v>
      </c>
      <c r="O19" s="26">
        <f t="shared" si="2"/>
        <v>2873</v>
      </c>
      <c r="P19" s="45">
        <v>4725</v>
      </c>
      <c r="Q19" s="21">
        <f t="shared" si="4"/>
        <v>0.60804232804232805</v>
      </c>
      <c r="R19" s="30">
        <f t="shared" si="3"/>
        <v>59.848242255482077</v>
      </c>
      <c r="S19" s="25">
        <v>36</v>
      </c>
      <c r="T19" s="82">
        <v>1454</v>
      </c>
      <c r="U19" s="25">
        <f t="shared" si="5"/>
        <v>1490</v>
      </c>
    </row>
    <row r="20" spans="1:21" ht="13.5" thickBot="1" x14ac:dyDescent="0.25">
      <c r="A20" s="3" t="s">
        <v>8</v>
      </c>
      <c r="B20" s="5"/>
      <c r="C20" s="5"/>
      <c r="D20" s="5"/>
      <c r="E20" s="5"/>
      <c r="F20" s="35">
        <f>SUM(F6:F19)</f>
        <v>616000</v>
      </c>
      <c r="G20" s="35">
        <f t="shared" ref="G20:I20" si="6">SUM(G6:G19)</f>
        <v>719370</v>
      </c>
      <c r="H20" s="35">
        <v>103370</v>
      </c>
      <c r="I20" s="23">
        <f t="shared" si="6"/>
        <v>14860</v>
      </c>
      <c r="J20" s="35">
        <f>SUM(J6:J19)</f>
        <v>1753000</v>
      </c>
      <c r="K20" s="35">
        <f t="shared" ref="K20" si="7">SUM(K6:K19)</f>
        <v>1689202</v>
      </c>
      <c r="L20" s="23">
        <f t="shared" ref="L20" si="8">SUM(L6:L19)</f>
        <v>29732</v>
      </c>
      <c r="M20" s="35">
        <f>SUM(M6:M19)</f>
        <v>2369000</v>
      </c>
      <c r="N20" s="35">
        <f t="shared" ref="N20" si="9">SUM(N6:N19)</f>
        <v>2408572</v>
      </c>
      <c r="O20" s="23">
        <f t="shared" ref="O20" si="10">SUM(O6:O19)</f>
        <v>44592</v>
      </c>
      <c r="P20" s="43">
        <f>SUM(P6:P19)</f>
        <v>65208</v>
      </c>
      <c r="Q20" s="28">
        <f>O20/P20</f>
        <v>0.68384247331615755</v>
      </c>
      <c r="R20" s="24">
        <f t="shared" si="3"/>
        <v>54.013545030498747</v>
      </c>
      <c r="S20" s="43">
        <f>SUM(S6:S19)</f>
        <v>2160</v>
      </c>
      <c r="T20" s="43">
        <f>SUM(T6:T19)</f>
        <v>21455</v>
      </c>
      <c r="U20" s="43">
        <f>SUM(U6:U19)</f>
        <v>23615</v>
      </c>
    </row>
    <row r="21" spans="1:21" ht="0.75" customHeight="1" x14ac:dyDescent="0.2">
      <c r="F21" s="36"/>
      <c r="G21" s="37"/>
      <c r="H21" s="37"/>
      <c r="I21" s="25"/>
      <c r="J21" s="36"/>
      <c r="K21" s="37"/>
      <c r="L21" s="25"/>
      <c r="M21" s="40"/>
      <c r="N21" s="40"/>
      <c r="O21" s="25"/>
      <c r="P21" s="42"/>
      <c r="Q21" s="10"/>
      <c r="R21" s="10"/>
      <c r="S21" s="44"/>
      <c r="T21" s="44"/>
      <c r="U21" s="44"/>
    </row>
    <row r="22" spans="1:21" x14ac:dyDescent="0.2">
      <c r="A22" s="1" t="s">
        <v>1</v>
      </c>
      <c r="F22" s="36"/>
      <c r="G22" s="37"/>
      <c r="H22" s="37"/>
      <c r="I22" s="25"/>
      <c r="J22" s="36"/>
      <c r="K22" s="37"/>
      <c r="L22" s="25"/>
      <c r="M22" s="40"/>
      <c r="N22" s="40"/>
      <c r="O22" s="25"/>
      <c r="P22" s="42"/>
      <c r="Q22" s="10"/>
      <c r="R22" s="10"/>
      <c r="S22" s="44"/>
      <c r="T22" s="44"/>
      <c r="U22" s="44"/>
    </row>
    <row r="23" spans="1:21" x14ac:dyDescent="0.2">
      <c r="A23" s="16" t="s">
        <v>57</v>
      </c>
      <c r="B23" s="13"/>
      <c r="C23" s="13"/>
      <c r="D23" s="17" t="s">
        <v>58</v>
      </c>
      <c r="E23" s="16" t="s">
        <v>59</v>
      </c>
      <c r="F23" s="32">
        <v>220000</v>
      </c>
      <c r="G23" s="33">
        <v>195453</v>
      </c>
      <c r="H23" s="33"/>
      <c r="I23" s="25">
        <v>1600</v>
      </c>
      <c r="J23" s="32">
        <v>128000</v>
      </c>
      <c r="K23" s="46">
        <v>114719</v>
      </c>
      <c r="L23" s="25">
        <v>1734</v>
      </c>
      <c r="M23" s="40">
        <f t="shared" ref="M23:N27" si="11">F23+J23</f>
        <v>348000</v>
      </c>
      <c r="N23" s="40">
        <f t="shared" si="11"/>
        <v>310172</v>
      </c>
      <c r="O23" s="25">
        <f>I23+L23</f>
        <v>3334</v>
      </c>
      <c r="P23" s="42">
        <v>4707</v>
      </c>
      <c r="Q23" s="20">
        <f t="shared" ref="Q23:Q27" si="12">O23/P23</f>
        <v>0.70830677714042911</v>
      </c>
      <c r="R23" s="29">
        <f t="shared" ref="R23:R28" si="13">N23/O23</f>
        <v>93.032993401319743</v>
      </c>
      <c r="S23" s="25">
        <v>242</v>
      </c>
      <c r="T23" s="79">
        <v>1292</v>
      </c>
      <c r="U23" s="25">
        <f t="shared" ref="U23:U27" si="14">SUM(S23:T23)</f>
        <v>1534</v>
      </c>
    </row>
    <row r="24" spans="1:21" x14ac:dyDescent="0.2">
      <c r="A24" s="16" t="s">
        <v>60</v>
      </c>
      <c r="B24" s="16"/>
      <c r="C24" s="16"/>
      <c r="D24" s="16" t="s">
        <v>61</v>
      </c>
      <c r="E24" s="16" t="s">
        <v>111</v>
      </c>
      <c r="F24" s="55">
        <v>125000</v>
      </c>
      <c r="G24" s="56">
        <v>131321</v>
      </c>
      <c r="H24" s="56"/>
      <c r="I24" s="57">
        <v>2056</v>
      </c>
      <c r="J24" s="55">
        <v>128000</v>
      </c>
      <c r="K24" s="58">
        <v>118047</v>
      </c>
      <c r="L24" s="57">
        <v>1804</v>
      </c>
      <c r="M24" s="59">
        <f t="shared" si="11"/>
        <v>253000</v>
      </c>
      <c r="N24" s="59">
        <f t="shared" si="11"/>
        <v>249368</v>
      </c>
      <c r="O24" s="57">
        <f>I24+L24</f>
        <v>3860</v>
      </c>
      <c r="P24" s="60">
        <v>4707</v>
      </c>
      <c r="Q24" s="61">
        <f t="shared" si="12"/>
        <v>0.82005523688124071</v>
      </c>
      <c r="R24" s="62">
        <f t="shared" si="13"/>
        <v>64.603108808290159</v>
      </c>
      <c r="S24" s="57">
        <v>342</v>
      </c>
      <c r="T24" s="84">
        <v>1336</v>
      </c>
      <c r="U24" s="57">
        <f t="shared" si="14"/>
        <v>1678</v>
      </c>
    </row>
    <row r="25" spans="1:21" x14ac:dyDescent="0.2">
      <c r="A25" s="16" t="s">
        <v>96</v>
      </c>
      <c r="B25" s="16"/>
      <c r="C25" s="16"/>
      <c r="D25" s="16" t="s">
        <v>62</v>
      </c>
      <c r="E25" s="16" t="s">
        <v>32</v>
      </c>
      <c r="F25" s="55">
        <v>125000</v>
      </c>
      <c r="G25" s="56">
        <v>131336</v>
      </c>
      <c r="H25" s="56"/>
      <c r="I25" s="57">
        <v>1874</v>
      </c>
      <c r="J25" s="55">
        <v>128000</v>
      </c>
      <c r="K25" s="58">
        <v>120395</v>
      </c>
      <c r="L25" s="57">
        <v>1914</v>
      </c>
      <c r="M25" s="59">
        <f t="shared" si="11"/>
        <v>253000</v>
      </c>
      <c r="N25" s="59">
        <f t="shared" si="11"/>
        <v>251731</v>
      </c>
      <c r="O25" s="57">
        <f>I25+L25</f>
        <v>3788</v>
      </c>
      <c r="P25" s="60">
        <v>4707</v>
      </c>
      <c r="Q25" s="61">
        <f t="shared" si="12"/>
        <v>0.80475886976843003</v>
      </c>
      <c r="R25" s="62">
        <f t="shared" si="13"/>
        <v>66.454857444561767</v>
      </c>
      <c r="S25" s="57">
        <v>351</v>
      </c>
      <c r="T25" s="84">
        <v>1305</v>
      </c>
      <c r="U25" s="57">
        <f t="shared" si="14"/>
        <v>1656</v>
      </c>
    </row>
    <row r="26" spans="1:21" x14ac:dyDescent="0.2">
      <c r="A26" s="54" t="s">
        <v>63</v>
      </c>
      <c r="B26" s="48"/>
      <c r="C26" s="48"/>
      <c r="D26" s="73" t="s">
        <v>64</v>
      </c>
      <c r="E26" s="48" t="s">
        <v>65</v>
      </c>
      <c r="F26" s="49">
        <v>125000</v>
      </c>
      <c r="G26" s="50">
        <v>176469</v>
      </c>
      <c r="H26" s="50"/>
      <c r="I26" s="51">
        <v>2419</v>
      </c>
      <c r="J26" s="49">
        <v>128000</v>
      </c>
      <c r="K26" s="70">
        <v>120539</v>
      </c>
      <c r="L26" s="51">
        <v>1868</v>
      </c>
      <c r="M26" s="64">
        <f t="shared" si="11"/>
        <v>253000</v>
      </c>
      <c r="N26" s="64">
        <f t="shared" si="11"/>
        <v>297008</v>
      </c>
      <c r="O26" s="51">
        <f>I26+L26</f>
        <v>4287</v>
      </c>
      <c r="P26" s="52">
        <v>4707</v>
      </c>
      <c r="Q26" s="65">
        <f t="shared" si="12"/>
        <v>0.91077119184193756</v>
      </c>
      <c r="R26" s="53">
        <f t="shared" si="13"/>
        <v>69.28108234196408</v>
      </c>
      <c r="S26" s="51">
        <v>482</v>
      </c>
      <c r="T26" s="80">
        <v>1413</v>
      </c>
      <c r="U26" s="51">
        <f t="shared" si="14"/>
        <v>1895</v>
      </c>
    </row>
    <row r="27" spans="1:21" ht="13.5" thickBot="1" x14ac:dyDescent="0.25">
      <c r="A27" s="16" t="s">
        <v>66</v>
      </c>
      <c r="D27" s="11" t="s">
        <v>67</v>
      </c>
      <c r="E27" t="s">
        <v>32</v>
      </c>
      <c r="F27" s="38">
        <v>125000</v>
      </c>
      <c r="G27" s="34">
        <v>134200</v>
      </c>
      <c r="H27" s="67"/>
      <c r="I27" s="25">
        <v>1917</v>
      </c>
      <c r="J27" s="32">
        <v>128000</v>
      </c>
      <c r="K27" s="47">
        <v>120177</v>
      </c>
      <c r="L27" s="25">
        <v>1911</v>
      </c>
      <c r="M27" s="40">
        <f t="shared" si="11"/>
        <v>253000</v>
      </c>
      <c r="N27" s="40">
        <f t="shared" si="11"/>
        <v>254377</v>
      </c>
      <c r="O27" s="25">
        <f>I27+L27</f>
        <v>3828</v>
      </c>
      <c r="P27" s="42">
        <v>4254</v>
      </c>
      <c r="Q27" s="21">
        <f t="shared" si="12"/>
        <v>0.89985895627644574</v>
      </c>
      <c r="R27" s="10">
        <f t="shared" si="13"/>
        <v>66.451671891327067</v>
      </c>
      <c r="S27" s="25">
        <v>294</v>
      </c>
      <c r="T27" s="25">
        <v>1412</v>
      </c>
      <c r="U27" s="25">
        <f t="shared" si="14"/>
        <v>1706</v>
      </c>
    </row>
    <row r="28" spans="1:21" ht="13.5" thickBot="1" x14ac:dyDescent="0.25">
      <c r="A28" s="3" t="s">
        <v>7</v>
      </c>
      <c r="B28" s="5"/>
      <c r="C28" s="5"/>
      <c r="D28" s="5"/>
      <c r="E28" s="5"/>
      <c r="F28" s="35">
        <f t="shared" ref="F28:P28" si="15">SUM(F23:F27)</f>
        <v>720000</v>
      </c>
      <c r="G28" s="39">
        <f t="shared" si="15"/>
        <v>768779</v>
      </c>
      <c r="H28" s="39">
        <v>48779</v>
      </c>
      <c r="I28" s="27">
        <f t="shared" si="15"/>
        <v>9866</v>
      </c>
      <c r="J28" s="35">
        <f t="shared" si="15"/>
        <v>640000</v>
      </c>
      <c r="K28" s="39">
        <f t="shared" si="15"/>
        <v>593877</v>
      </c>
      <c r="L28" s="27">
        <f t="shared" si="15"/>
        <v>9231</v>
      </c>
      <c r="M28" s="35">
        <f t="shared" si="15"/>
        <v>1360000</v>
      </c>
      <c r="N28" s="39">
        <f t="shared" si="15"/>
        <v>1362656</v>
      </c>
      <c r="O28" s="27">
        <f t="shared" si="15"/>
        <v>19097</v>
      </c>
      <c r="P28" s="43">
        <f t="shared" si="15"/>
        <v>23082</v>
      </c>
      <c r="Q28" s="28">
        <f>O28/P28</f>
        <v>0.82735464864396502</v>
      </c>
      <c r="R28" s="31">
        <f t="shared" si="13"/>
        <v>71.354453579096187</v>
      </c>
      <c r="S28" s="43">
        <f>SUM(S23:S27)</f>
        <v>1711</v>
      </c>
      <c r="T28" s="43">
        <f t="shared" ref="T28:U28" si="16">SUM(T23:T27)</f>
        <v>6758</v>
      </c>
      <c r="U28" s="43">
        <f t="shared" si="16"/>
        <v>8469</v>
      </c>
    </row>
    <row r="29" spans="1:21" ht="0.75" customHeight="1" x14ac:dyDescent="0.2">
      <c r="F29" s="36"/>
      <c r="G29" s="37"/>
      <c r="H29" s="37"/>
      <c r="I29" s="25"/>
      <c r="J29" s="36"/>
      <c r="K29" s="37"/>
      <c r="L29" s="25"/>
      <c r="M29" s="40"/>
      <c r="N29" s="40"/>
      <c r="O29" s="25"/>
      <c r="P29" s="42"/>
      <c r="Q29" s="10"/>
      <c r="R29" s="10"/>
      <c r="S29" s="44"/>
      <c r="T29" s="44"/>
      <c r="U29" s="44"/>
    </row>
    <row r="30" spans="1:21" x14ac:dyDescent="0.2">
      <c r="A30" s="1" t="s">
        <v>2</v>
      </c>
      <c r="F30" s="36"/>
      <c r="G30" s="37"/>
      <c r="H30" s="37"/>
      <c r="I30" s="25"/>
      <c r="J30" s="36"/>
      <c r="K30" s="37"/>
      <c r="L30" s="25"/>
      <c r="M30" s="40"/>
      <c r="N30" s="40"/>
      <c r="O30" s="25"/>
      <c r="P30" s="42"/>
      <c r="Q30" s="10"/>
      <c r="R30" s="10"/>
      <c r="S30" s="44"/>
      <c r="T30" s="44"/>
      <c r="U30" s="44"/>
    </row>
    <row r="31" spans="1:21" x14ac:dyDescent="0.2">
      <c r="A31" s="16" t="s">
        <v>127</v>
      </c>
      <c r="B31" s="16"/>
      <c r="C31" s="16"/>
      <c r="D31" s="16" t="s">
        <v>68</v>
      </c>
      <c r="E31" s="16" t="s">
        <v>129</v>
      </c>
      <c r="F31" s="66">
        <v>9000</v>
      </c>
      <c r="G31" s="74">
        <v>16170</v>
      </c>
      <c r="H31" s="74"/>
      <c r="I31" s="68">
        <v>432</v>
      </c>
      <c r="J31" s="66">
        <v>11250</v>
      </c>
      <c r="K31" s="74">
        <v>10706</v>
      </c>
      <c r="L31" s="68">
        <v>525</v>
      </c>
      <c r="M31" s="71">
        <f t="shared" ref="M31:N34" si="17">F31+J31</f>
        <v>20250</v>
      </c>
      <c r="N31" s="71">
        <f t="shared" si="17"/>
        <v>26876</v>
      </c>
      <c r="O31" s="68">
        <f>I31+L31</f>
        <v>957</v>
      </c>
      <c r="P31" s="69">
        <v>1575</v>
      </c>
      <c r="Q31" s="75">
        <f t="shared" ref="Q31:Q34" si="18">O31/P31</f>
        <v>0.60761904761904761</v>
      </c>
      <c r="R31" s="41">
        <f>N31/O31</f>
        <v>28.083594566353188</v>
      </c>
      <c r="S31" s="68">
        <v>60</v>
      </c>
      <c r="T31" s="68">
        <v>251</v>
      </c>
      <c r="U31" s="68">
        <f t="shared" ref="U31:U34" si="19">SUM(S31:T31)</f>
        <v>311</v>
      </c>
    </row>
    <row r="32" spans="1:21" x14ac:dyDescent="0.2">
      <c r="A32" t="s">
        <v>29</v>
      </c>
      <c r="D32" s="17" t="s">
        <v>69</v>
      </c>
      <c r="E32" s="16" t="s">
        <v>131</v>
      </c>
      <c r="F32" s="32">
        <v>410000</v>
      </c>
      <c r="G32" s="33">
        <v>447429</v>
      </c>
      <c r="H32" s="33"/>
      <c r="I32" s="25">
        <v>7033</v>
      </c>
      <c r="J32" s="32">
        <v>11250</v>
      </c>
      <c r="K32" s="33">
        <v>12090</v>
      </c>
      <c r="L32" s="25">
        <v>568</v>
      </c>
      <c r="M32" s="40">
        <f t="shared" si="17"/>
        <v>421250</v>
      </c>
      <c r="N32" s="40">
        <f t="shared" si="17"/>
        <v>459519</v>
      </c>
      <c r="O32" s="25">
        <f>I32+L32</f>
        <v>7601</v>
      </c>
      <c r="P32" s="42">
        <v>8508</v>
      </c>
      <c r="Q32" s="20">
        <f t="shared" si="18"/>
        <v>0.89339445228020686</v>
      </c>
      <c r="R32" s="29">
        <f>N32/O32</f>
        <v>60.45507170109196</v>
      </c>
      <c r="S32" s="25">
        <v>698</v>
      </c>
      <c r="T32" s="25">
        <v>1781</v>
      </c>
      <c r="U32" s="25">
        <f t="shared" si="19"/>
        <v>2479</v>
      </c>
    </row>
    <row r="33" spans="1:21" x14ac:dyDescent="0.2">
      <c r="A33" s="16" t="s">
        <v>70</v>
      </c>
      <c r="D33" s="22" t="s">
        <v>71</v>
      </c>
      <c r="E33" s="16" t="s">
        <v>111</v>
      </c>
      <c r="F33" s="66">
        <v>9000</v>
      </c>
      <c r="G33" s="67">
        <v>32684</v>
      </c>
      <c r="H33" s="67"/>
      <c r="I33" s="68">
        <v>660</v>
      </c>
      <c r="J33" s="66">
        <v>11250</v>
      </c>
      <c r="K33" s="67">
        <v>11204</v>
      </c>
      <c r="L33" s="68">
        <v>597</v>
      </c>
      <c r="M33" s="71">
        <f t="shared" si="17"/>
        <v>20250</v>
      </c>
      <c r="N33" s="71">
        <f t="shared" si="17"/>
        <v>43888</v>
      </c>
      <c r="O33" s="68">
        <f>I33+L33</f>
        <v>1257</v>
      </c>
      <c r="P33" s="69">
        <v>1308</v>
      </c>
      <c r="Q33" s="20">
        <f t="shared" si="18"/>
        <v>0.96100917431192656</v>
      </c>
      <c r="R33" s="41">
        <f>N33/O33</f>
        <v>34.914876690533013</v>
      </c>
      <c r="S33" s="68">
        <v>109</v>
      </c>
      <c r="T33" s="68">
        <v>364</v>
      </c>
      <c r="U33" s="68">
        <f t="shared" si="19"/>
        <v>473</v>
      </c>
    </row>
    <row r="34" spans="1:21" ht="13.5" thickBot="1" x14ac:dyDescent="0.25">
      <c r="A34" s="16" t="s">
        <v>72</v>
      </c>
      <c r="D34" s="22" t="s">
        <v>73</v>
      </c>
      <c r="E34" t="s">
        <v>131</v>
      </c>
      <c r="F34" s="32">
        <v>9000</v>
      </c>
      <c r="G34" s="33">
        <v>17280</v>
      </c>
      <c r="H34" s="33"/>
      <c r="I34" s="25">
        <v>365</v>
      </c>
      <c r="J34" s="32">
        <v>11250</v>
      </c>
      <c r="K34" s="33">
        <v>11100</v>
      </c>
      <c r="L34" s="25">
        <v>560</v>
      </c>
      <c r="M34" s="40">
        <f t="shared" si="17"/>
        <v>20250</v>
      </c>
      <c r="N34" s="40">
        <f t="shared" si="17"/>
        <v>28380</v>
      </c>
      <c r="O34" s="25">
        <f>I34+L34</f>
        <v>925</v>
      </c>
      <c r="P34" s="42">
        <v>1575</v>
      </c>
      <c r="Q34" s="21">
        <f t="shared" si="18"/>
        <v>0.58730158730158732</v>
      </c>
      <c r="R34" s="10">
        <f>N34/O34</f>
        <v>30.681081081081082</v>
      </c>
      <c r="S34" s="25">
        <v>88</v>
      </c>
      <c r="T34" s="25">
        <v>236</v>
      </c>
      <c r="U34" s="25">
        <f t="shared" si="19"/>
        <v>324</v>
      </c>
    </row>
    <row r="35" spans="1:21" ht="13.5" thickBot="1" x14ac:dyDescent="0.25">
      <c r="A35" s="3" t="s">
        <v>6</v>
      </c>
      <c r="B35" s="5"/>
      <c r="C35" s="5"/>
      <c r="D35" s="5"/>
      <c r="E35" s="5"/>
      <c r="F35" s="35">
        <f t="shared" ref="F35:P35" si="20">SUM(F31:F34)</f>
        <v>437000</v>
      </c>
      <c r="G35" s="39">
        <f t="shared" si="20"/>
        <v>513563</v>
      </c>
      <c r="H35" s="39">
        <v>76563</v>
      </c>
      <c r="I35" s="27">
        <f t="shared" si="20"/>
        <v>8490</v>
      </c>
      <c r="J35" s="35">
        <f t="shared" si="20"/>
        <v>45000</v>
      </c>
      <c r="K35" s="39">
        <f t="shared" si="20"/>
        <v>45100</v>
      </c>
      <c r="L35" s="27">
        <f t="shared" si="20"/>
        <v>2250</v>
      </c>
      <c r="M35" s="35">
        <f t="shared" si="20"/>
        <v>482000</v>
      </c>
      <c r="N35" s="39">
        <f t="shared" si="20"/>
        <v>558663</v>
      </c>
      <c r="O35" s="27">
        <f t="shared" si="20"/>
        <v>10740</v>
      </c>
      <c r="P35" s="43">
        <f t="shared" si="20"/>
        <v>12966</v>
      </c>
      <c r="Q35" s="28">
        <f>O35/P35</f>
        <v>0.82832022211938916</v>
      </c>
      <c r="R35" s="31">
        <f>N35/O35</f>
        <v>52.017039106145255</v>
      </c>
      <c r="S35" s="43">
        <f>SUM(S31:S34)</f>
        <v>955</v>
      </c>
      <c r="T35" s="43">
        <f t="shared" ref="T35:U35" si="21">SUM(T31:T34)</f>
        <v>2632</v>
      </c>
      <c r="U35" s="43">
        <f t="shared" si="21"/>
        <v>3587</v>
      </c>
    </row>
    <row r="36" spans="1:21" ht="13.5" customHeight="1" x14ac:dyDescent="0.2">
      <c r="A36" s="1" t="s">
        <v>3</v>
      </c>
      <c r="F36" s="36"/>
      <c r="G36" s="37"/>
      <c r="H36" s="37"/>
      <c r="I36" s="25"/>
      <c r="J36" s="36"/>
      <c r="K36" s="37"/>
      <c r="L36" s="25"/>
      <c r="M36" s="40"/>
      <c r="N36" s="40"/>
      <c r="O36" s="25"/>
      <c r="P36" s="42"/>
      <c r="Q36" s="10"/>
      <c r="R36" s="10"/>
      <c r="S36" s="44"/>
      <c r="T36" s="44"/>
      <c r="U36" s="44"/>
    </row>
    <row r="37" spans="1:21" ht="13.5" customHeight="1" x14ac:dyDescent="0.2">
      <c r="A37" s="16" t="s">
        <v>91</v>
      </c>
      <c r="B37" s="13"/>
      <c r="C37" s="13"/>
      <c r="D37" s="16" t="s">
        <v>78</v>
      </c>
      <c r="E37" s="16" t="s">
        <v>107</v>
      </c>
      <c r="F37" s="32">
        <v>375000</v>
      </c>
      <c r="G37" s="33">
        <v>361051</v>
      </c>
      <c r="H37" s="33"/>
      <c r="I37" s="25">
        <v>5139</v>
      </c>
      <c r="J37" s="32">
        <v>0</v>
      </c>
      <c r="K37" s="33">
        <v>1337</v>
      </c>
      <c r="L37" s="25">
        <v>33</v>
      </c>
      <c r="M37" s="40">
        <f t="shared" ref="M37:M49" si="22">F37+J37</f>
        <v>375000</v>
      </c>
      <c r="N37" s="40">
        <f t="shared" ref="N37:N49" si="23">G37+K37</f>
        <v>362388</v>
      </c>
      <c r="O37" s="25">
        <f t="shared" ref="O37:O49" si="24">I37+L37</f>
        <v>5172</v>
      </c>
      <c r="P37" s="42">
        <v>5184</v>
      </c>
      <c r="Q37" s="20">
        <f t="shared" ref="Q37:Q49" si="25">O37/P37</f>
        <v>0.99768518518518523</v>
      </c>
      <c r="R37" s="29">
        <f t="shared" ref="R37:R51" si="26">N37/O37</f>
        <v>70.067285382830633</v>
      </c>
      <c r="S37" s="25">
        <v>1008</v>
      </c>
      <c r="T37" s="25">
        <v>1000</v>
      </c>
      <c r="U37" s="25">
        <f t="shared" ref="U37:U49" si="27">SUM(S37:T37)</f>
        <v>2008</v>
      </c>
    </row>
    <row r="38" spans="1:21" ht="13.5" customHeight="1" x14ac:dyDescent="0.2">
      <c r="A38" s="16" t="s">
        <v>79</v>
      </c>
      <c r="B38" s="13"/>
      <c r="C38" s="13"/>
      <c r="D38" s="16" t="s">
        <v>80</v>
      </c>
      <c r="E38" s="16" t="s">
        <v>81</v>
      </c>
      <c r="F38" s="32">
        <v>104000</v>
      </c>
      <c r="G38" s="33">
        <v>113297</v>
      </c>
      <c r="H38" s="33"/>
      <c r="I38" s="25">
        <v>1551</v>
      </c>
      <c r="J38" s="32">
        <v>0</v>
      </c>
      <c r="K38" s="33">
        <v>1007</v>
      </c>
      <c r="L38" s="25">
        <v>17</v>
      </c>
      <c r="M38" s="40">
        <f t="shared" si="22"/>
        <v>104000</v>
      </c>
      <c r="N38" s="40">
        <f t="shared" si="23"/>
        <v>114304</v>
      </c>
      <c r="O38" s="25">
        <f t="shared" si="24"/>
        <v>1568</v>
      </c>
      <c r="P38" s="42">
        <v>1575</v>
      </c>
      <c r="Q38" s="20">
        <f t="shared" si="25"/>
        <v>0.99555555555555553</v>
      </c>
      <c r="R38" s="29">
        <f t="shared" si="26"/>
        <v>72.897959183673464</v>
      </c>
      <c r="S38" s="25">
        <v>254</v>
      </c>
      <c r="T38" s="25">
        <v>400</v>
      </c>
      <c r="U38" s="25">
        <f t="shared" si="27"/>
        <v>654</v>
      </c>
    </row>
    <row r="39" spans="1:21" ht="13.5" customHeight="1" x14ac:dyDescent="0.2">
      <c r="A39" s="16" t="s">
        <v>82</v>
      </c>
      <c r="B39" s="16"/>
      <c r="C39" s="16"/>
      <c r="D39" s="18" t="s">
        <v>83</v>
      </c>
      <c r="E39" s="16" t="s">
        <v>112</v>
      </c>
      <c r="F39" s="55">
        <v>100000</v>
      </c>
      <c r="G39" s="56">
        <v>98864</v>
      </c>
      <c r="H39" s="56"/>
      <c r="I39" s="57">
        <v>1340</v>
      </c>
      <c r="J39" s="55">
        <v>0</v>
      </c>
      <c r="K39" s="56">
        <v>628</v>
      </c>
      <c r="L39" s="57">
        <v>21</v>
      </c>
      <c r="M39" s="59">
        <f t="shared" si="22"/>
        <v>100000</v>
      </c>
      <c r="N39" s="59">
        <f t="shared" si="23"/>
        <v>99492</v>
      </c>
      <c r="O39" s="57">
        <f t="shared" si="24"/>
        <v>1361</v>
      </c>
      <c r="P39" s="60">
        <v>1575</v>
      </c>
      <c r="Q39" s="61">
        <f t="shared" si="25"/>
        <v>0.86412698412698408</v>
      </c>
      <c r="R39" s="62">
        <f t="shared" si="26"/>
        <v>73.102130786186621</v>
      </c>
      <c r="S39" s="57">
        <v>262</v>
      </c>
      <c r="T39" s="57">
        <v>322</v>
      </c>
      <c r="U39" s="57">
        <f t="shared" si="27"/>
        <v>584</v>
      </c>
    </row>
    <row r="40" spans="1:21" ht="13.5" customHeight="1" x14ac:dyDescent="0.2">
      <c r="A40" s="16" t="s">
        <v>84</v>
      </c>
      <c r="B40" s="13"/>
      <c r="C40" s="13"/>
      <c r="D40" s="18" t="s">
        <v>85</v>
      </c>
      <c r="E40" s="16" t="s">
        <v>86</v>
      </c>
      <c r="F40" s="66">
        <v>40000</v>
      </c>
      <c r="G40" s="67">
        <v>64176</v>
      </c>
      <c r="H40" s="67"/>
      <c r="I40" s="68">
        <v>1241</v>
      </c>
      <c r="J40" s="66">
        <v>0</v>
      </c>
      <c r="K40" s="67">
        <v>797</v>
      </c>
      <c r="L40" s="68">
        <v>40</v>
      </c>
      <c r="M40" s="71">
        <f t="shared" si="22"/>
        <v>40000</v>
      </c>
      <c r="N40" s="71">
        <f t="shared" si="23"/>
        <v>64973</v>
      </c>
      <c r="O40" s="68">
        <f t="shared" si="24"/>
        <v>1281</v>
      </c>
      <c r="P40" s="69">
        <v>1308</v>
      </c>
      <c r="Q40" s="20">
        <f t="shared" si="25"/>
        <v>0.97935779816513757</v>
      </c>
      <c r="R40" s="41">
        <f t="shared" si="26"/>
        <v>50.720530835284933</v>
      </c>
      <c r="S40" s="68">
        <v>194</v>
      </c>
      <c r="T40" s="68">
        <v>352</v>
      </c>
      <c r="U40" s="68">
        <f t="shared" si="27"/>
        <v>546</v>
      </c>
    </row>
    <row r="41" spans="1:21" ht="13.5" customHeight="1" x14ac:dyDescent="0.2">
      <c r="A41" s="16" t="s">
        <v>28</v>
      </c>
      <c r="B41" s="13"/>
      <c r="C41" s="13"/>
      <c r="D41" s="18" t="s">
        <v>74</v>
      </c>
      <c r="E41" s="16" t="s">
        <v>132</v>
      </c>
      <c r="F41" s="66">
        <v>180000</v>
      </c>
      <c r="G41" s="67">
        <v>225510</v>
      </c>
      <c r="H41" s="67"/>
      <c r="I41" s="68">
        <v>4066</v>
      </c>
      <c r="J41" s="66">
        <v>0</v>
      </c>
      <c r="K41" s="67">
        <v>986</v>
      </c>
      <c r="L41" s="68">
        <v>39</v>
      </c>
      <c r="M41" s="71">
        <f t="shared" si="22"/>
        <v>180000</v>
      </c>
      <c r="N41" s="71">
        <f t="shared" si="23"/>
        <v>226496</v>
      </c>
      <c r="O41" s="68">
        <f t="shared" si="24"/>
        <v>4105</v>
      </c>
      <c r="P41" s="69">
        <v>4254</v>
      </c>
      <c r="Q41" s="20">
        <f t="shared" si="25"/>
        <v>0.9649741419840151</v>
      </c>
      <c r="R41" s="41">
        <f t="shared" si="26"/>
        <v>55.175639464068212</v>
      </c>
      <c r="S41" s="68">
        <v>543</v>
      </c>
      <c r="T41" s="68">
        <v>924</v>
      </c>
      <c r="U41" s="68">
        <f t="shared" si="27"/>
        <v>1467</v>
      </c>
    </row>
    <row r="42" spans="1:21" ht="13.5" customHeight="1" x14ac:dyDescent="0.2">
      <c r="A42" s="16" t="s">
        <v>75</v>
      </c>
      <c r="B42" s="13"/>
      <c r="C42" s="13"/>
      <c r="D42" s="18" t="s">
        <v>76</v>
      </c>
      <c r="E42" s="16" t="s">
        <v>112</v>
      </c>
      <c r="F42" s="66">
        <v>155000</v>
      </c>
      <c r="G42" s="67">
        <v>173896</v>
      </c>
      <c r="H42" s="67"/>
      <c r="I42" s="68">
        <v>2568</v>
      </c>
      <c r="J42" s="66">
        <v>0</v>
      </c>
      <c r="K42" s="67">
        <v>1089</v>
      </c>
      <c r="L42" s="68">
        <v>22</v>
      </c>
      <c r="M42" s="71">
        <f t="shared" si="22"/>
        <v>155000</v>
      </c>
      <c r="N42" s="71">
        <f t="shared" si="23"/>
        <v>174985</v>
      </c>
      <c r="O42" s="68">
        <f t="shared" si="24"/>
        <v>2590</v>
      </c>
      <c r="P42" s="69">
        <v>2616</v>
      </c>
      <c r="Q42" s="20">
        <f t="shared" si="25"/>
        <v>0.99006116207951067</v>
      </c>
      <c r="R42" s="41">
        <f t="shared" si="26"/>
        <v>67.561776061776058</v>
      </c>
      <c r="S42" s="68">
        <v>235</v>
      </c>
      <c r="T42" s="68">
        <v>511</v>
      </c>
      <c r="U42" s="68">
        <f t="shared" si="27"/>
        <v>746</v>
      </c>
    </row>
    <row r="43" spans="1:21" ht="12.75" customHeight="1" x14ac:dyDescent="0.2">
      <c r="A43" s="16" t="s">
        <v>77</v>
      </c>
      <c r="B43" s="13"/>
      <c r="C43" s="13"/>
      <c r="D43" s="16" t="s">
        <v>113</v>
      </c>
      <c r="E43" s="16" t="s">
        <v>106</v>
      </c>
      <c r="F43" s="32">
        <v>330000</v>
      </c>
      <c r="G43" s="33">
        <v>381779</v>
      </c>
      <c r="H43" s="33"/>
      <c r="I43" s="25">
        <v>5048</v>
      </c>
      <c r="J43" s="32">
        <v>0</v>
      </c>
      <c r="K43" s="33">
        <v>1182</v>
      </c>
      <c r="L43" s="25">
        <v>28</v>
      </c>
      <c r="M43" s="40">
        <f t="shared" si="22"/>
        <v>330000</v>
      </c>
      <c r="N43" s="40">
        <f t="shared" si="23"/>
        <v>382961</v>
      </c>
      <c r="O43" s="25">
        <f t="shared" si="24"/>
        <v>5076</v>
      </c>
      <c r="P43" s="42">
        <v>5184</v>
      </c>
      <c r="Q43" s="20">
        <f t="shared" si="25"/>
        <v>0.97916666666666663</v>
      </c>
      <c r="R43" s="29">
        <f t="shared" si="26"/>
        <v>75.445429472025211</v>
      </c>
      <c r="S43" s="25">
        <v>682</v>
      </c>
      <c r="T43" s="25">
        <v>863</v>
      </c>
      <c r="U43" s="25">
        <f t="shared" si="27"/>
        <v>1545</v>
      </c>
    </row>
    <row r="44" spans="1:21" ht="12.75" customHeight="1" x14ac:dyDescent="0.2">
      <c r="A44" s="16" t="s">
        <v>87</v>
      </c>
      <c r="B44" s="13"/>
      <c r="C44" s="13"/>
      <c r="D44" s="16" t="s">
        <v>88</v>
      </c>
      <c r="E44" s="16" t="s">
        <v>111</v>
      </c>
      <c r="F44" s="66">
        <v>232000</v>
      </c>
      <c r="G44" s="67">
        <v>198366</v>
      </c>
      <c r="H44" s="67"/>
      <c r="I44" s="68">
        <v>3113</v>
      </c>
      <c r="J44" s="66">
        <v>0</v>
      </c>
      <c r="K44" s="67">
        <v>1265</v>
      </c>
      <c r="L44" s="68">
        <v>30</v>
      </c>
      <c r="M44" s="71">
        <f t="shared" si="22"/>
        <v>232000</v>
      </c>
      <c r="N44" s="71">
        <f t="shared" si="23"/>
        <v>199631</v>
      </c>
      <c r="O44" s="68">
        <f t="shared" si="24"/>
        <v>3143</v>
      </c>
      <c r="P44" s="69">
        <v>3888</v>
      </c>
      <c r="Q44" s="20">
        <f t="shared" si="25"/>
        <v>0.80838477366255146</v>
      </c>
      <c r="R44" s="41">
        <f t="shared" si="26"/>
        <v>63.516067451479479</v>
      </c>
      <c r="S44" s="68">
        <v>569</v>
      </c>
      <c r="T44" s="68">
        <v>554</v>
      </c>
      <c r="U44" s="68">
        <f t="shared" si="27"/>
        <v>1123</v>
      </c>
    </row>
    <row r="45" spans="1:21" ht="12.75" customHeight="1" x14ac:dyDescent="0.2">
      <c r="A45" s="16" t="s">
        <v>89</v>
      </c>
      <c r="B45" s="13"/>
      <c r="C45" s="13"/>
      <c r="D45" s="18" t="s">
        <v>90</v>
      </c>
      <c r="E45" s="16" t="s">
        <v>131</v>
      </c>
      <c r="F45" s="66">
        <v>92000</v>
      </c>
      <c r="G45" s="67">
        <v>52660</v>
      </c>
      <c r="H45" s="67"/>
      <c r="I45" s="68">
        <v>744</v>
      </c>
      <c r="J45" s="66">
        <v>0</v>
      </c>
      <c r="K45" s="67">
        <v>612</v>
      </c>
      <c r="L45" s="68">
        <v>31</v>
      </c>
      <c r="M45" s="71">
        <f t="shared" si="22"/>
        <v>92000</v>
      </c>
      <c r="N45" s="71">
        <f t="shared" si="23"/>
        <v>53272</v>
      </c>
      <c r="O45" s="68">
        <f t="shared" si="24"/>
        <v>775</v>
      </c>
      <c r="P45" s="69">
        <v>1575</v>
      </c>
      <c r="Q45" s="20">
        <f t="shared" si="25"/>
        <v>0.49206349206349204</v>
      </c>
      <c r="R45" s="41">
        <f t="shared" si="26"/>
        <v>68.738064516129029</v>
      </c>
      <c r="S45" s="68">
        <v>110</v>
      </c>
      <c r="T45" s="68">
        <v>325</v>
      </c>
      <c r="U45" s="68">
        <f t="shared" si="27"/>
        <v>435</v>
      </c>
    </row>
    <row r="46" spans="1:21" ht="12.75" customHeight="1" x14ac:dyDescent="0.2">
      <c r="A46" s="16" t="s">
        <v>92</v>
      </c>
      <c r="B46" s="13"/>
      <c r="C46" s="13"/>
      <c r="D46" s="18" t="s">
        <v>93</v>
      </c>
      <c r="E46" s="16" t="s">
        <v>107</v>
      </c>
      <c r="F46" s="66">
        <v>375000</v>
      </c>
      <c r="G46" s="67">
        <v>446454</v>
      </c>
      <c r="H46" s="67"/>
      <c r="I46" s="68">
        <v>4989</v>
      </c>
      <c r="J46" s="66">
        <v>0</v>
      </c>
      <c r="K46" s="67">
        <v>2045</v>
      </c>
      <c r="L46" s="68">
        <v>38</v>
      </c>
      <c r="M46" s="71">
        <f t="shared" si="22"/>
        <v>375000</v>
      </c>
      <c r="N46" s="71">
        <f t="shared" si="23"/>
        <v>448499</v>
      </c>
      <c r="O46" s="68">
        <f t="shared" si="24"/>
        <v>5027</v>
      </c>
      <c r="P46" s="69">
        <v>5184</v>
      </c>
      <c r="Q46" s="20">
        <f t="shared" si="25"/>
        <v>0.9697145061728395</v>
      </c>
      <c r="R46" s="41">
        <f t="shared" si="26"/>
        <v>89.218022677541271</v>
      </c>
      <c r="S46" s="68">
        <v>764</v>
      </c>
      <c r="T46" s="68">
        <v>993</v>
      </c>
      <c r="U46" s="68">
        <f t="shared" si="27"/>
        <v>1757</v>
      </c>
    </row>
    <row r="47" spans="1:21" ht="12.75" customHeight="1" x14ac:dyDescent="0.2">
      <c r="A47" s="16" t="s">
        <v>98</v>
      </c>
      <c r="B47" s="13"/>
      <c r="C47" s="13"/>
      <c r="D47" s="18" t="s">
        <v>99</v>
      </c>
      <c r="E47" s="16" t="s">
        <v>106</v>
      </c>
      <c r="F47" s="66">
        <v>100000</v>
      </c>
      <c r="G47" s="67">
        <v>103705</v>
      </c>
      <c r="H47" s="67"/>
      <c r="I47" s="68">
        <v>1383</v>
      </c>
      <c r="J47" s="66">
        <v>0</v>
      </c>
      <c r="K47" s="67">
        <v>0</v>
      </c>
      <c r="L47" s="68">
        <v>22</v>
      </c>
      <c r="M47" s="71">
        <f t="shared" si="22"/>
        <v>100000</v>
      </c>
      <c r="N47" s="71">
        <f t="shared" si="23"/>
        <v>103705</v>
      </c>
      <c r="O47" s="68">
        <f t="shared" si="24"/>
        <v>1405</v>
      </c>
      <c r="P47" s="69">
        <v>1575</v>
      </c>
      <c r="Q47" s="20">
        <f t="shared" si="25"/>
        <v>0.89206349206349211</v>
      </c>
      <c r="R47" s="41">
        <f t="shared" si="26"/>
        <v>73.811387900355868</v>
      </c>
      <c r="S47" s="68">
        <v>168</v>
      </c>
      <c r="T47" s="68">
        <v>441</v>
      </c>
      <c r="U47" s="68">
        <f t="shared" si="27"/>
        <v>609</v>
      </c>
    </row>
    <row r="48" spans="1:21" ht="12.75" customHeight="1" x14ac:dyDescent="0.2">
      <c r="A48" s="54" t="s">
        <v>135</v>
      </c>
      <c r="B48" s="63"/>
      <c r="C48" s="63"/>
      <c r="D48" s="85" t="s">
        <v>134</v>
      </c>
      <c r="E48" s="54" t="s">
        <v>138</v>
      </c>
      <c r="F48" s="49">
        <v>150000</v>
      </c>
      <c r="G48" s="50">
        <v>207240</v>
      </c>
      <c r="H48" s="50"/>
      <c r="I48" s="51">
        <v>2434</v>
      </c>
      <c r="J48" s="49"/>
      <c r="K48" s="50"/>
      <c r="L48" s="51"/>
      <c r="M48" s="64"/>
      <c r="N48" s="64">
        <v>207240</v>
      </c>
      <c r="O48" s="51">
        <v>2434</v>
      </c>
      <c r="P48" s="52">
        <v>2468</v>
      </c>
      <c r="Q48" s="65">
        <v>0.99</v>
      </c>
      <c r="R48" s="86">
        <v>85.14</v>
      </c>
      <c r="S48" s="51">
        <v>742</v>
      </c>
      <c r="T48" s="51">
        <v>257</v>
      </c>
      <c r="U48" s="51">
        <f t="shared" si="27"/>
        <v>999</v>
      </c>
    </row>
    <row r="49" spans="1:21" ht="12.75" customHeight="1" thickBot="1" x14ac:dyDescent="0.25">
      <c r="A49" s="16" t="s">
        <v>94</v>
      </c>
      <c r="B49" s="13"/>
      <c r="C49" s="13"/>
      <c r="D49" s="16" t="s">
        <v>95</v>
      </c>
      <c r="E49" s="16" t="s">
        <v>25</v>
      </c>
      <c r="F49" s="32">
        <v>350000</v>
      </c>
      <c r="G49" s="33">
        <v>363817</v>
      </c>
      <c r="H49" s="33"/>
      <c r="I49" s="25">
        <v>1555</v>
      </c>
      <c r="J49" s="32">
        <v>0</v>
      </c>
      <c r="K49" s="33">
        <v>0</v>
      </c>
      <c r="L49" s="25">
        <v>0</v>
      </c>
      <c r="M49" s="40">
        <f t="shared" si="22"/>
        <v>350000</v>
      </c>
      <c r="N49" s="40">
        <f t="shared" si="23"/>
        <v>363817</v>
      </c>
      <c r="O49" s="25">
        <f t="shared" si="24"/>
        <v>1555</v>
      </c>
      <c r="P49" s="42">
        <v>1575</v>
      </c>
      <c r="Q49" s="21">
        <f t="shared" si="25"/>
        <v>0.98730158730158735</v>
      </c>
      <c r="R49" s="10">
        <f t="shared" si="26"/>
        <v>233.96591639871383</v>
      </c>
      <c r="S49" s="25">
        <v>58</v>
      </c>
      <c r="T49" s="25">
        <v>690</v>
      </c>
      <c r="U49" s="25">
        <f t="shared" si="27"/>
        <v>748</v>
      </c>
    </row>
    <row r="50" spans="1:21" ht="15.95" customHeight="1" thickBot="1" x14ac:dyDescent="0.25">
      <c r="A50" s="3" t="s">
        <v>9</v>
      </c>
      <c r="B50" s="4"/>
      <c r="C50" s="4"/>
      <c r="D50" s="4"/>
      <c r="E50" s="4"/>
      <c r="F50" s="35">
        <f t="shared" ref="F50:P50" si="28">SUM(F37:F49)</f>
        <v>2583000</v>
      </c>
      <c r="G50" s="39">
        <f t="shared" si="28"/>
        <v>2790815</v>
      </c>
      <c r="H50" s="39">
        <v>207815</v>
      </c>
      <c r="I50" s="27">
        <f t="shared" si="28"/>
        <v>35171</v>
      </c>
      <c r="J50" s="35">
        <f t="shared" si="28"/>
        <v>0</v>
      </c>
      <c r="K50" s="39">
        <f t="shared" si="28"/>
        <v>10948</v>
      </c>
      <c r="L50" s="27">
        <f t="shared" si="28"/>
        <v>321</v>
      </c>
      <c r="M50" s="35">
        <f t="shared" si="28"/>
        <v>2433000</v>
      </c>
      <c r="N50" s="39">
        <f t="shared" si="28"/>
        <v>2801763</v>
      </c>
      <c r="O50" s="27">
        <f t="shared" si="28"/>
        <v>35492</v>
      </c>
      <c r="P50" s="43">
        <f t="shared" si="28"/>
        <v>37961</v>
      </c>
      <c r="Q50" s="28">
        <f>O50/P50</f>
        <v>0.9349595637628092</v>
      </c>
      <c r="R50" s="31">
        <f t="shared" si="26"/>
        <v>78.940690859912095</v>
      </c>
      <c r="S50" s="43">
        <f>SUM(S37:S47)</f>
        <v>4789</v>
      </c>
      <c r="T50" s="43">
        <f t="shared" ref="T50:U50" si="29">SUM(T37:T47)</f>
        <v>6685</v>
      </c>
      <c r="U50" s="43">
        <f t="shared" si="29"/>
        <v>11474</v>
      </c>
    </row>
    <row r="51" spans="1:21" ht="15.95" customHeight="1" thickBot="1" x14ac:dyDescent="0.25">
      <c r="A51" s="3" t="s">
        <v>5</v>
      </c>
      <c r="B51" s="4"/>
      <c r="C51" s="4"/>
      <c r="D51" s="4"/>
      <c r="E51" s="4"/>
      <c r="F51" s="35">
        <f>SUM(F20,F28,F35,F50)</f>
        <v>4356000</v>
      </c>
      <c r="G51" s="39">
        <f t="shared" ref="G51" si="30">SUM(G20,G28,G35,G50)</f>
        <v>4792527</v>
      </c>
      <c r="H51" s="39">
        <v>436527</v>
      </c>
      <c r="I51" s="27">
        <f>SUM(I20,I28,I35,I50)</f>
        <v>68387</v>
      </c>
      <c r="J51" s="35">
        <f>SUM(J20,J28,J35,J50)</f>
        <v>2438000</v>
      </c>
      <c r="K51" s="39">
        <f t="shared" ref="K51" si="31">SUM(K20,K28,K35,K50)</f>
        <v>2339127</v>
      </c>
      <c r="L51" s="27">
        <f>SUM(L20,L28,L35,L50)</f>
        <v>41534</v>
      </c>
      <c r="M51" s="35">
        <f>SUM(M20,M28,M35,M50)</f>
        <v>6644000</v>
      </c>
      <c r="N51" s="39">
        <f t="shared" ref="N51" si="32">SUM(N20,N28,N35,N50)</f>
        <v>7131654</v>
      </c>
      <c r="O51" s="27">
        <f>SUM(O20,O28,O35,O50)</f>
        <v>109921</v>
      </c>
      <c r="P51" s="43">
        <f>SUM(P20,P28,P35,P50)</f>
        <v>139217</v>
      </c>
      <c r="Q51" s="28">
        <f>O51/P51</f>
        <v>0.78956592944827142</v>
      </c>
      <c r="R51" s="31">
        <f t="shared" si="26"/>
        <v>64.879813684373318</v>
      </c>
      <c r="S51" s="43">
        <f>SUM(S20,S28,S35,S50)</f>
        <v>9615</v>
      </c>
      <c r="T51" s="43">
        <f t="shared" ref="T51:U51" si="33">SUM(T20,T28,T35,T50)</f>
        <v>37530</v>
      </c>
      <c r="U51" s="43">
        <f t="shared" si="33"/>
        <v>47145</v>
      </c>
    </row>
    <row r="52" spans="1:21" ht="12.75" customHeight="1" x14ac:dyDescent="0.2">
      <c r="A52" s="76"/>
      <c r="B52" s="76"/>
      <c r="C52" s="76"/>
      <c r="D52" s="76"/>
      <c r="E52" s="76"/>
      <c r="F52" s="76"/>
      <c r="G52" s="76"/>
      <c r="T52" s="6"/>
    </row>
    <row r="53" spans="1:21" ht="15.75" x14ac:dyDescent="0.25">
      <c r="A53" s="78" t="s">
        <v>139</v>
      </c>
      <c r="B53" s="76"/>
      <c r="C53" s="76"/>
      <c r="D53" s="76"/>
      <c r="E53" s="76"/>
      <c r="F53" s="76"/>
      <c r="G53" s="76"/>
    </row>
    <row r="54" spans="1:21" x14ac:dyDescent="0.2">
      <c r="A54" s="16"/>
    </row>
    <row r="55" spans="1:21" x14ac:dyDescent="0.2">
      <c r="A55" s="76"/>
      <c r="B55" s="76"/>
      <c r="C55" s="76"/>
      <c r="D55" s="76"/>
      <c r="E55" s="76"/>
      <c r="F55" s="76"/>
      <c r="G55" s="76"/>
    </row>
    <row r="56" spans="1:21" x14ac:dyDescent="0.2">
      <c r="A56" s="77"/>
      <c r="B56" s="76"/>
      <c r="C56" s="76"/>
      <c r="D56" s="76"/>
      <c r="E56" s="76"/>
      <c r="F56" s="76"/>
      <c r="G56" s="76"/>
    </row>
  </sheetData>
  <mergeCells count="5">
    <mergeCell ref="F3:I3"/>
    <mergeCell ref="J3:L3"/>
    <mergeCell ref="M3:O3"/>
    <mergeCell ref="S3:U3"/>
    <mergeCell ref="P3:R3"/>
  </mergeCells>
  <phoneticPr fontId="4" type="noConversion"/>
  <pageMargins left="0" right="0" top="0.25" bottom="0.25" header="0.5" footer="0.5"/>
  <pageSetup scale="68" orientation="landscape" r:id="rId1"/>
  <headerFooter alignWithMargins="0"/>
  <ignoredErrors>
    <ignoredError sqref="D27" twoDigitTextYea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2023-10-23T18:58:03Z</cp:lastPrinted>
  <dcterms:created xsi:type="dcterms:W3CDTF">2005-10-20T22:05:14Z</dcterms:created>
  <dcterms:modified xsi:type="dcterms:W3CDTF">2024-05-13T13:49:53Z</dcterms:modified>
</cp:coreProperties>
</file>