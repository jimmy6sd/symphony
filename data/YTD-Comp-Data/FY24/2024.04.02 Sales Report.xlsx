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607" documentId="8_{3E45E35C-2B2D-406E-9F95-3D7D9FC84DC2}" xr6:coauthVersionLast="47" xr6:coauthVersionMax="47" xr10:uidLastSave="{68AAEA46-87A4-4CC7-BDDF-C4243D4CB3CC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<sst xmlns="http://schemas.openxmlformats.org/spreadsheetml/2006/main" count="163" uniqueCount="139">
  <si>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</si>
  <si>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</si>
  <si>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</si>
  <si>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</si>
  <si>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</si>
  <si>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</si>
  <si>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</si>
  <si>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</si>
  <si>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</si>
  <si>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</si>
  <si>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</si>
  <si>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</si>
  <si>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</si>
  <si>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</si>
  <si>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</si>
  <si>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</si>
  <si>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</si>
  <si>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</si>
  <si>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</si>
  <si>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</si>
  <si>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</si>
  <si>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</si>
  <si>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</si>
  <si>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</si>
  <si>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</si>
  <si>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</si>
  <si>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</si>
  <si>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</si>
  <si>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</si>
  <si>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</si>
  <si>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</si>
  <si>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</si>
  <si>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</si>
  <si>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</si>
  <si>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</si>
  <si>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</si>
  <si>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</si>
  <si>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</si>
  <si>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</si>
  <si>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</si>
  <si>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</si>
  <si>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</si>
  <si>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</si>
  <si>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</si>
  <si>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</si>
  <si>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</si>
  <si>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</si>
  <si>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</si>
  <si>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</si>
  <si>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</si>
  <si>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</si>
  <si>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</si>
  <si>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</si>
  <si>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</si>
  <si>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</si>
  <si>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</si>
  <si>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</si>
  <si>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</si>
  <si>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</si>
  <si>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</si>
  <si>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</si>
  <si>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</si>
  <si>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</si>
  <si>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</si>
  <si>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</si>
  <si>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</si>
  <si>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</si>
  <si>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</si>
  <si>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</si>
  <si>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</si>
  <si>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</si>
  <si>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</si>
  <si>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</si>
  <si>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</si>
  <si>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</si>
  <si>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</si>
  <si>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</si>
  <si>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</si>
  <si>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</si>
  <si>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</si>
  <si>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</si>
  <si>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</si>
  <si>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</si>
  <si>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</si>
  <si>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</si>
  <si>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</si>
  <si>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</si>
  <si>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</si>
  <si>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</si>
  <si>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</si>
  <si>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</si>
  <si>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</si>
  <si>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</si>
  <si>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</si>
  <si>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</si>
  <si>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</si>
  <si>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</si>
  <si>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</si>
  <si>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</si>
  <si>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</si>
  <si>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</si>
  <si>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</si>
  <si>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</si>
  <si>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</si>
  <si>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</si>
  <si>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</si>
  <si>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</si>
  <si>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</si>
  <si>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</si>
  <si>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</si>
  <si>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</si>
  <si>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</si>
  <si>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</si>
  <si>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</si>
  <si>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</si>
  <si>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</si>
  <si>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</si>
  <si>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</si>
  <si>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</si>
  <si>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</si>
  <si>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</si>
  <si>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</si>
  <si>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</si>
  <si>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</si>
  <si>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</si>
  <si>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</si>
  <si>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</si>
  <si>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</si>
  <si>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</si>
  <si>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</si>
  <si>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</si>
  <si>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</si>
  <si>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</si>
  <si>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</si>
  <si>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</si>
  <si>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</si>
  <si>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</si>
  <si>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</si>
  <si>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$68,639;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</si>
</sst>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2" workbookViewId="0">
      <selection activeCell="W40" sqref="W40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45383</v>
      </c>
    </row>
    <row r="2" spans="1:21" x14ac:dyDescent="0.2">
      <c r="A2" s="9"/>
      <c r="E2" s="13" t="s">
        <v>27</v>
      </c>
    </row>
    <row r="3" spans="1:21" x14ac:dyDescent="0.2">
      <c r="E3" s="16"/>
      <c r="F3" s="89" t="s">
        <v>115</v>
      </c>
      <c r="G3" s="89"/>
      <c r="H3" s="89"/>
      <c r="I3" s="89"/>
      <c r="J3" s="90" t="s">
        <v>116</v>
      </c>
      <c r="K3" s="90"/>
      <c r="L3" s="90"/>
      <c r="M3" s="91" t="s">
        <v>117</v>
      </c>
      <c r="N3" s="91"/>
      <c r="O3" s="91"/>
      <c r="P3" s="93" t="s">
        <v>124</v>
      </c>
      <c r="Q3" s="93"/>
      <c r="R3" s="93"/>
      <c r="S3" s="92" t="s">
        <v>130</v>
      </c>
      <c r="T3" s="92"/>
      <c r="U3" s="92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4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4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4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4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5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5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4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4">
        <v>1640</v>
      </c>
      <c r="U13" s="68">
        <f t="shared" si="5"/>
        <v>1825</v>
      </c>
    </row>
    <row r="14" spans="1:21" x14ac:dyDescent="0.2">
      <c r="A14" s="48" t="s">
        <v>18</v>
      </c>
      <c r="B14" s="48" t="s">
        <v>102</v>
      </c>
      <c r="C14" s="48"/>
      <c r="D14" s="54" t="s">
        <v>48</v>
      </c>
      <c r="E14" s="48" t="s">
        <v>103</v>
      </c>
      <c r="F14" s="49">
        <v>40000</v>
      </c>
      <c r="G14" s="50">
        <v>54823</v>
      </c>
      <c r="H14" s="50"/>
      <c r="I14" s="51">
        <v>1721</v>
      </c>
      <c r="J14" s="49">
        <v>125217</v>
      </c>
      <c r="K14" s="50">
        <v>121572</v>
      </c>
      <c r="L14" s="51">
        <v>2183</v>
      </c>
      <c r="M14" s="49">
        <f t="shared" si="0"/>
        <v>165217</v>
      </c>
      <c r="N14" s="50">
        <f t="shared" si="1"/>
        <v>176395</v>
      </c>
      <c r="O14" s="51">
        <f t="shared" si="2"/>
        <v>3904</v>
      </c>
      <c r="P14" s="52">
        <v>4725</v>
      </c>
      <c r="Q14" s="65">
        <f t="shared" si="4"/>
        <v>0.82624338624338622</v>
      </c>
      <c r="R14" s="53">
        <f t="shared" si="3"/>
        <v>45.18314549180328</v>
      </c>
      <c r="S14" s="51">
        <v>199</v>
      </c>
      <c r="T14" s="86">
        <v>1857</v>
      </c>
      <c r="U14" s="51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38142</v>
      </c>
      <c r="H15" s="33"/>
      <c r="I15" s="25">
        <v>681</v>
      </c>
      <c r="J15" s="32">
        <v>125217</v>
      </c>
      <c r="K15" s="33">
        <v>117470</v>
      </c>
      <c r="L15" s="25">
        <v>2082</v>
      </c>
      <c r="M15" s="32">
        <f t="shared" si="0"/>
        <v>160217</v>
      </c>
      <c r="N15" s="33">
        <f t="shared" si="1"/>
        <v>155612</v>
      </c>
      <c r="O15" s="25">
        <f t="shared" si="2"/>
        <v>2763</v>
      </c>
      <c r="P15" s="42">
        <v>4725</v>
      </c>
      <c r="Q15" s="20">
        <f t="shared" si="4"/>
        <v>0.58476190476190482</v>
      </c>
      <c r="R15" s="29">
        <f t="shared" si="3"/>
        <v>56.319942091929065</v>
      </c>
      <c r="S15" s="25">
        <v>80</v>
      </c>
      <c r="T15" s="85">
        <v>1395</v>
      </c>
      <c r="U15" s="25">
        <f t="shared" si="5"/>
        <v>1475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25792</v>
      </c>
      <c r="H16" s="33"/>
      <c r="I16" s="25">
        <v>495</v>
      </c>
      <c r="J16" s="32">
        <v>125217</v>
      </c>
      <c r="K16" s="33">
        <v>126612</v>
      </c>
      <c r="L16" s="25">
        <v>2249</v>
      </c>
      <c r="M16" s="32">
        <f t="shared" si="0"/>
        <v>170217</v>
      </c>
      <c r="N16" s="33">
        <f t="shared" si="1"/>
        <v>152404</v>
      </c>
      <c r="O16" s="25">
        <f t="shared" si="2"/>
        <v>2744</v>
      </c>
      <c r="P16" s="42">
        <v>4725</v>
      </c>
      <c r="Q16" s="20">
        <f t="shared" si="4"/>
        <v>0.58074074074074078</v>
      </c>
      <c r="R16" s="29">
        <f t="shared" si="3"/>
        <v>55.54081632653061</v>
      </c>
      <c r="S16" s="25">
        <v>44</v>
      </c>
      <c r="T16" s="85">
        <v>1392</v>
      </c>
      <c r="U16" s="25">
        <f t="shared" si="5"/>
        <v>1436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36963</v>
      </c>
      <c r="H17" s="33"/>
      <c r="I17" s="25">
        <v>584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157309</v>
      </c>
      <c r="O17" s="25">
        <f t="shared" si="2"/>
        <v>2674</v>
      </c>
      <c r="P17" s="42">
        <v>4725</v>
      </c>
      <c r="Q17" s="20">
        <f t="shared" si="4"/>
        <v>0.56592592592592594</v>
      </c>
      <c r="R17" s="29">
        <f t="shared" si="3"/>
        <v>58.829094988780852</v>
      </c>
      <c r="S17" s="25">
        <v>62</v>
      </c>
      <c r="T17" s="85">
        <v>1347</v>
      </c>
      <c r="U17" s="25">
        <f t="shared" si="5"/>
        <v>1409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30708</v>
      </c>
      <c r="H18" s="33"/>
      <c r="I18" s="25">
        <v>506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152582</v>
      </c>
      <c r="O18" s="25">
        <f t="shared" si="2"/>
        <v>2649</v>
      </c>
      <c r="P18" s="42">
        <v>4254</v>
      </c>
      <c r="Q18" s="20">
        <f t="shared" si="4"/>
        <v>0.62270803949224263</v>
      </c>
      <c r="R18" s="29">
        <f t="shared" si="3"/>
        <v>57.599848999622502</v>
      </c>
      <c r="S18" s="25">
        <v>54</v>
      </c>
      <c r="T18" s="85">
        <v>1330</v>
      </c>
      <c r="U18" s="25">
        <f t="shared" si="5"/>
        <v>1384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34278</v>
      </c>
      <c r="H19" s="34"/>
      <c r="I19" s="26">
        <v>511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157331</v>
      </c>
      <c r="O19" s="26">
        <f t="shared" si="2"/>
        <v>2640</v>
      </c>
      <c r="P19" s="45">
        <v>4725</v>
      </c>
      <c r="Q19" s="21">
        <f t="shared" si="4"/>
        <v>0.55873015873015874</v>
      </c>
      <c r="R19" s="30">
        <f t="shared" si="3"/>
        <v>59.595075757575756</v>
      </c>
      <c r="S19" s="25">
        <v>23</v>
      </c>
      <c r="T19" s="85">
        <v>1356</v>
      </c>
      <c r="U19" s="25">
        <f t="shared" si="5"/>
        <v>1379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610522</v>
      </c>
      <c r="H20" s="77">
        <v>5478</v>
      </c>
      <c r="I20" s="23">
        <f t="shared" si="6"/>
        <v>12764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29698</v>
      </c>
      <c r="M20" s="35">
        <f>SUM(M6:M19)</f>
        <v>2369000</v>
      </c>
      <c r="N20" s="35">
        <f t="shared" ref="N20" si="9">SUM(N6:N19)</f>
        <v>2299724</v>
      </c>
      <c r="O20" s="23">
        <f t="shared" ref="O20" si="10">SUM(O6:O19)</f>
        <v>42462</v>
      </c>
      <c r="P20" s="43">
        <f>SUM(P6:P19)</f>
        <v>65208</v>
      </c>
      <c r="Q20" s="28">
        <f>O20/P20</f>
        <v>0.65117776959882223</v>
      </c>
      <c r="R20" s="24">
        <f t="shared" si="3"/>
        <v>54.159577975601714</v>
      </c>
      <c r="S20" s="43">
        <f>SUM(S6:S19)</f>
        <v>1831</v>
      </c>
      <c r="T20" s="43">
        <f>SUM(T6:T19)</f>
        <v>20615</v>
      </c>
      <c r="U20" s="43">
        <f>SUM(U6:U19)</f>
        <v>22446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2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7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7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3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52823</v>
      </c>
      <c r="H27" s="67"/>
      <c r="I27" s="25">
        <v>731</v>
      </c>
      <c r="J27" s="32">
        <v>128000</v>
      </c>
      <c r="K27" s="47">
        <v>120177</v>
      </c>
      <c r="L27" s="25">
        <v>1906</v>
      </c>
      <c r="M27" s="40">
        <f t="shared" si="11"/>
        <v>253000</v>
      </c>
      <c r="N27" s="40">
        <f t="shared" si="11"/>
        <v>173000</v>
      </c>
      <c r="O27" s="25">
        <f>I27+L27</f>
        <v>2637</v>
      </c>
      <c r="P27" s="42">
        <v>4707</v>
      </c>
      <c r="Q27" s="21">
        <f t="shared" si="12"/>
        <v>0.56022944550669218</v>
      </c>
      <c r="R27" s="10">
        <f t="shared" si="13"/>
        <v>65.604854000758436</v>
      </c>
      <c r="S27" s="25">
        <v>100</v>
      </c>
      <c r="T27" s="25">
        <v>1113</v>
      </c>
      <c r="U27" s="25">
        <f t="shared" si="14"/>
        <v>1213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687402</v>
      </c>
      <c r="H28" s="78">
        <v>32598</v>
      </c>
      <c r="I28" s="27">
        <f t="shared" si="15"/>
        <v>8680</v>
      </c>
      <c r="J28" s="35">
        <f t="shared" si="15"/>
        <v>640000</v>
      </c>
      <c r="K28" s="39">
        <f t="shared" si="15"/>
        <v>593877</v>
      </c>
      <c r="L28" s="27">
        <f t="shared" si="15"/>
        <v>9226</v>
      </c>
      <c r="M28" s="35">
        <f t="shared" si="15"/>
        <v>1360000</v>
      </c>
      <c r="N28" s="39">
        <f t="shared" si="15"/>
        <v>1281279</v>
      </c>
      <c r="O28" s="27">
        <f t="shared" si="15"/>
        <v>17906</v>
      </c>
      <c r="P28" s="43">
        <f t="shared" si="15"/>
        <v>23535</v>
      </c>
      <c r="Q28" s="28">
        <f>O28/P28</f>
        <v>0.76082430422774594</v>
      </c>
      <c r="R28" s="31">
        <f t="shared" si="13"/>
        <v>71.555847202055176</v>
      </c>
      <c r="S28" s="43">
        <f>SUM(S23:S27)</f>
        <v>1517</v>
      </c>
      <c r="T28" s="43">
        <f t="shared" ref="T28:U28" si="16">SUM(T23:T27)</f>
        <v>6459</v>
      </c>
      <c r="U28" s="43">
        <f t="shared" si="16"/>
        <v>7976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8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110</v>
      </c>
      <c r="T45" s="51">
        <v>325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425795</v>
      </c>
      <c r="H46" s="33"/>
      <c r="I46" s="25">
        <v>4793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427840</v>
      </c>
      <c r="O46" s="25">
        <f t="shared" si="24"/>
        <v>4831</v>
      </c>
      <c r="P46" s="42">
        <v>5184</v>
      </c>
      <c r="Q46" s="20">
        <f t="shared" si="25"/>
        <v>0.93190586419753085</v>
      </c>
      <c r="R46" s="29">
        <f t="shared" si="26"/>
        <v>88.56137445663424</v>
      </c>
      <c r="S46" s="25">
        <v>700</v>
      </c>
      <c r="T46" s="25">
        <v>961</v>
      </c>
      <c r="U46" s="25">
        <f t="shared" si="27"/>
        <v>1661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85927</v>
      </c>
      <c r="H47" s="33"/>
      <c r="I47" s="25">
        <v>1044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85927</v>
      </c>
      <c r="O47" s="25">
        <f t="shared" si="24"/>
        <v>1044</v>
      </c>
      <c r="P47" s="42">
        <v>1575</v>
      </c>
      <c r="Q47" s="20">
        <f t="shared" si="25"/>
        <v>0.66285714285714281</v>
      </c>
      <c r="R47" s="29">
        <f t="shared" si="26"/>
        <v>82.305555555555557</v>
      </c>
      <c r="S47" s="25">
        <v>65</v>
      </c>
      <c r="T47" s="25">
        <v>319</v>
      </c>
      <c r="U47" s="25">
        <f t="shared" si="27"/>
        <v>384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201052</v>
      </c>
      <c r="H48" s="33"/>
      <c r="I48" s="25">
        <v>2374</v>
      </c>
      <c r="J48" s="32"/>
      <c r="K48" s="33"/>
      <c r="L48" s="25"/>
      <c r="M48" s="40"/>
      <c r="N48" s="40">
        <v>201052</v>
      </c>
      <c r="O48" s="25">
        <v>2374</v>
      </c>
      <c r="P48" s="42">
        <v>2468</v>
      </c>
      <c r="Q48" s="20">
        <v>0.96</v>
      </c>
      <c r="R48" s="76">
        <v>86.29</v>
      </c>
      <c r="S48" s="25">
        <v>718</v>
      </c>
      <c r="T48" s="25">
        <v>246</v>
      </c>
      <c r="U48" s="25">
        <f t="shared" si="27"/>
        <v>964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347259</v>
      </c>
      <c r="H49" s="33"/>
      <c r="I49" s="25">
        <v>1506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347259</v>
      </c>
      <c r="O49" s="25">
        <f t="shared" si="24"/>
        <v>1506</v>
      </c>
      <c r="P49" s="42">
        <v>1575</v>
      </c>
      <c r="Q49" s="21">
        <f t="shared" si="25"/>
        <v>0.95619047619047615</v>
      </c>
      <c r="R49" s="10">
        <f t="shared" si="26"/>
        <v>230.58366533864543</v>
      </c>
      <c r="S49" s="25">
        <v>57</v>
      </c>
      <c r="T49" s="25">
        <v>695</v>
      </c>
      <c r="U49" s="25">
        <f t="shared" si="27"/>
        <v>752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2729632</v>
      </c>
      <c r="H50" s="39">
        <v>146632</v>
      </c>
      <c r="I50" s="27">
        <f t="shared" si="28"/>
        <v>34527</v>
      </c>
      <c r="J50" s="35">
        <f t="shared" si="28"/>
        <v>0</v>
      </c>
      <c r="K50" s="39">
        <f t="shared" si="28"/>
        <v>10948</v>
      </c>
      <c r="L50" s="27">
        <f t="shared" si="28"/>
        <v>299</v>
      </c>
      <c r="M50" s="35">
        <f t="shared" si="28"/>
        <v>2433000</v>
      </c>
      <c r="N50" s="39">
        <f t="shared" si="28"/>
        <v>2740580</v>
      </c>
      <c r="O50" s="27">
        <f t="shared" si="28"/>
        <v>34826</v>
      </c>
      <c r="P50" s="43">
        <f t="shared" si="28"/>
        <v>37961</v>
      </c>
      <c r="Q50" s="28">
        <f>O50/P50</f>
        <v>0.91741524195885249</v>
      </c>
      <c r="R50" s="31">
        <f t="shared" si="26"/>
        <v>78.693504852696265</v>
      </c>
      <c r="S50" s="43">
        <f>SUM(S37:S47)</f>
        <v>4622</v>
      </c>
      <c r="T50" s="43">
        <f t="shared" ref="T50:U50" si="29">SUM(T37:T47)</f>
        <v>6531</v>
      </c>
      <c r="U50" s="43">
        <f t="shared" si="29"/>
        <v>11153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4541119</v>
      </c>
      <c r="H51" s="39">
        <v>185119</v>
      </c>
      <c r="I51" s="27">
        <f>SUM(I20,I28,I35,I50)</f>
        <v>64461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41473</v>
      </c>
      <c r="M51" s="35">
        <f>SUM(M20,M28,M35,M50)</f>
        <v>6644000</v>
      </c>
      <c r="N51" s="39">
        <f t="shared" ref="N51" si="32">SUM(N20,N28,N35,N50)</f>
        <v>6880246</v>
      </c>
      <c r="O51" s="27">
        <f>SUM(O20,O28,O35,O50)</f>
        <v>105934</v>
      </c>
      <c r="P51" s="43">
        <f>SUM(P20,P28,P35,P50)</f>
        <v>139670</v>
      </c>
      <c r="Q51" s="28">
        <f>O51/P51</f>
        <v>0.7584592253168182</v>
      </c>
      <c r="R51" s="31">
        <f t="shared" si="26"/>
        <v>64.948420714784675</v>
      </c>
      <c r="S51" s="43">
        <f>SUM(S20,S28,S35,S50)</f>
        <v>8925</v>
      </c>
      <c r="T51" s="43">
        <f t="shared" ref="T51:U51" si="33">SUM(T20,T28,T35,T50)</f>
        <v>36237</v>
      </c>
      <c r="U51" s="43">
        <f t="shared" si="33"/>
        <v>45162</v>
      </c>
    </row>
    <row r="52" spans="1:21" ht="12.75" customHeight="1" x14ac:dyDescent="0.2">
      <c r="A52" s="79"/>
      <c r="B52" s="79"/>
      <c r="C52" s="79"/>
      <c r="D52" s="79"/>
      <c r="E52" s="79"/>
      <c r="F52" s="79"/>
      <c r="G52" s="79"/>
      <c r="T52" s="6"/>
    </row>
    <row r="53" spans="1:21" ht="15.75" x14ac:dyDescent="0.25">
      <c r="A53" s="81" t="s">
        <v>138</v>
      </c>
      <c r="B53" s="79"/>
      <c r="C53" s="79"/>
      <c r="D53" s="79"/>
      <c r="E53" s="79"/>
      <c r="F53" s="79"/>
      <c r="G53" s="79"/>
    </row>
    <row r="54" spans="1:21" x14ac:dyDescent="0.2">
      <c r="A54" s="16"/>
    </row>
    <row r="55" spans="1:21" x14ac:dyDescent="0.2">
      <c r="A55" s="79"/>
      <c r="B55" s="79"/>
      <c r="C55" s="79"/>
      <c r="D55" s="79"/>
      <c r="E55" s="79"/>
      <c r="F55" s="79"/>
      <c r="G55" s="79"/>
    </row>
    <row r="56" spans="1:21" x14ac:dyDescent="0.2">
      <c r="A56" s="80"/>
      <c r="B56" s="79"/>
      <c r="C56" s="79"/>
      <c r="D56" s="79"/>
      <c r="E56" s="79"/>
      <c r="F56" s="79"/>
      <c r="G56" s="79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2024-04-01T14:54:17Z</dcterms:modified>
</cp:coreProperties>
</file>