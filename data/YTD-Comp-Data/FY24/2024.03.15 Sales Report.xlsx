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377" documentId="8_{3E45E35C-2B2D-406E-9F95-3D7D9FC84DC2}" xr6:coauthVersionLast="47" xr6:coauthVersionMax="47" xr10:uidLastSave="{92A08B9D-4654-41EE-B838-E406FCD7157D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<sst xmlns="http://schemas.openxmlformats.org/spreadsheetml/2006/main" count="163" uniqueCount="139">
  <si>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</si>
  <si>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</si>
  <si>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</si>
  <si>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</si>
  <si>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</si>
  <si>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</si>
  <si>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</si>
  <si>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</si>
  <si>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</si>
  <si>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</si>
  <si>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</si>
  <si>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</si>
  <si>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</si>
  <si>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</si>
  <si>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</si>
  <si>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</si>
  <si>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</si>
  <si>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</si>
  <si>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</si>
  <si>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</si>
  <si>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</si>
  <si>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</si>
  <si>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</si>
  <si>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</si>
  <si>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</si>
  <si>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</si>
  <si>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</si>
  <si>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</si>
  <si>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</si>
  <si>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</si>
  <si>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</si>
  <si>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</si>
  <si>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</si>
  <si>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</si>
  <si>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</si>
  <si>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</si>
  <si>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</si>
  <si>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</si>
  <si>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</si>
  <si>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</si>
  <si>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</si>
  <si>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</si>
  <si>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</si>
  <si>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</si>
  <si>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</si>
  <si>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</si>
  <si>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</si>
  <si>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</si>
  <si>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</si>
  <si>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</si>
  <si>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</si>
  <si>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</si>
  <si>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</si>
  <si>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</si>
  <si>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</si>
  <si>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</si>
  <si>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</si>
  <si>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</si>
  <si>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</si>
  <si>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</si>
  <si>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</si>
  <si>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</si>
  <si>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</si>
  <si>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</si>
  <si>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</si>
  <si>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</si>
  <si>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</si>
  <si>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</si>
  <si>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</si>
  <si>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</si>
  <si>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</si>
  <si>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</si>
  <si>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</si>
  <si>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</si>
  <si>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</si>
  <si>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</si>
  <si>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</si>
  <si>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</si>
  <si>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</si>
  <si>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</si>
  <si>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</si>
  <si>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</si>
  <si>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</si>
  <si>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</si>
  <si>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</si>
  <si>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</si>
  <si>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</si>
  <si>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</si>
  <si>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</si>
  <si>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</si>
  <si>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</si>
  <si>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</si>
  <si>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</si>
  <si>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</si>
  <si>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</si>
  <si>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</si>
  <si>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</si>
  <si>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</si>
  <si>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</si>
  <si>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</si>
  <si>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</si>
  <si>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</si>
  <si>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</si>
  <si>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</si>
  <si>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</si>
  <si>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</si>
  <si>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</si>
  <si>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</si>
  <si>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</si>
  <si>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</si>
  <si>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</si>
  <si>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</si>
  <si>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</si>
  <si>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</si>
  <si>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</si>
  <si>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</si>
  <si>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</si>
  <si>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</si>
  <si>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</si>
  <si>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</si>
  <si>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</si>
  <si>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</si>
  <si>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</si>
  <si>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</si>
  <si>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</si>
  <si>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</si>
  <si>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</si>
  <si>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</si>
  <si>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</si>
  <si>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</si>
  <si>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</si>
  <si>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</si>
  <si>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</si>
  <si>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</si>
  <si>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</si>
  <si>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</si>
  <si>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</si>
  <si>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</si>
  <si>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$53,816; for Pops $39,579; FINAL for Family $76,563; and Other Concerts $100,939.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</si>
</sst>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15" workbookViewId="0">
      <selection activeCell="W43" sqref="W43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45366</v>
      </c>
    </row>
    <row r="2" spans="1:21" x14ac:dyDescent="0.2">
      <c r="A2" s="9"/>
      <c r="E2" s="13" t="s">
        <v>27</v>
      </c>
    </row>
    <row r="3" spans="1:21" x14ac:dyDescent="0.2">
      <c r="E3" s="16"/>
      <c r="F3" s="88" t="s">
        <v>115</v>
      </c>
      <c r="G3" s="88"/>
      <c r="H3" s="88"/>
      <c r="I3" s="88"/>
      <c r="J3" s="89" t="s">
        <v>116</v>
      </c>
      <c r="K3" s="89"/>
      <c r="L3" s="89"/>
      <c r="M3" s="90" t="s">
        <v>117</v>
      </c>
      <c r="N3" s="90"/>
      <c r="O3" s="90"/>
      <c r="P3" s="92" t="s">
        <v>124</v>
      </c>
      <c r="Q3" s="92"/>
      <c r="R3" s="92"/>
      <c r="S3" s="91" t="s">
        <v>130</v>
      </c>
      <c r="T3" s="91"/>
      <c r="U3" s="91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4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4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4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4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5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5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142</v>
      </c>
      <c r="T12" s="84">
        <v>1588</v>
      </c>
      <c r="U12" s="68">
        <f t="shared" si="5"/>
        <v>1730</v>
      </c>
    </row>
    <row r="13" spans="1:21" x14ac:dyDescent="0.2">
      <c r="A13" s="48" t="s">
        <v>17</v>
      </c>
      <c r="B13" s="48" t="s">
        <v>97</v>
      </c>
      <c r="C13" s="48"/>
      <c r="D13" s="54" t="s">
        <v>47</v>
      </c>
      <c r="E13" s="54" t="s">
        <v>101</v>
      </c>
      <c r="F13" s="49">
        <v>40000</v>
      </c>
      <c r="G13" s="50">
        <v>62450</v>
      </c>
      <c r="H13" s="50"/>
      <c r="I13" s="51">
        <v>1350</v>
      </c>
      <c r="J13" s="49">
        <v>125217</v>
      </c>
      <c r="K13" s="50">
        <v>121952</v>
      </c>
      <c r="L13" s="51">
        <v>2160</v>
      </c>
      <c r="M13" s="49">
        <f t="shared" si="0"/>
        <v>165217</v>
      </c>
      <c r="N13" s="50">
        <f t="shared" si="1"/>
        <v>184402</v>
      </c>
      <c r="O13" s="51">
        <f t="shared" si="2"/>
        <v>3510</v>
      </c>
      <c r="P13" s="52">
        <v>4725</v>
      </c>
      <c r="Q13" s="65">
        <f t="shared" si="4"/>
        <v>0.74285714285714288</v>
      </c>
      <c r="R13" s="53">
        <f t="shared" si="3"/>
        <v>52.536182336182335</v>
      </c>
      <c r="S13" s="51">
        <v>184</v>
      </c>
      <c r="T13" s="86">
        <v>1641</v>
      </c>
      <c r="U13" s="51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32">
        <v>40000</v>
      </c>
      <c r="G14" s="33">
        <v>38121</v>
      </c>
      <c r="H14" s="33"/>
      <c r="I14" s="25">
        <v>1092</v>
      </c>
      <c r="J14" s="32">
        <v>125217</v>
      </c>
      <c r="K14" s="33">
        <v>121572</v>
      </c>
      <c r="L14" s="25">
        <v>2156</v>
      </c>
      <c r="M14" s="32">
        <f t="shared" si="0"/>
        <v>165217</v>
      </c>
      <c r="N14" s="33">
        <f t="shared" si="1"/>
        <v>159693</v>
      </c>
      <c r="O14" s="25">
        <f t="shared" si="2"/>
        <v>3248</v>
      </c>
      <c r="P14" s="42">
        <v>4725</v>
      </c>
      <c r="Q14" s="20">
        <f t="shared" si="4"/>
        <v>0.68740740740740736</v>
      </c>
      <c r="R14" s="29">
        <f t="shared" si="3"/>
        <v>49.166564039408868</v>
      </c>
      <c r="S14" s="25">
        <v>63</v>
      </c>
      <c r="T14" s="85">
        <v>1439</v>
      </c>
      <c r="U14" s="25">
        <f t="shared" si="5"/>
        <v>1502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24598</v>
      </c>
      <c r="H15" s="33"/>
      <c r="I15" s="25">
        <v>408</v>
      </c>
      <c r="J15" s="32">
        <v>125217</v>
      </c>
      <c r="K15" s="33">
        <v>117470</v>
      </c>
      <c r="L15" s="25">
        <v>2084</v>
      </c>
      <c r="M15" s="32">
        <f t="shared" si="0"/>
        <v>160217</v>
      </c>
      <c r="N15" s="33">
        <f t="shared" si="1"/>
        <v>142068</v>
      </c>
      <c r="O15" s="25">
        <f t="shared" si="2"/>
        <v>2492</v>
      </c>
      <c r="P15" s="42">
        <v>4725</v>
      </c>
      <c r="Q15" s="20">
        <f t="shared" si="4"/>
        <v>0.52740740740740744</v>
      </c>
      <c r="R15" s="29">
        <f t="shared" si="3"/>
        <v>57.009630818619584</v>
      </c>
      <c r="S15" s="25">
        <v>30</v>
      </c>
      <c r="T15" s="85">
        <v>1286</v>
      </c>
      <c r="U15" s="25">
        <f t="shared" si="5"/>
        <v>1316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19233</v>
      </c>
      <c r="H16" s="33"/>
      <c r="I16" s="25">
        <v>332</v>
      </c>
      <c r="J16" s="32">
        <v>125217</v>
      </c>
      <c r="K16" s="33">
        <v>126612</v>
      </c>
      <c r="L16" s="25">
        <v>2247</v>
      </c>
      <c r="M16" s="32">
        <f t="shared" si="0"/>
        <v>170217</v>
      </c>
      <c r="N16" s="33">
        <f t="shared" si="1"/>
        <v>145845</v>
      </c>
      <c r="O16" s="25">
        <f t="shared" si="2"/>
        <v>2579</v>
      </c>
      <c r="P16" s="42">
        <v>4725</v>
      </c>
      <c r="Q16" s="20">
        <f t="shared" si="4"/>
        <v>0.54582010582010587</v>
      </c>
      <c r="R16" s="29">
        <f t="shared" si="3"/>
        <v>56.550988755331524</v>
      </c>
      <c r="S16" s="25">
        <v>29</v>
      </c>
      <c r="T16" s="85">
        <v>1333</v>
      </c>
      <c r="U16" s="25">
        <f t="shared" si="5"/>
        <v>1362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32833</v>
      </c>
      <c r="H17" s="33"/>
      <c r="I17" s="25">
        <v>528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153179</v>
      </c>
      <c r="O17" s="25">
        <f t="shared" si="2"/>
        <v>2618</v>
      </c>
      <c r="P17" s="42">
        <v>4725</v>
      </c>
      <c r="Q17" s="20">
        <f t="shared" si="4"/>
        <v>0.55407407407407405</v>
      </c>
      <c r="R17" s="29">
        <f t="shared" si="3"/>
        <v>58.50993124522536</v>
      </c>
      <c r="S17" s="25">
        <v>41</v>
      </c>
      <c r="T17" s="85">
        <v>1324</v>
      </c>
      <c r="U17" s="25">
        <f t="shared" si="5"/>
        <v>1365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26610</v>
      </c>
      <c r="H18" s="33"/>
      <c r="I18" s="25">
        <v>434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148484</v>
      </c>
      <c r="O18" s="25">
        <f t="shared" si="2"/>
        <v>2577</v>
      </c>
      <c r="P18" s="42">
        <v>4254</v>
      </c>
      <c r="Q18" s="20">
        <f t="shared" si="4"/>
        <v>0.60578279266572632</v>
      </c>
      <c r="R18" s="29">
        <f t="shared" si="3"/>
        <v>57.61893674815677</v>
      </c>
      <c r="S18" s="25">
        <v>44</v>
      </c>
      <c r="T18" s="85">
        <v>1296</v>
      </c>
      <c r="U18" s="25">
        <f t="shared" si="5"/>
        <v>1340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29955</v>
      </c>
      <c r="H19" s="34"/>
      <c r="I19" s="26">
        <v>445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153008</v>
      </c>
      <c r="O19" s="26">
        <f t="shared" si="2"/>
        <v>2574</v>
      </c>
      <c r="P19" s="45">
        <v>4725</v>
      </c>
      <c r="Q19" s="21">
        <f t="shared" si="4"/>
        <v>0.54476190476190478</v>
      </c>
      <c r="R19" s="30">
        <f t="shared" si="3"/>
        <v>59.443667443667444</v>
      </c>
      <c r="S19" s="25">
        <v>17</v>
      </c>
      <c r="T19" s="85">
        <v>1328</v>
      </c>
      <c r="U19" s="25">
        <f t="shared" si="5"/>
        <v>1345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561166</v>
      </c>
      <c r="H20" s="77">
        <v>54834</v>
      </c>
      <c r="I20" s="23">
        <f t="shared" si="6"/>
        <v>11505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29671</v>
      </c>
      <c r="M20" s="35">
        <f>SUM(M6:M19)</f>
        <v>2369000</v>
      </c>
      <c r="N20" s="35">
        <f t="shared" ref="N20" si="9">SUM(N6:N19)</f>
        <v>2250368</v>
      </c>
      <c r="O20" s="23">
        <f t="shared" ref="O20" si="10">SUM(O6:O19)</f>
        <v>41176</v>
      </c>
      <c r="P20" s="43">
        <f>SUM(P6:P19)</f>
        <v>65208</v>
      </c>
      <c r="Q20" s="28">
        <f>O20/P20</f>
        <v>0.63145626303521041</v>
      </c>
      <c r="R20" s="24">
        <f t="shared" si="3"/>
        <v>54.652418884787252</v>
      </c>
      <c r="S20" s="43">
        <f>SUM(S6:S19)</f>
        <v>1593</v>
      </c>
      <c r="T20" s="43">
        <f>SUM(T6:T19)</f>
        <v>19944</v>
      </c>
      <c r="U20" s="43">
        <f>SUM(U6:U19)</f>
        <v>21537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2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7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7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483</v>
      </c>
      <c r="T26" s="83">
        <v>1413</v>
      </c>
      <c r="U26" s="51">
        <f t="shared" si="14"/>
        <v>1896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37304</v>
      </c>
      <c r="H27" s="67"/>
      <c r="I27" s="25">
        <v>492</v>
      </c>
      <c r="J27" s="32">
        <v>128000</v>
      </c>
      <c r="K27" s="47">
        <v>120177</v>
      </c>
      <c r="L27" s="25">
        <v>1904</v>
      </c>
      <c r="M27" s="40">
        <f t="shared" si="11"/>
        <v>253000</v>
      </c>
      <c r="N27" s="40">
        <f t="shared" si="11"/>
        <v>157481</v>
      </c>
      <c r="O27" s="25">
        <f>I27+L27</f>
        <v>2396</v>
      </c>
      <c r="P27" s="42">
        <v>4707</v>
      </c>
      <c r="Q27" s="21">
        <f t="shared" si="12"/>
        <v>0.50902910558742298</v>
      </c>
      <c r="R27" s="10">
        <f t="shared" si="13"/>
        <v>65.726627712854764</v>
      </c>
      <c r="S27" s="25">
        <v>60</v>
      </c>
      <c r="T27" s="25">
        <v>1031</v>
      </c>
      <c r="U27" s="25">
        <f t="shared" si="14"/>
        <v>1091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671883</v>
      </c>
      <c r="H28" s="78">
        <v>48117</v>
      </c>
      <c r="I28" s="27">
        <f t="shared" si="15"/>
        <v>8441</v>
      </c>
      <c r="J28" s="35">
        <f t="shared" si="15"/>
        <v>640000</v>
      </c>
      <c r="K28" s="39">
        <f t="shared" si="15"/>
        <v>593877</v>
      </c>
      <c r="L28" s="27">
        <f t="shared" si="15"/>
        <v>9224</v>
      </c>
      <c r="M28" s="35">
        <f t="shared" si="15"/>
        <v>1360000</v>
      </c>
      <c r="N28" s="39">
        <f t="shared" si="15"/>
        <v>1265760</v>
      </c>
      <c r="O28" s="27">
        <f t="shared" si="15"/>
        <v>17665</v>
      </c>
      <c r="P28" s="43">
        <f t="shared" si="15"/>
        <v>23535</v>
      </c>
      <c r="Q28" s="28">
        <f>O28/P28</f>
        <v>0.75058423624389203</v>
      </c>
      <c r="R28" s="31">
        <f t="shared" si="13"/>
        <v>71.653552221907731</v>
      </c>
      <c r="S28" s="43">
        <f>SUM(S23:S27)</f>
        <v>1478</v>
      </c>
      <c r="T28" s="43">
        <f t="shared" ref="T28:U28" si="16">SUM(T23:T27)</f>
        <v>6377</v>
      </c>
      <c r="U28" s="43">
        <f t="shared" si="16"/>
        <v>7855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64</v>
      </c>
      <c r="T34" s="25">
        <v>217</v>
      </c>
      <c r="U34" s="25">
        <f t="shared" si="19"/>
        <v>281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931</v>
      </c>
      <c r="T35" s="43">
        <f t="shared" ref="T35:U35" si="21">SUM(T31:T34)</f>
        <v>2613</v>
      </c>
      <c r="U35" s="43">
        <f t="shared" si="21"/>
        <v>3544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54" t="s">
        <v>87</v>
      </c>
      <c r="B44" s="63"/>
      <c r="C44" s="63"/>
      <c r="D44" s="54" t="s">
        <v>88</v>
      </c>
      <c r="E44" s="54" t="s">
        <v>111</v>
      </c>
      <c r="F44" s="49">
        <v>232000</v>
      </c>
      <c r="G44" s="50">
        <v>198366</v>
      </c>
      <c r="H44" s="50"/>
      <c r="I44" s="51">
        <v>3113</v>
      </c>
      <c r="J44" s="49">
        <v>0</v>
      </c>
      <c r="K44" s="50">
        <v>1265</v>
      </c>
      <c r="L44" s="51">
        <v>30</v>
      </c>
      <c r="M44" s="64">
        <f t="shared" si="22"/>
        <v>232000</v>
      </c>
      <c r="N44" s="64">
        <f t="shared" si="23"/>
        <v>199631</v>
      </c>
      <c r="O44" s="51">
        <f t="shared" si="24"/>
        <v>3143</v>
      </c>
      <c r="P44" s="52">
        <v>3888</v>
      </c>
      <c r="Q44" s="65">
        <f t="shared" si="25"/>
        <v>0.80838477366255146</v>
      </c>
      <c r="R44" s="53">
        <f t="shared" si="26"/>
        <v>63.516067451479479</v>
      </c>
      <c r="S44" s="51">
        <v>569</v>
      </c>
      <c r="T44" s="51">
        <v>554</v>
      </c>
      <c r="U44" s="51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32">
        <v>92000</v>
      </c>
      <c r="G45" s="33">
        <v>48336</v>
      </c>
      <c r="H45" s="33"/>
      <c r="I45" s="25">
        <v>667</v>
      </c>
      <c r="J45" s="32">
        <v>0</v>
      </c>
      <c r="K45" s="33">
        <v>612</v>
      </c>
      <c r="L45" s="25">
        <v>31</v>
      </c>
      <c r="M45" s="40">
        <f t="shared" si="22"/>
        <v>92000</v>
      </c>
      <c r="N45" s="40">
        <f t="shared" si="23"/>
        <v>48948</v>
      </c>
      <c r="O45" s="25">
        <f t="shared" si="24"/>
        <v>698</v>
      </c>
      <c r="P45" s="42">
        <v>1575</v>
      </c>
      <c r="Q45" s="20">
        <f t="shared" si="25"/>
        <v>0.44317460317460317</v>
      </c>
      <c r="R45" s="29">
        <f t="shared" si="26"/>
        <v>70.126074498567334</v>
      </c>
      <c r="S45" s="25">
        <v>54</v>
      </c>
      <c r="T45" s="25">
        <v>182</v>
      </c>
      <c r="U45" s="25">
        <f t="shared" si="27"/>
        <v>236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398515</v>
      </c>
      <c r="H46" s="33"/>
      <c r="I46" s="25">
        <v>4543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400560</v>
      </c>
      <c r="O46" s="25">
        <f t="shared" si="24"/>
        <v>4581</v>
      </c>
      <c r="P46" s="42">
        <v>5184</v>
      </c>
      <c r="Q46" s="20">
        <f t="shared" si="25"/>
        <v>0.88368055555555558</v>
      </c>
      <c r="R46" s="29">
        <f t="shared" si="26"/>
        <v>87.439423706614278</v>
      </c>
      <c r="S46" s="25">
        <v>623</v>
      </c>
      <c r="T46" s="25">
        <v>889</v>
      </c>
      <c r="U46" s="25">
        <f t="shared" si="27"/>
        <v>1512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75570</v>
      </c>
      <c r="H47" s="33"/>
      <c r="I47" s="25">
        <v>881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75570</v>
      </c>
      <c r="O47" s="25">
        <f t="shared" si="24"/>
        <v>881</v>
      </c>
      <c r="P47" s="42">
        <v>1575</v>
      </c>
      <c r="Q47" s="20">
        <f t="shared" si="25"/>
        <v>0.5593650793650794</v>
      </c>
      <c r="R47" s="29">
        <f t="shared" si="26"/>
        <v>85.777525539160052</v>
      </c>
      <c r="S47" s="25">
        <v>65</v>
      </c>
      <c r="T47" s="25">
        <v>319</v>
      </c>
      <c r="U47" s="25">
        <f t="shared" si="27"/>
        <v>384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199744</v>
      </c>
      <c r="H48" s="33"/>
      <c r="I48" s="25">
        <v>2362</v>
      </c>
      <c r="J48" s="32"/>
      <c r="K48" s="33"/>
      <c r="L48" s="25"/>
      <c r="M48" s="40"/>
      <c r="N48" s="40">
        <v>198169</v>
      </c>
      <c r="O48" s="25">
        <v>2362</v>
      </c>
      <c r="P48" s="42">
        <v>2468</v>
      </c>
      <c r="Q48" s="20">
        <v>0.96</v>
      </c>
      <c r="R48" s="76">
        <v>86.29</v>
      </c>
      <c r="S48" s="25">
        <v>679</v>
      </c>
      <c r="T48" s="25">
        <v>248</v>
      </c>
      <c r="U48" s="25">
        <f t="shared" si="27"/>
        <v>927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258694</v>
      </c>
      <c r="H49" s="33"/>
      <c r="I49" s="25">
        <v>1021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258694</v>
      </c>
      <c r="O49" s="25">
        <f t="shared" si="24"/>
        <v>1021</v>
      </c>
      <c r="P49" s="42">
        <v>1575</v>
      </c>
      <c r="Q49" s="21">
        <f t="shared" si="25"/>
        <v>0.6482539682539683</v>
      </c>
      <c r="R49" s="10">
        <f t="shared" si="26"/>
        <v>253.37316356513222</v>
      </c>
      <c r="S49" s="25">
        <v>1</v>
      </c>
      <c r="T49" s="25">
        <v>725</v>
      </c>
      <c r="U49" s="25">
        <f t="shared" si="27"/>
        <v>726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2597798</v>
      </c>
      <c r="H50" s="39">
        <v>14798</v>
      </c>
      <c r="I50" s="27">
        <f t="shared" si="28"/>
        <v>33540</v>
      </c>
      <c r="J50" s="35">
        <f t="shared" si="28"/>
        <v>0</v>
      </c>
      <c r="K50" s="39">
        <f t="shared" si="28"/>
        <v>10948</v>
      </c>
      <c r="L50" s="27">
        <f t="shared" si="28"/>
        <v>299</v>
      </c>
      <c r="M50" s="35">
        <f t="shared" si="28"/>
        <v>2433000</v>
      </c>
      <c r="N50" s="39">
        <f t="shared" si="28"/>
        <v>2607171</v>
      </c>
      <c r="O50" s="27">
        <f t="shared" si="28"/>
        <v>33839</v>
      </c>
      <c r="P50" s="43">
        <f t="shared" si="28"/>
        <v>37961</v>
      </c>
      <c r="Q50" s="28">
        <f>O50/P50</f>
        <v>0.89141487315929502</v>
      </c>
      <c r="R50" s="31">
        <f t="shared" si="26"/>
        <v>77.046337066698186</v>
      </c>
      <c r="S50" s="43">
        <f>SUM(S37:S47)</f>
        <v>4489</v>
      </c>
      <c r="T50" s="43">
        <f t="shared" ref="T50:U50" si="29">SUM(T37:T47)</f>
        <v>6316</v>
      </c>
      <c r="U50" s="43">
        <f t="shared" si="29"/>
        <v>10805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4344410</v>
      </c>
      <c r="H51" s="78">
        <v>11590</v>
      </c>
      <c r="I51" s="27">
        <f>SUM(I20,I28,I35,I50)</f>
        <v>61976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41444</v>
      </c>
      <c r="M51" s="35">
        <f>SUM(M20,M28,M35,M50)</f>
        <v>6644000</v>
      </c>
      <c r="N51" s="39">
        <f t="shared" ref="N51" si="32">SUM(N20,N28,N35,N50)</f>
        <v>6681962</v>
      </c>
      <c r="O51" s="27">
        <f>SUM(O20,O28,O35,O50)</f>
        <v>103420</v>
      </c>
      <c r="P51" s="43">
        <f>SUM(P20,P28,P35,P50)</f>
        <v>139670</v>
      </c>
      <c r="Q51" s="28">
        <f>O51/P51</f>
        <v>0.74045965490083765</v>
      </c>
      <c r="R51" s="31">
        <f t="shared" si="26"/>
        <v>64.60995938889964</v>
      </c>
      <c r="S51" s="43">
        <f>SUM(S20,S28,S35,S50)</f>
        <v>8491</v>
      </c>
      <c r="T51" s="43">
        <f t="shared" ref="T51:U51" si="33">SUM(T20,T28,T35,T50)</f>
        <v>35250</v>
      </c>
      <c r="U51" s="43">
        <f t="shared" si="33"/>
        <v>43741</v>
      </c>
    </row>
    <row r="52" spans="1:21" ht="12.75" customHeight="1" x14ac:dyDescent="0.2">
      <c r="A52" s="79"/>
      <c r="B52" s="79"/>
      <c r="C52" s="79"/>
      <c r="D52" s="79"/>
      <c r="E52" s="79"/>
      <c r="F52" s="79"/>
      <c r="G52" s="79"/>
      <c r="T52" s="6"/>
    </row>
    <row r="53" spans="1:21" ht="15.75" x14ac:dyDescent="0.25">
      <c r="A53" s="81" t="s">
        <v>138</v>
      </c>
      <c r="B53" s="79"/>
      <c r="C53" s="79"/>
      <c r="D53" s="79"/>
      <c r="E53" s="79"/>
      <c r="F53" s="79"/>
      <c r="G53" s="79"/>
    </row>
    <row r="54" spans="1:21" x14ac:dyDescent="0.2">
      <c r="A54" s="16"/>
    </row>
    <row r="55" spans="1:21" x14ac:dyDescent="0.2">
      <c r="A55" s="79"/>
      <c r="B55" s="79"/>
      <c r="C55" s="79"/>
      <c r="D55" s="79"/>
      <c r="E55" s="79"/>
      <c r="F55" s="79"/>
      <c r="G55" s="79"/>
    </row>
    <row r="56" spans="1:21" x14ac:dyDescent="0.2">
      <c r="A56" s="80"/>
      <c r="B56" s="79"/>
      <c r="C56" s="79"/>
      <c r="D56" s="79"/>
      <c r="E56" s="79"/>
      <c r="F56" s="79"/>
      <c r="G56" s="79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2024-03-15T18:25:45Z</dcterms:modified>
</cp:coreProperties>
</file>