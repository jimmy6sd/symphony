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21799652-0368-604F-BC16-11E76B5BF179}" xr6:coauthVersionLast="47" xr6:coauthVersionMax="47" xr10:uidLastSave="{00000000-0000-0000-0000-000000000000}"/>
  <bookViews>
    <workbookView xWindow="84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T48" i="1"/>
  <c r="T47" i="1"/>
  <c r="T46" i="1"/>
  <c r="T45" i="1"/>
  <c r="T44" i="1"/>
  <c r="T43" i="1"/>
  <c r="T42" i="1"/>
  <c r="T41" i="1"/>
  <c r="T40" i="1"/>
  <c r="T39" i="1"/>
  <c r="T38" i="1"/>
  <c r="T37" i="1"/>
  <c r="T34" i="1"/>
  <c r="T33" i="1"/>
  <c r="T32" i="1"/>
  <c r="T31" i="1"/>
  <c r="T27" i="1"/>
  <c r="T26" i="1"/>
  <c r="T25" i="1"/>
  <c r="T28" i="1" s="1"/>
  <c r="T24" i="1"/>
  <c r="T23" i="1"/>
  <c r="S49" i="1"/>
  <c r="R49" i="1"/>
  <c r="S35" i="1"/>
  <c r="R35" i="1"/>
  <c r="S28" i="1"/>
  <c r="R28" i="1"/>
  <c r="S20" i="1"/>
  <c r="S50" i="1" s="1"/>
  <c r="R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O49" i="1"/>
  <c r="O35" i="1"/>
  <c r="O28" i="1"/>
  <c r="O20" i="1"/>
  <c r="P48" i="1"/>
  <c r="K49" i="1"/>
  <c r="J49" i="1"/>
  <c r="I49" i="1"/>
  <c r="K35" i="1"/>
  <c r="J35" i="1"/>
  <c r="I35" i="1"/>
  <c r="K28" i="1"/>
  <c r="J28" i="1"/>
  <c r="I28" i="1"/>
  <c r="K20" i="1"/>
  <c r="J20" i="1"/>
  <c r="I20" i="1"/>
  <c r="H49" i="1"/>
  <c r="G49" i="1"/>
  <c r="F49" i="1"/>
  <c r="H35" i="1"/>
  <c r="G35" i="1"/>
  <c r="F35" i="1"/>
  <c r="H28" i="1"/>
  <c r="H20" i="1"/>
  <c r="G20" i="1"/>
  <c r="N48" i="1"/>
  <c r="Q48" i="1" s="1"/>
  <c r="M48" i="1"/>
  <c r="L48" i="1"/>
  <c r="N47" i="1"/>
  <c r="P47" i="1" s="1"/>
  <c r="M47" i="1"/>
  <c r="L47" i="1"/>
  <c r="N46" i="1"/>
  <c r="P46" i="1" s="1"/>
  <c r="M46" i="1"/>
  <c r="L46" i="1"/>
  <c r="N45" i="1"/>
  <c r="P45" i="1" s="1"/>
  <c r="M45" i="1"/>
  <c r="L45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40" i="1"/>
  <c r="P40" i="1" s="1"/>
  <c r="M40" i="1"/>
  <c r="L40" i="1"/>
  <c r="N39" i="1"/>
  <c r="P39" i="1" s="1"/>
  <c r="M39" i="1"/>
  <c r="L39" i="1"/>
  <c r="N38" i="1"/>
  <c r="P38" i="1" s="1"/>
  <c r="M38" i="1"/>
  <c r="L38" i="1"/>
  <c r="N37" i="1"/>
  <c r="P37" i="1" s="1"/>
  <c r="M37" i="1"/>
  <c r="L37" i="1"/>
  <c r="N34" i="1"/>
  <c r="P34" i="1" s="1"/>
  <c r="M34" i="1"/>
  <c r="L34" i="1"/>
  <c r="N33" i="1"/>
  <c r="P33" i="1" s="1"/>
  <c r="M33" i="1"/>
  <c r="L33" i="1"/>
  <c r="N32" i="1"/>
  <c r="P32" i="1" s="1"/>
  <c r="M32" i="1"/>
  <c r="L32" i="1"/>
  <c r="N31" i="1"/>
  <c r="P31" i="1" s="1"/>
  <c r="M31" i="1"/>
  <c r="L31" i="1"/>
  <c r="N27" i="1"/>
  <c r="P27" i="1" s="1"/>
  <c r="M27" i="1"/>
  <c r="L27" i="1"/>
  <c r="N26" i="1"/>
  <c r="M26" i="1"/>
  <c r="L26" i="1"/>
  <c r="N25" i="1"/>
  <c r="P25" i="1" s="1"/>
  <c r="M25" i="1"/>
  <c r="L25" i="1"/>
  <c r="N24" i="1"/>
  <c r="P24" i="1" s="1"/>
  <c r="M24" i="1"/>
  <c r="L24" i="1"/>
  <c r="N23" i="1"/>
  <c r="P23" i="1" s="1"/>
  <c r="M23" i="1"/>
  <c r="L23" i="1"/>
  <c r="N19" i="1"/>
  <c r="P19" i="1" s="1"/>
  <c r="M19" i="1"/>
  <c r="L19" i="1"/>
  <c r="N18" i="1"/>
  <c r="P18" i="1" s="1"/>
  <c r="M18" i="1"/>
  <c r="L18" i="1"/>
  <c r="N17" i="1"/>
  <c r="P17" i="1" s="1"/>
  <c r="M17" i="1"/>
  <c r="L17" i="1"/>
  <c r="N16" i="1"/>
  <c r="P16" i="1" s="1"/>
  <c r="M16" i="1"/>
  <c r="L16" i="1"/>
  <c r="N15" i="1"/>
  <c r="P15" i="1" s="1"/>
  <c r="M15" i="1"/>
  <c r="L15" i="1"/>
  <c r="N14" i="1"/>
  <c r="P14" i="1" s="1"/>
  <c r="M14" i="1"/>
  <c r="L14" i="1"/>
  <c r="N13" i="1"/>
  <c r="P13" i="1" s="1"/>
  <c r="M13" i="1"/>
  <c r="L13" i="1"/>
  <c r="N12" i="1"/>
  <c r="P12" i="1" s="1"/>
  <c r="M12" i="1"/>
  <c r="L12" i="1"/>
  <c r="N11" i="1"/>
  <c r="P11" i="1" s="1"/>
  <c r="M11" i="1"/>
  <c r="L11" i="1"/>
  <c r="N10" i="1"/>
  <c r="P10" i="1" s="1"/>
  <c r="M10" i="1"/>
  <c r="L10" i="1"/>
  <c r="N9" i="1"/>
  <c r="P9" i="1" s="1"/>
  <c r="M9" i="1"/>
  <c r="L9" i="1"/>
  <c r="N8" i="1"/>
  <c r="P8" i="1" s="1"/>
  <c r="M8" i="1"/>
  <c r="L8" i="1"/>
  <c r="N7" i="1"/>
  <c r="P7" i="1" s="1"/>
  <c r="M7" i="1"/>
  <c r="L7" i="1"/>
  <c r="L6" i="1"/>
  <c r="M6" i="1"/>
  <c r="N6" i="1"/>
  <c r="P6" i="1" s="1"/>
  <c r="G28" i="1"/>
  <c r="F28" i="1"/>
  <c r="Q19" i="1" l="1"/>
  <c r="T35" i="1"/>
  <c r="T49" i="1"/>
  <c r="F50" i="1"/>
  <c r="Q16" i="1"/>
  <c r="Q42" i="1"/>
  <c r="Q17" i="1"/>
  <c r="Q27" i="1"/>
  <c r="Q45" i="1"/>
  <c r="Q32" i="1"/>
  <c r="Q40" i="1"/>
  <c r="L35" i="1"/>
  <c r="Q18" i="1"/>
  <c r="Q47" i="1"/>
  <c r="Q46" i="1"/>
  <c r="Q15" i="1"/>
  <c r="Q14" i="1"/>
  <c r="Q34" i="1"/>
  <c r="Q13" i="1"/>
  <c r="Q26" i="1"/>
  <c r="P26" i="1"/>
  <c r="Q33" i="1"/>
  <c r="Q44" i="1"/>
  <c r="Q12" i="1"/>
  <c r="Q11" i="1"/>
  <c r="Q25" i="1"/>
  <c r="Q10" i="1"/>
  <c r="Q43" i="1"/>
  <c r="Q41" i="1"/>
  <c r="Q9" i="1"/>
  <c r="Q8" i="1"/>
  <c r="Q31" i="1"/>
  <c r="Q7" i="1"/>
  <c r="Q24" i="1"/>
  <c r="Q6" i="1"/>
  <c r="O50" i="1"/>
  <c r="Q39" i="1"/>
  <c r="Q38" i="1"/>
  <c r="Q23" i="1"/>
  <c r="Q37" i="1"/>
  <c r="G50" i="1"/>
  <c r="R50" i="1"/>
  <c r="T20" i="1"/>
  <c r="T50" i="1" s="1"/>
  <c r="H50" i="1"/>
  <c r="M28" i="1"/>
  <c r="M35" i="1"/>
  <c r="L49" i="1"/>
  <c r="M49" i="1"/>
  <c r="N35" i="1"/>
  <c r="P35" i="1" s="1"/>
  <c r="L28" i="1"/>
  <c r="N20" i="1"/>
  <c r="P20" i="1" s="1"/>
  <c r="N28" i="1"/>
  <c r="P28" i="1" s="1"/>
  <c r="M20" i="1"/>
  <c r="N49" i="1"/>
  <c r="P49" i="1" s="1"/>
  <c r="J50" i="1"/>
  <c r="L20" i="1"/>
  <c r="I50" i="1"/>
  <c r="K50" i="1"/>
  <c r="L50" i="1" l="1"/>
  <c r="Q35" i="1"/>
  <c r="Q28" i="1"/>
  <c r="Q20" i="1"/>
  <c r="M50" i="1"/>
  <c r="Q49" i="1"/>
  <c r="N50" i="1"/>
  <c r="P50" i="1" s="1"/>
  <c r="Q50" i="1" l="1"/>
</calcChain>
</file>

<file path=xl/sharedStrings.xml><?xml version="1.0" encoding="utf-8"?>
<sst xmlns="http://schemas.openxmlformats.org/spreadsheetml/2006/main" count="159" uniqueCount="135">
  <si>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</si>
  <si>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</si>
  <si>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</si>
  <si>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</si>
  <si>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</si>
  <si>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</si>
  <si>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</si>
  <si>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</si>
  <si>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</si>
  <si>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</si>
  <si>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</si>
  <si>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</si>
  <si>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</si>
  <si>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</si>
  <si>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</si>
  <si>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</si>
  <si>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</si>
  <si>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</si>
  <si>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</si>
  <si>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</si>
  <si>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</si>
  <si>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</si>
  <si>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</si>
  <si>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</si>
  <si>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</si>
  <si>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</si>
  <si>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</si>
  <si>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</si>
  <si>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</si>
  <si>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</si>
  <si>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</si>
  <si>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</si>
  <si>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</si>
  <si>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</si>
  <si>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</si>
  <si>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</si>
  <si>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</si>
  <si>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</si>
  <si>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</si>
  <si>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</si>
  <si>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</si>
  <si>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</si>
  <si>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</si>
  <si>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</si>
  <si>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</si>
  <si>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</si>
  <si>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</si>
  <si>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</si>
  <si>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</si>
  <si>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</si>
  <si>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</si>
  <si>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</si>
  <si>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</si>
  <si>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</si>
  <si>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</si>
  <si>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</si>
  <si>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</si>
  <si>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</si>
  <si>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</si>
  <si>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</si>
  <si>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</si>
  <si>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</si>
  <si>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</si>
  <si>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</si>
  <si>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</si>
  <si>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</si>
  <si>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</si>
  <si>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</si>
  <si>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</si>
  <si>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</si>
  <si>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</si>
  <si>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</si>
  <si>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</si>
  <si>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</si>
  <si>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</si>
  <si>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</si>
  <si>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</si>
  <si>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</si>
  <si>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</si>
  <si>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</si>
  <si>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</si>
  <si>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</si>
  <si>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</si>
  <si>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</si>
  <si>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</si>
  <si>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</si>
  <si>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</si>
  <si>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</si>
  <si>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</si>
  <si>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</si>
  <si>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</si>
  <si>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</si>
  <si>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</si>
  <si>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</si>
  <si>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</si>
  <si>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</si>
  <si>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</si>
  <si>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</si>
  <si>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</si>
  <si>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</si>
  <si>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</si>
  <si>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</si>
  <si>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</si>
  <si>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</si>
  <si>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</si>
  <si>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</si>
  <si>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</si>
  <si>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</si>
  <si>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</si>
  <si>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</si>
  <si>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</si>
  <si>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</si>
  <si>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</si>
  <si>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</si>
  <si>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</si>
  <si>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</si>
  <si>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</si>
  <si>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</si>
  <si>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</si>
  <si>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</si>
  <si>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</si>
  <si>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</si>
  <si>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</si>
  <si>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</si>
  <si>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</si>
  <si>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</si>
  <si>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</si>
  <si>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</si>
  <si>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</si>
  <si>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</si>
  <si>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</si>
  <si>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</si>
  <si>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</si>
  <si>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Revised: 10/9/23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</si>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</sst>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9" fontId="0" fillId="0" borderId="0" xfId="1" applyNumberFormat="1" applyFont="1" applyBorder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showGridLines="0" tabSelected="1" workbookViewId="0">
      <selection activeCell="X22" sqref="X22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7.5" customWidth="1"/>
    <col min="9" max="10" width="11.33203125" bestFit="1" customWidth="1"/>
    <col min="11" max="11" width="7.6640625" bestFit="1" customWidth="1"/>
    <col min="12" max="13" width="11.33203125" bestFit="1" customWidth="1"/>
    <col min="14" max="14" width="7.5" customWidth="1"/>
    <col min="15" max="15" width="10.1640625" customWidth="1"/>
    <col min="16" max="16" width="7.5" customWidth="1"/>
    <col min="17" max="18" width="8.5" customWidth="1"/>
    <col min="19" max="19" width="11.33203125" customWidth="1"/>
    <col min="20" max="20" width="7.1640625" customWidth="1"/>
  </cols>
  <sheetData>
    <row r="1" spans="1:20" ht="16" x14ac:dyDescent="0.2">
      <c r="A1" s="12"/>
      <c r="B1" s="9"/>
      <c r="C1" s="9"/>
      <c r="E1" s="14" t="s">
        <v>116</v>
      </c>
      <c r="F1" s="14"/>
      <c r="G1" s="14"/>
      <c r="P1" s="15" t="s">
        <v>133</v>
      </c>
      <c r="Q1" s="49"/>
    </row>
    <row r="2" spans="1:20" x14ac:dyDescent="0.15">
      <c r="A2" s="9"/>
      <c r="E2" s="13" t="s">
        <v>27</v>
      </c>
    </row>
    <row r="3" spans="1:20" x14ac:dyDescent="0.15">
      <c r="E3" s="16"/>
      <c r="F3" s="52" t="s">
        <v>117</v>
      </c>
      <c r="G3" s="52"/>
      <c r="H3" s="52"/>
      <c r="I3" s="53" t="s">
        <v>118</v>
      </c>
      <c r="J3" s="53"/>
      <c r="K3" s="53"/>
      <c r="L3" s="54" t="s">
        <v>119</v>
      </c>
      <c r="M3" s="54"/>
      <c r="N3" s="54"/>
      <c r="O3" s="56" t="s">
        <v>126</v>
      </c>
      <c r="P3" s="56"/>
      <c r="Q3" s="56"/>
      <c r="R3" s="55" t="s">
        <v>132</v>
      </c>
      <c r="S3" s="55"/>
      <c r="T3" s="55"/>
    </row>
    <row r="4" spans="1:20" x14ac:dyDescent="0.15">
      <c r="E4" s="16"/>
      <c r="O4" s="19" t="s">
        <v>127</v>
      </c>
      <c r="P4" s="19" t="s">
        <v>35</v>
      </c>
      <c r="Q4" s="19" t="s">
        <v>120</v>
      </c>
      <c r="R4" s="19" t="s">
        <v>121</v>
      </c>
      <c r="S4" s="19" t="s">
        <v>121</v>
      </c>
      <c r="T4" s="19" t="s">
        <v>124</v>
      </c>
    </row>
    <row r="5" spans="1:20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1" t="s">
        <v>30</v>
      </c>
      <c r="I5" s="7" t="s">
        <v>31</v>
      </c>
      <c r="J5" s="8" t="s">
        <v>4</v>
      </c>
      <c r="K5" s="1" t="s">
        <v>30</v>
      </c>
      <c r="L5" s="7" t="s">
        <v>31</v>
      </c>
      <c r="M5" s="8" t="s">
        <v>4</v>
      </c>
      <c r="N5" s="1" t="s">
        <v>30</v>
      </c>
      <c r="O5" s="8" t="s">
        <v>128</v>
      </c>
      <c r="P5" s="8" t="s">
        <v>33</v>
      </c>
      <c r="Q5" s="8" t="s">
        <v>34</v>
      </c>
      <c r="R5" s="8" t="s">
        <v>122</v>
      </c>
      <c r="S5" s="8" t="s">
        <v>123</v>
      </c>
      <c r="T5" s="8" t="s">
        <v>125</v>
      </c>
    </row>
    <row r="6" spans="1:20" x14ac:dyDescent="0.15">
      <c r="A6" t="s">
        <v>10</v>
      </c>
      <c r="B6" t="s">
        <v>110</v>
      </c>
      <c r="D6" t="s">
        <v>36</v>
      </c>
      <c r="E6" t="s">
        <v>25</v>
      </c>
      <c r="F6" s="34">
        <v>38000</v>
      </c>
      <c r="G6" s="35">
        <v>34287</v>
      </c>
      <c r="H6" s="27">
        <v>755</v>
      </c>
      <c r="I6" s="34">
        <v>125179</v>
      </c>
      <c r="J6" s="35">
        <v>119397</v>
      </c>
      <c r="K6" s="27">
        <v>2094</v>
      </c>
      <c r="L6" s="34">
        <f>F6+I6</f>
        <v>163179</v>
      </c>
      <c r="M6" s="35">
        <f>G6+J6</f>
        <v>153684</v>
      </c>
      <c r="N6" s="27">
        <f>H6+K6</f>
        <v>2849</v>
      </c>
      <c r="O6" s="45">
        <v>4725</v>
      </c>
      <c r="P6" s="25">
        <f>N6/O6</f>
        <v>0.60296296296296292</v>
      </c>
      <c r="Q6" s="31">
        <f t="shared" ref="Q6:Q20" si="0">M6/N6</f>
        <v>53.943137943137941</v>
      </c>
      <c r="R6" s="27">
        <v>10</v>
      </c>
      <c r="S6" s="27">
        <v>100</v>
      </c>
      <c r="T6" s="27">
        <f>SUM(R6:S6)</f>
        <v>110</v>
      </c>
    </row>
    <row r="7" spans="1:20" x14ac:dyDescent="0.15">
      <c r="A7" t="s">
        <v>11</v>
      </c>
      <c r="B7" t="s">
        <v>111</v>
      </c>
      <c r="D7" t="s">
        <v>37</v>
      </c>
      <c r="E7" t="s">
        <v>25</v>
      </c>
      <c r="F7" s="34">
        <v>38000</v>
      </c>
      <c r="G7" s="35">
        <v>10043</v>
      </c>
      <c r="H7" s="27">
        <v>244</v>
      </c>
      <c r="I7" s="34">
        <v>125217</v>
      </c>
      <c r="J7" s="35">
        <v>116254</v>
      </c>
      <c r="K7" s="27">
        <v>2017</v>
      </c>
      <c r="L7" s="34">
        <f t="shared" ref="L7:L19" si="1">F7+I7</f>
        <v>163217</v>
      </c>
      <c r="M7" s="35">
        <f t="shared" ref="M7:M19" si="2">G7+J7</f>
        <v>126297</v>
      </c>
      <c r="N7" s="27">
        <f t="shared" ref="N7:N19" si="3">H7+K7</f>
        <v>2261</v>
      </c>
      <c r="O7" s="45">
        <v>4725</v>
      </c>
      <c r="P7" s="20">
        <f t="shared" ref="P7:P19" si="4">N7/O7</f>
        <v>0.47851851851851851</v>
      </c>
      <c r="Q7" s="31">
        <f t="shared" si="0"/>
        <v>55.858911985846973</v>
      </c>
      <c r="R7" s="27"/>
      <c r="S7" s="27"/>
      <c r="T7" s="27">
        <f t="shared" ref="T7:T19" si="5">SUM(R7:S7)</f>
        <v>0</v>
      </c>
    </row>
    <row r="8" spans="1:20" x14ac:dyDescent="0.15">
      <c r="A8" t="s">
        <v>12</v>
      </c>
      <c r="B8" t="s">
        <v>112</v>
      </c>
      <c r="D8" t="s">
        <v>38</v>
      </c>
      <c r="E8" t="s">
        <v>40</v>
      </c>
      <c r="F8" s="34">
        <v>35000</v>
      </c>
      <c r="G8" s="35">
        <v>10537</v>
      </c>
      <c r="H8" s="27">
        <v>199</v>
      </c>
      <c r="I8" s="34">
        <v>125217</v>
      </c>
      <c r="J8" s="35">
        <v>116071</v>
      </c>
      <c r="K8" s="27">
        <v>2009</v>
      </c>
      <c r="L8" s="34">
        <f t="shared" si="1"/>
        <v>160217</v>
      </c>
      <c r="M8" s="35">
        <f t="shared" si="2"/>
        <v>126608</v>
      </c>
      <c r="N8" s="27">
        <f t="shared" si="3"/>
        <v>2208</v>
      </c>
      <c r="O8" s="45">
        <v>4254</v>
      </c>
      <c r="P8" s="20">
        <f t="shared" si="4"/>
        <v>0.51904090267983072</v>
      </c>
      <c r="Q8" s="31">
        <f t="shared" si="0"/>
        <v>57.340579710144929</v>
      </c>
      <c r="R8" s="27"/>
      <c r="S8" s="27"/>
      <c r="T8" s="27">
        <f t="shared" si="5"/>
        <v>0</v>
      </c>
    </row>
    <row r="9" spans="1:20" x14ac:dyDescent="0.15">
      <c r="A9" t="s">
        <v>13</v>
      </c>
      <c r="B9" t="s">
        <v>130</v>
      </c>
      <c r="D9" s="16" t="s">
        <v>39</v>
      </c>
      <c r="E9" t="s">
        <v>41</v>
      </c>
      <c r="F9" s="34">
        <v>50000</v>
      </c>
      <c r="G9" s="35">
        <v>6946</v>
      </c>
      <c r="H9" s="27">
        <v>132</v>
      </c>
      <c r="I9" s="34">
        <v>125217</v>
      </c>
      <c r="J9" s="35">
        <v>118314</v>
      </c>
      <c r="K9" s="27">
        <v>2059</v>
      </c>
      <c r="L9" s="34">
        <f t="shared" si="1"/>
        <v>175217</v>
      </c>
      <c r="M9" s="35">
        <f t="shared" si="2"/>
        <v>125260</v>
      </c>
      <c r="N9" s="27">
        <f t="shared" si="3"/>
        <v>2191</v>
      </c>
      <c r="O9" s="45">
        <v>4725</v>
      </c>
      <c r="P9" s="20">
        <f t="shared" si="4"/>
        <v>0.46370370370370373</v>
      </c>
      <c r="Q9" s="31">
        <f t="shared" si="0"/>
        <v>57.170241898676402</v>
      </c>
      <c r="R9" s="27"/>
      <c r="S9" s="27"/>
      <c r="T9" s="27">
        <f t="shared" si="5"/>
        <v>0</v>
      </c>
    </row>
    <row r="10" spans="1:20" x14ac:dyDescent="0.15">
      <c r="A10" t="s">
        <v>14</v>
      </c>
      <c r="B10" t="s">
        <v>42</v>
      </c>
      <c r="D10" t="s">
        <v>43</v>
      </c>
      <c r="E10" t="s">
        <v>25</v>
      </c>
      <c r="F10" s="34">
        <v>55000</v>
      </c>
      <c r="G10" s="35">
        <v>13721</v>
      </c>
      <c r="H10" s="27">
        <v>208</v>
      </c>
      <c r="I10" s="34">
        <v>125217</v>
      </c>
      <c r="J10" s="35">
        <v>119659</v>
      </c>
      <c r="K10" s="27">
        <v>2072</v>
      </c>
      <c r="L10" s="34">
        <f t="shared" si="1"/>
        <v>180217</v>
      </c>
      <c r="M10" s="35">
        <f t="shared" si="2"/>
        <v>133380</v>
      </c>
      <c r="N10" s="27">
        <f t="shared" si="3"/>
        <v>2280</v>
      </c>
      <c r="O10" s="45">
        <v>4725</v>
      </c>
      <c r="P10" s="20">
        <f t="shared" si="4"/>
        <v>0.48253968253968255</v>
      </c>
      <c r="Q10" s="31">
        <f t="shared" si="0"/>
        <v>58.5</v>
      </c>
      <c r="R10" s="27"/>
      <c r="S10" s="27"/>
      <c r="T10" s="27">
        <f t="shared" si="5"/>
        <v>0</v>
      </c>
    </row>
    <row r="11" spans="1:20" x14ac:dyDescent="0.15">
      <c r="A11" t="s">
        <v>15</v>
      </c>
      <c r="B11" t="s">
        <v>44</v>
      </c>
      <c r="D11" t="s">
        <v>45</v>
      </c>
      <c r="E11" t="s">
        <v>102</v>
      </c>
      <c r="F11" s="34">
        <v>40000</v>
      </c>
      <c r="G11" s="35">
        <v>3701</v>
      </c>
      <c r="H11" s="27">
        <v>77</v>
      </c>
      <c r="I11" s="34">
        <v>125217</v>
      </c>
      <c r="J11" s="35">
        <v>115462</v>
      </c>
      <c r="K11" s="27">
        <v>2013</v>
      </c>
      <c r="L11" s="34">
        <f t="shared" si="1"/>
        <v>165217</v>
      </c>
      <c r="M11" s="35">
        <f t="shared" si="2"/>
        <v>119163</v>
      </c>
      <c r="N11" s="27">
        <f t="shared" si="3"/>
        <v>2090</v>
      </c>
      <c r="O11" s="45">
        <v>4725</v>
      </c>
      <c r="P11" s="20">
        <f t="shared" si="4"/>
        <v>0.44232804232804235</v>
      </c>
      <c r="Q11" s="31">
        <f t="shared" si="0"/>
        <v>57.015789473684208</v>
      </c>
      <c r="R11" s="27"/>
      <c r="S11" s="27"/>
      <c r="T11" s="27">
        <f t="shared" si="5"/>
        <v>0</v>
      </c>
    </row>
    <row r="12" spans="1:20" x14ac:dyDescent="0.15">
      <c r="A12" t="s">
        <v>16</v>
      </c>
      <c r="B12" t="s">
        <v>98</v>
      </c>
      <c r="D12" t="s">
        <v>46</v>
      </c>
      <c r="E12" s="16" t="s">
        <v>25</v>
      </c>
      <c r="F12" s="34">
        <v>40000</v>
      </c>
      <c r="G12" s="35">
        <v>2370</v>
      </c>
      <c r="H12" s="27">
        <v>49</v>
      </c>
      <c r="I12" s="34">
        <v>125217</v>
      </c>
      <c r="J12" s="35">
        <v>121363</v>
      </c>
      <c r="K12" s="27">
        <v>2108</v>
      </c>
      <c r="L12" s="34">
        <f t="shared" si="1"/>
        <v>165217</v>
      </c>
      <c r="M12" s="35">
        <f t="shared" si="2"/>
        <v>123733</v>
      </c>
      <c r="N12" s="27">
        <f t="shared" si="3"/>
        <v>2157</v>
      </c>
      <c r="O12" s="45">
        <v>4725</v>
      </c>
      <c r="P12" s="20">
        <f t="shared" si="4"/>
        <v>0.45650793650793653</v>
      </c>
      <c r="Q12" s="31">
        <f t="shared" si="0"/>
        <v>57.36346777932313</v>
      </c>
      <c r="R12" s="27"/>
      <c r="S12" s="27"/>
      <c r="T12" s="27">
        <f t="shared" si="5"/>
        <v>0</v>
      </c>
    </row>
    <row r="13" spans="1:20" x14ac:dyDescent="0.15">
      <c r="A13" t="s">
        <v>17</v>
      </c>
      <c r="B13" t="s">
        <v>99</v>
      </c>
      <c r="D13" s="16" t="s">
        <v>47</v>
      </c>
      <c r="E13" s="16" t="s">
        <v>103</v>
      </c>
      <c r="F13" s="34">
        <v>40000</v>
      </c>
      <c r="G13" s="35">
        <v>5282</v>
      </c>
      <c r="H13" s="27">
        <v>153</v>
      </c>
      <c r="I13" s="34">
        <v>125217</v>
      </c>
      <c r="J13" s="35">
        <v>117504</v>
      </c>
      <c r="K13" s="27">
        <v>2044</v>
      </c>
      <c r="L13" s="34">
        <f t="shared" si="1"/>
        <v>165217</v>
      </c>
      <c r="M13" s="35">
        <f t="shared" si="2"/>
        <v>122786</v>
      </c>
      <c r="N13" s="27">
        <f t="shared" si="3"/>
        <v>2197</v>
      </c>
      <c r="O13" s="45">
        <v>4725</v>
      </c>
      <c r="P13" s="20">
        <f t="shared" si="4"/>
        <v>0.46497354497354498</v>
      </c>
      <c r="Q13" s="31">
        <f t="shared" si="0"/>
        <v>55.888029130632681</v>
      </c>
      <c r="R13" s="27"/>
      <c r="S13" s="27"/>
      <c r="T13" s="27">
        <f t="shared" si="5"/>
        <v>0</v>
      </c>
    </row>
    <row r="14" spans="1:20" x14ac:dyDescent="0.15">
      <c r="A14" t="s">
        <v>18</v>
      </c>
      <c r="B14" t="s">
        <v>104</v>
      </c>
      <c r="D14" s="16" t="s">
        <v>48</v>
      </c>
      <c r="E14" t="s">
        <v>105</v>
      </c>
      <c r="F14" s="34">
        <v>40000</v>
      </c>
      <c r="G14" s="35">
        <v>2265</v>
      </c>
      <c r="H14" s="27">
        <v>56</v>
      </c>
      <c r="I14" s="34">
        <v>125217</v>
      </c>
      <c r="J14" s="35">
        <v>118927</v>
      </c>
      <c r="K14" s="27">
        <v>2069</v>
      </c>
      <c r="L14" s="34">
        <f t="shared" si="1"/>
        <v>165217</v>
      </c>
      <c r="M14" s="35">
        <f t="shared" si="2"/>
        <v>121192</v>
      </c>
      <c r="N14" s="27">
        <f t="shared" si="3"/>
        <v>2125</v>
      </c>
      <c r="O14" s="45">
        <v>4725</v>
      </c>
      <c r="P14" s="20">
        <f t="shared" si="4"/>
        <v>0.44973544973544971</v>
      </c>
      <c r="Q14" s="31">
        <f t="shared" si="0"/>
        <v>57.031529411764708</v>
      </c>
      <c r="R14" s="27"/>
      <c r="S14" s="27"/>
      <c r="T14" s="27">
        <f t="shared" si="5"/>
        <v>0</v>
      </c>
    </row>
    <row r="15" spans="1:20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4">
        <v>35000</v>
      </c>
      <c r="G15" s="35">
        <v>5593</v>
      </c>
      <c r="H15" s="27">
        <v>95</v>
      </c>
      <c r="I15" s="34">
        <v>125217</v>
      </c>
      <c r="J15" s="35">
        <v>115445</v>
      </c>
      <c r="K15" s="27">
        <v>2008</v>
      </c>
      <c r="L15" s="34">
        <f t="shared" si="1"/>
        <v>160217</v>
      </c>
      <c r="M15" s="35">
        <f t="shared" si="2"/>
        <v>121038</v>
      </c>
      <c r="N15" s="27">
        <f t="shared" si="3"/>
        <v>2103</v>
      </c>
      <c r="O15" s="45">
        <v>4725</v>
      </c>
      <c r="P15" s="20">
        <f t="shared" si="4"/>
        <v>0.44507936507936507</v>
      </c>
      <c r="Q15" s="31">
        <f t="shared" si="0"/>
        <v>57.554921540656203</v>
      </c>
      <c r="R15" s="27"/>
      <c r="S15" s="27"/>
      <c r="T15" s="27">
        <f t="shared" si="5"/>
        <v>0</v>
      </c>
    </row>
    <row r="16" spans="1:20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4">
        <v>45000</v>
      </c>
      <c r="G16" s="35">
        <v>3656</v>
      </c>
      <c r="H16" s="27">
        <v>80</v>
      </c>
      <c r="I16" s="34">
        <v>125217</v>
      </c>
      <c r="J16" s="35">
        <v>121257</v>
      </c>
      <c r="K16" s="27">
        <v>2104</v>
      </c>
      <c r="L16" s="34">
        <f t="shared" si="1"/>
        <v>170217</v>
      </c>
      <c r="M16" s="35">
        <f t="shared" si="2"/>
        <v>124913</v>
      </c>
      <c r="N16" s="27">
        <f t="shared" si="3"/>
        <v>2184</v>
      </c>
      <c r="O16" s="45">
        <v>4725</v>
      </c>
      <c r="P16" s="20">
        <f t="shared" si="4"/>
        <v>0.4622222222222222</v>
      </c>
      <c r="Q16" s="31">
        <f t="shared" si="0"/>
        <v>57.194597069597073</v>
      </c>
      <c r="R16" s="27"/>
      <c r="S16" s="27"/>
      <c r="T16" s="27">
        <f t="shared" si="5"/>
        <v>0</v>
      </c>
    </row>
    <row r="17" spans="1:20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4">
        <v>55000</v>
      </c>
      <c r="G17" s="35">
        <v>13735</v>
      </c>
      <c r="H17" s="27">
        <v>218</v>
      </c>
      <c r="I17" s="34">
        <v>125217</v>
      </c>
      <c r="J17" s="35">
        <v>117871</v>
      </c>
      <c r="K17" s="27">
        <v>2045</v>
      </c>
      <c r="L17" s="34">
        <f t="shared" si="1"/>
        <v>180217</v>
      </c>
      <c r="M17" s="35">
        <f t="shared" si="2"/>
        <v>131606</v>
      </c>
      <c r="N17" s="27">
        <f t="shared" si="3"/>
        <v>2263</v>
      </c>
      <c r="O17" s="45">
        <v>4725</v>
      </c>
      <c r="P17" s="20">
        <f t="shared" si="4"/>
        <v>0.47894179894179895</v>
      </c>
      <c r="Q17" s="31">
        <f t="shared" si="0"/>
        <v>58.155545735749008</v>
      </c>
      <c r="R17" s="27"/>
      <c r="S17" s="27"/>
      <c r="T17" s="27">
        <f t="shared" si="5"/>
        <v>0</v>
      </c>
    </row>
    <row r="18" spans="1:20" x14ac:dyDescent="0.15">
      <c r="A18" t="s">
        <v>22</v>
      </c>
      <c r="B18" s="16" t="s">
        <v>53</v>
      </c>
      <c r="D18" s="16" t="s">
        <v>54</v>
      </c>
      <c r="E18" t="s">
        <v>25</v>
      </c>
      <c r="F18" s="34">
        <v>38000</v>
      </c>
      <c r="G18" s="35">
        <v>7281</v>
      </c>
      <c r="H18" s="27">
        <v>142</v>
      </c>
      <c r="I18" s="34">
        <v>125217</v>
      </c>
      <c r="J18" s="35">
        <v>119628</v>
      </c>
      <c r="K18" s="27">
        <v>2081</v>
      </c>
      <c r="L18" s="34">
        <f t="shared" si="1"/>
        <v>163217</v>
      </c>
      <c r="M18" s="35">
        <f t="shared" si="2"/>
        <v>126909</v>
      </c>
      <c r="N18" s="27">
        <f t="shared" si="3"/>
        <v>2223</v>
      </c>
      <c r="O18" s="45">
        <v>4254</v>
      </c>
      <c r="P18" s="20">
        <f t="shared" si="4"/>
        <v>0.52256699576868826</v>
      </c>
      <c r="Q18" s="31">
        <f t="shared" si="0"/>
        <v>57.089068825910928</v>
      </c>
      <c r="R18" s="27"/>
      <c r="S18" s="27"/>
      <c r="T18" s="27">
        <f t="shared" si="5"/>
        <v>0</v>
      </c>
    </row>
    <row r="19" spans="1:20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4">
        <v>67000</v>
      </c>
      <c r="G19" s="36">
        <v>13003</v>
      </c>
      <c r="H19" s="28">
        <v>207</v>
      </c>
      <c r="I19" s="34">
        <v>125217</v>
      </c>
      <c r="J19" s="36">
        <v>120257</v>
      </c>
      <c r="K19" s="28">
        <v>2083</v>
      </c>
      <c r="L19" s="34">
        <f t="shared" si="1"/>
        <v>192217</v>
      </c>
      <c r="M19" s="36">
        <f t="shared" si="2"/>
        <v>133260</v>
      </c>
      <c r="N19" s="28">
        <f t="shared" si="3"/>
        <v>2290</v>
      </c>
      <c r="O19" s="48">
        <v>4725</v>
      </c>
      <c r="P19" s="21">
        <f t="shared" si="4"/>
        <v>0.48465608465608467</v>
      </c>
      <c r="Q19" s="32">
        <f t="shared" si="0"/>
        <v>58.192139737991269</v>
      </c>
      <c r="R19" s="27"/>
      <c r="S19" s="27"/>
      <c r="T19" s="27">
        <f t="shared" si="5"/>
        <v>0</v>
      </c>
    </row>
    <row r="20" spans="1:20" ht="14" thickBot="1" x14ac:dyDescent="0.2">
      <c r="A20" s="3" t="s">
        <v>8</v>
      </c>
      <c r="B20" s="5"/>
      <c r="C20" s="5"/>
      <c r="D20" s="5"/>
      <c r="E20" s="5"/>
      <c r="F20" s="37">
        <f>SUM(F6:F19)</f>
        <v>616000</v>
      </c>
      <c r="G20" s="37">
        <f t="shared" ref="G20:H20" si="6">SUM(G6:G19)</f>
        <v>132420</v>
      </c>
      <c r="H20" s="24">
        <f t="shared" si="6"/>
        <v>2615</v>
      </c>
      <c r="I20" s="37">
        <f>SUM(I6:I19)</f>
        <v>1753000</v>
      </c>
      <c r="J20" s="37">
        <f t="shared" ref="J20" si="7">SUM(J6:J19)</f>
        <v>1657409</v>
      </c>
      <c r="K20" s="24">
        <f t="shared" ref="K20" si="8">SUM(K6:K19)</f>
        <v>28806</v>
      </c>
      <c r="L20" s="37">
        <f>SUM(L6:L19)</f>
        <v>2369000</v>
      </c>
      <c r="M20" s="37">
        <f t="shared" ref="M20" si="9">SUM(M6:M19)</f>
        <v>1789829</v>
      </c>
      <c r="N20" s="24">
        <f t="shared" ref="N20" si="10">SUM(N6:N19)</f>
        <v>31421</v>
      </c>
      <c r="O20" s="46">
        <f>SUM(O6:O19)</f>
        <v>65208</v>
      </c>
      <c r="P20" s="30">
        <f>N20/O20</f>
        <v>0.48185805422647526</v>
      </c>
      <c r="Q20" s="26">
        <f t="shared" si="0"/>
        <v>56.96282740842112</v>
      </c>
      <c r="R20" s="46">
        <f>SUM(R6:R19)</f>
        <v>10</v>
      </c>
      <c r="S20" s="46">
        <f>SUM(S6:S19)</f>
        <v>100</v>
      </c>
      <c r="T20" s="46">
        <f>SUM(T6:T19)</f>
        <v>110</v>
      </c>
    </row>
    <row r="21" spans="1:20" ht="0.75" customHeight="1" x14ac:dyDescent="0.15">
      <c r="F21" s="38"/>
      <c r="G21" s="39"/>
      <c r="H21" s="27"/>
      <c r="I21" s="38"/>
      <c r="J21" s="39"/>
      <c r="K21" s="27"/>
      <c r="L21" s="43"/>
      <c r="M21" s="43"/>
      <c r="N21" s="27"/>
      <c r="O21" s="45"/>
      <c r="P21" s="10"/>
      <c r="Q21" s="10"/>
      <c r="R21" s="47"/>
      <c r="S21" s="47"/>
      <c r="T21" s="47"/>
    </row>
    <row r="22" spans="1:20" x14ac:dyDescent="0.15">
      <c r="A22" s="1" t="s">
        <v>1</v>
      </c>
      <c r="F22" s="38"/>
      <c r="G22" s="39"/>
      <c r="H22" s="27"/>
      <c r="I22" s="38"/>
      <c r="J22" s="39"/>
      <c r="K22" s="27"/>
      <c r="L22" s="43"/>
      <c r="M22" s="43"/>
      <c r="N22" s="27"/>
      <c r="O22" s="45"/>
      <c r="P22" s="10"/>
      <c r="Q22" s="10"/>
      <c r="R22" s="47"/>
      <c r="S22" s="47"/>
      <c r="T22" s="47"/>
    </row>
    <row r="23" spans="1:20" x14ac:dyDescent="0.15">
      <c r="A23" s="16" t="s">
        <v>57</v>
      </c>
      <c r="B23" s="13"/>
      <c r="C23" s="13"/>
      <c r="D23" s="17" t="s">
        <v>58</v>
      </c>
      <c r="E23" s="16" t="s">
        <v>59</v>
      </c>
      <c r="F23" s="34">
        <v>220000</v>
      </c>
      <c r="G23" s="35">
        <v>196875</v>
      </c>
      <c r="H23" s="27">
        <v>1618</v>
      </c>
      <c r="I23" s="34">
        <v>128000</v>
      </c>
      <c r="J23" s="50">
        <v>114719</v>
      </c>
      <c r="K23" s="27">
        <v>1734</v>
      </c>
      <c r="L23" s="43">
        <f t="shared" ref="L23:L27" si="11">F23+I23</f>
        <v>348000</v>
      </c>
      <c r="M23" s="43">
        <f t="shared" ref="M23:M27" si="12">G23+J23</f>
        <v>311594</v>
      </c>
      <c r="N23" s="27">
        <f t="shared" ref="N23:N27" si="13">H23+K23</f>
        <v>3352</v>
      </c>
      <c r="O23" s="45">
        <v>4707</v>
      </c>
      <c r="P23" s="20">
        <f t="shared" ref="P23:P27" si="14">N23/O23</f>
        <v>0.71213086891863187</v>
      </c>
      <c r="Q23" s="31">
        <f t="shared" ref="Q23:Q28" si="15">M23/N23</f>
        <v>92.957637231503583</v>
      </c>
      <c r="R23" s="27"/>
      <c r="S23" s="27"/>
      <c r="T23" s="27">
        <f t="shared" ref="T23:T27" si="16">SUM(R23:S23)</f>
        <v>0</v>
      </c>
    </row>
    <row r="24" spans="1:20" x14ac:dyDescent="0.15">
      <c r="A24" s="16" t="s">
        <v>60</v>
      </c>
      <c r="D24" s="16" t="s">
        <v>61</v>
      </c>
      <c r="E24" t="s">
        <v>113</v>
      </c>
      <c r="F24" s="34">
        <v>125000</v>
      </c>
      <c r="G24" s="35">
        <v>102003</v>
      </c>
      <c r="H24" s="27">
        <v>1602</v>
      </c>
      <c r="I24" s="34">
        <v>128000</v>
      </c>
      <c r="J24" s="50">
        <v>117857</v>
      </c>
      <c r="K24" s="27">
        <v>1806</v>
      </c>
      <c r="L24" s="43">
        <f t="shared" si="11"/>
        <v>253000</v>
      </c>
      <c r="M24" s="43">
        <f t="shared" si="12"/>
        <v>219860</v>
      </c>
      <c r="N24" s="27">
        <f t="shared" si="13"/>
        <v>3408</v>
      </c>
      <c r="O24" s="45">
        <v>4707</v>
      </c>
      <c r="P24" s="20">
        <f t="shared" si="14"/>
        <v>0.72402804333970683</v>
      </c>
      <c r="Q24" s="31">
        <f t="shared" si="15"/>
        <v>64.512910798122064</v>
      </c>
      <c r="R24" s="27"/>
      <c r="S24" s="27"/>
      <c r="T24" s="27">
        <f t="shared" si="16"/>
        <v>0</v>
      </c>
    </row>
    <row r="25" spans="1:20" x14ac:dyDescent="0.15">
      <c r="A25" s="16" t="s">
        <v>97</v>
      </c>
      <c r="D25" s="16" t="s">
        <v>62</v>
      </c>
      <c r="E25" t="s">
        <v>32</v>
      </c>
      <c r="F25" s="34">
        <v>125000</v>
      </c>
      <c r="G25" s="35">
        <v>20454</v>
      </c>
      <c r="H25" s="27">
        <v>254</v>
      </c>
      <c r="I25" s="34">
        <v>128000</v>
      </c>
      <c r="J25" s="50">
        <v>118341</v>
      </c>
      <c r="K25" s="27">
        <v>1812</v>
      </c>
      <c r="L25" s="43">
        <f t="shared" si="11"/>
        <v>253000</v>
      </c>
      <c r="M25" s="43">
        <f t="shared" si="12"/>
        <v>138795</v>
      </c>
      <c r="N25" s="27">
        <f t="shared" si="13"/>
        <v>2066</v>
      </c>
      <c r="O25" s="45">
        <v>4707</v>
      </c>
      <c r="P25" s="20">
        <f t="shared" si="14"/>
        <v>0.43892075632037392</v>
      </c>
      <c r="Q25" s="31">
        <f t="shared" si="15"/>
        <v>67.180542110358175</v>
      </c>
      <c r="R25" s="27"/>
      <c r="S25" s="27"/>
      <c r="T25" s="27">
        <f t="shared" si="16"/>
        <v>0</v>
      </c>
    </row>
    <row r="26" spans="1:20" x14ac:dyDescent="0.15">
      <c r="A26" s="16" t="s">
        <v>63</v>
      </c>
      <c r="D26" s="17" t="s">
        <v>64</v>
      </c>
      <c r="E26" t="s">
        <v>65</v>
      </c>
      <c r="F26" s="34">
        <v>125000</v>
      </c>
      <c r="G26" s="35">
        <v>24932</v>
      </c>
      <c r="H26" s="27">
        <v>337</v>
      </c>
      <c r="I26" s="34">
        <v>128000</v>
      </c>
      <c r="J26" s="50">
        <v>118359</v>
      </c>
      <c r="K26" s="27">
        <v>1808</v>
      </c>
      <c r="L26" s="43">
        <f t="shared" si="11"/>
        <v>253000</v>
      </c>
      <c r="M26" s="43">
        <f t="shared" si="12"/>
        <v>143291</v>
      </c>
      <c r="N26" s="27">
        <f t="shared" si="13"/>
        <v>2145</v>
      </c>
      <c r="O26" s="45">
        <v>4707</v>
      </c>
      <c r="P26" s="20">
        <f t="shared" si="14"/>
        <v>0.455704270235819</v>
      </c>
      <c r="Q26" s="31">
        <f t="shared" si="15"/>
        <v>66.802331002331002</v>
      </c>
      <c r="R26" s="27"/>
      <c r="S26" s="27"/>
      <c r="T26" s="27">
        <f t="shared" si="16"/>
        <v>0</v>
      </c>
    </row>
    <row r="27" spans="1:20" ht="14" thickBot="1" x14ac:dyDescent="0.2">
      <c r="A27" s="16" t="s">
        <v>66</v>
      </c>
      <c r="D27" s="11" t="s">
        <v>67</v>
      </c>
      <c r="E27" t="s">
        <v>32</v>
      </c>
      <c r="F27" s="40">
        <v>125000</v>
      </c>
      <c r="G27" s="36">
        <v>9538</v>
      </c>
      <c r="H27" s="27">
        <v>138</v>
      </c>
      <c r="I27" s="34">
        <v>128000</v>
      </c>
      <c r="J27" s="51">
        <v>117948</v>
      </c>
      <c r="K27" s="27">
        <v>1795</v>
      </c>
      <c r="L27" s="43">
        <f t="shared" si="11"/>
        <v>253000</v>
      </c>
      <c r="M27" s="43">
        <f t="shared" si="12"/>
        <v>127486</v>
      </c>
      <c r="N27" s="27">
        <f t="shared" si="13"/>
        <v>1933</v>
      </c>
      <c r="O27" s="45">
        <v>4707</v>
      </c>
      <c r="P27" s="21">
        <f t="shared" si="14"/>
        <v>0.4106649670703208</v>
      </c>
      <c r="Q27" s="10">
        <f t="shared" si="15"/>
        <v>65.952405587170205</v>
      </c>
      <c r="R27" s="27"/>
      <c r="S27" s="27"/>
      <c r="T27" s="27">
        <f t="shared" si="16"/>
        <v>0</v>
      </c>
    </row>
    <row r="28" spans="1:20" ht="14" thickBot="1" x14ac:dyDescent="0.2">
      <c r="A28" s="3" t="s">
        <v>7</v>
      </c>
      <c r="B28" s="5"/>
      <c r="C28" s="5"/>
      <c r="D28" s="5"/>
      <c r="E28" s="5"/>
      <c r="F28" s="37">
        <f t="shared" ref="F28:O28" si="17">SUM(F23:F27)</f>
        <v>720000</v>
      </c>
      <c r="G28" s="41">
        <f t="shared" si="17"/>
        <v>353802</v>
      </c>
      <c r="H28" s="29">
        <f t="shared" si="17"/>
        <v>3949</v>
      </c>
      <c r="I28" s="37">
        <f t="shared" si="17"/>
        <v>640000</v>
      </c>
      <c r="J28" s="41">
        <f t="shared" si="17"/>
        <v>587224</v>
      </c>
      <c r="K28" s="29">
        <f t="shared" si="17"/>
        <v>8955</v>
      </c>
      <c r="L28" s="37">
        <f t="shared" si="17"/>
        <v>1360000</v>
      </c>
      <c r="M28" s="41">
        <f t="shared" si="17"/>
        <v>941026</v>
      </c>
      <c r="N28" s="29">
        <f t="shared" si="17"/>
        <v>12904</v>
      </c>
      <c r="O28" s="46">
        <f t="shared" si="17"/>
        <v>23535</v>
      </c>
      <c r="P28" s="30">
        <f>N28/O28</f>
        <v>0.54828978117697047</v>
      </c>
      <c r="Q28" s="33">
        <f t="shared" si="15"/>
        <v>72.925139491630503</v>
      </c>
      <c r="R28" s="46">
        <f>SUM(R23:R27)</f>
        <v>0</v>
      </c>
      <c r="S28" s="46">
        <f t="shared" ref="S28:T28" si="18">SUM(S23:S27)</f>
        <v>0</v>
      </c>
      <c r="T28" s="46">
        <f t="shared" si="18"/>
        <v>0</v>
      </c>
    </row>
    <row r="29" spans="1:20" ht="0.75" customHeight="1" x14ac:dyDescent="0.15">
      <c r="F29" s="38"/>
      <c r="G29" s="39"/>
      <c r="H29" s="27"/>
      <c r="I29" s="38"/>
      <c r="J29" s="39"/>
      <c r="K29" s="27"/>
      <c r="L29" s="43"/>
      <c r="M29" s="43"/>
      <c r="N29" s="27"/>
      <c r="O29" s="45"/>
      <c r="P29" s="10"/>
      <c r="Q29" s="10"/>
      <c r="R29" s="47"/>
      <c r="S29" s="47"/>
      <c r="T29" s="47"/>
    </row>
    <row r="30" spans="1:20" x14ac:dyDescent="0.15">
      <c r="A30" s="1" t="s">
        <v>2</v>
      </c>
      <c r="F30" s="38"/>
      <c r="G30" s="39"/>
      <c r="H30" s="27"/>
      <c r="I30" s="38"/>
      <c r="J30" s="39"/>
      <c r="K30" s="27"/>
      <c r="L30" s="43"/>
      <c r="M30" s="43"/>
      <c r="N30" s="27"/>
      <c r="O30" s="45"/>
      <c r="P30" s="10"/>
      <c r="Q30" s="10"/>
      <c r="R30" s="47"/>
      <c r="S30" s="47"/>
      <c r="T30" s="47"/>
    </row>
    <row r="31" spans="1:20" x14ac:dyDescent="0.15">
      <c r="A31" s="16" t="s">
        <v>129</v>
      </c>
      <c r="B31" s="16"/>
      <c r="C31" s="16"/>
      <c r="D31" s="16" t="s">
        <v>68</v>
      </c>
      <c r="E31" s="16" t="s">
        <v>131</v>
      </c>
      <c r="F31" s="34">
        <v>9000</v>
      </c>
      <c r="G31" s="42">
        <v>6375</v>
      </c>
      <c r="H31" s="27">
        <v>182</v>
      </c>
      <c r="I31" s="34">
        <v>11250</v>
      </c>
      <c r="J31" s="42">
        <v>10559</v>
      </c>
      <c r="K31" s="27">
        <v>520</v>
      </c>
      <c r="L31" s="43">
        <f t="shared" ref="L31:L34" si="19">F31+I31</f>
        <v>20250</v>
      </c>
      <c r="M31" s="43">
        <f t="shared" ref="M31:M34" si="20">G31+J31</f>
        <v>16934</v>
      </c>
      <c r="N31" s="27">
        <f t="shared" ref="N31:N34" si="21">H31+K31</f>
        <v>702</v>
      </c>
      <c r="O31" s="45">
        <v>1575</v>
      </c>
      <c r="P31" s="23">
        <f t="shared" ref="P31:P34" si="22">N31/O31</f>
        <v>0.44571428571428573</v>
      </c>
      <c r="Q31" s="44">
        <f>M31/N31</f>
        <v>24.122507122507123</v>
      </c>
      <c r="R31" s="27"/>
      <c r="S31" s="27"/>
      <c r="T31" s="27">
        <f t="shared" ref="T31:T34" si="23">SUM(R31:S31)</f>
        <v>0</v>
      </c>
    </row>
    <row r="32" spans="1:20" x14ac:dyDescent="0.15">
      <c r="A32" t="s">
        <v>29</v>
      </c>
      <c r="D32" s="17" t="s">
        <v>69</v>
      </c>
      <c r="E32" s="16" t="s">
        <v>134</v>
      </c>
      <c r="F32" s="34">
        <v>410000</v>
      </c>
      <c r="G32" s="35">
        <v>134279</v>
      </c>
      <c r="H32" s="27">
        <v>2103</v>
      </c>
      <c r="I32" s="34">
        <v>11250</v>
      </c>
      <c r="J32" s="35">
        <v>11592</v>
      </c>
      <c r="K32" s="27">
        <v>542</v>
      </c>
      <c r="L32" s="43">
        <f t="shared" si="19"/>
        <v>421250</v>
      </c>
      <c r="M32" s="43">
        <f t="shared" si="20"/>
        <v>145871</v>
      </c>
      <c r="N32" s="27">
        <f t="shared" si="21"/>
        <v>2645</v>
      </c>
      <c r="O32" s="45">
        <v>8508</v>
      </c>
      <c r="P32" s="20">
        <f t="shared" si="22"/>
        <v>0.31088387400094031</v>
      </c>
      <c r="Q32" s="31">
        <f>M32/N32</f>
        <v>55.149716446124764</v>
      </c>
      <c r="R32" s="27"/>
      <c r="S32" s="27"/>
      <c r="T32" s="27">
        <f t="shared" si="23"/>
        <v>0</v>
      </c>
    </row>
    <row r="33" spans="1:20" x14ac:dyDescent="0.15">
      <c r="A33" s="16" t="s">
        <v>70</v>
      </c>
      <c r="D33" s="22" t="s">
        <v>71</v>
      </c>
      <c r="E33" s="16" t="s">
        <v>113</v>
      </c>
      <c r="F33" s="34">
        <v>9000</v>
      </c>
      <c r="G33" s="35">
        <v>12226</v>
      </c>
      <c r="H33" s="27">
        <v>258</v>
      </c>
      <c r="I33" s="34">
        <v>11250</v>
      </c>
      <c r="J33" s="35">
        <v>10806</v>
      </c>
      <c r="K33" s="27">
        <v>544</v>
      </c>
      <c r="L33" s="43">
        <f t="shared" si="19"/>
        <v>20250</v>
      </c>
      <c r="M33" s="43">
        <f t="shared" si="20"/>
        <v>23032</v>
      </c>
      <c r="N33" s="27">
        <f t="shared" si="21"/>
        <v>802</v>
      </c>
      <c r="O33" s="45">
        <v>1308</v>
      </c>
      <c r="P33" s="20">
        <f t="shared" si="22"/>
        <v>0.61314984709480125</v>
      </c>
      <c r="Q33" s="31">
        <f>M33/N33</f>
        <v>28.718204488778056</v>
      </c>
      <c r="R33" s="27"/>
      <c r="S33" s="27"/>
      <c r="T33" s="27">
        <f t="shared" si="23"/>
        <v>0</v>
      </c>
    </row>
    <row r="34" spans="1:20" ht="14" thickBot="1" x14ac:dyDescent="0.2">
      <c r="A34" s="16" t="s">
        <v>72</v>
      </c>
      <c r="D34" s="22" t="s">
        <v>73</v>
      </c>
      <c r="E34" t="s">
        <v>134</v>
      </c>
      <c r="F34" s="34">
        <v>9000</v>
      </c>
      <c r="G34" s="35">
        <v>1498</v>
      </c>
      <c r="H34" s="27">
        <v>36</v>
      </c>
      <c r="I34" s="34">
        <v>11250</v>
      </c>
      <c r="J34" s="35">
        <v>10906</v>
      </c>
      <c r="K34" s="27">
        <v>526</v>
      </c>
      <c r="L34" s="43">
        <f t="shared" si="19"/>
        <v>20250</v>
      </c>
      <c r="M34" s="43">
        <f t="shared" si="20"/>
        <v>12404</v>
      </c>
      <c r="N34" s="27">
        <f t="shared" si="21"/>
        <v>562</v>
      </c>
      <c r="O34" s="45">
        <v>1575</v>
      </c>
      <c r="P34" s="21">
        <f t="shared" si="22"/>
        <v>0.35682539682539682</v>
      </c>
      <c r="Q34" s="10">
        <f>M34/N34</f>
        <v>22.0711743772242</v>
      </c>
      <c r="R34" s="27"/>
      <c r="S34" s="27"/>
      <c r="T34" s="27">
        <f t="shared" si="23"/>
        <v>0</v>
      </c>
    </row>
    <row r="35" spans="1:20" ht="14" thickBot="1" x14ac:dyDescent="0.2">
      <c r="A35" s="3" t="s">
        <v>6</v>
      </c>
      <c r="B35" s="5"/>
      <c r="C35" s="5"/>
      <c r="D35" s="5"/>
      <c r="E35" s="5"/>
      <c r="F35" s="37">
        <f t="shared" ref="F35:O35" si="24">SUM(F31:F34)</f>
        <v>437000</v>
      </c>
      <c r="G35" s="41">
        <f t="shared" si="24"/>
        <v>154378</v>
      </c>
      <c r="H35" s="29">
        <f t="shared" si="24"/>
        <v>2579</v>
      </c>
      <c r="I35" s="37">
        <f t="shared" si="24"/>
        <v>45000</v>
      </c>
      <c r="J35" s="41">
        <f t="shared" si="24"/>
        <v>43863</v>
      </c>
      <c r="K35" s="29">
        <f t="shared" si="24"/>
        <v>2132</v>
      </c>
      <c r="L35" s="37">
        <f t="shared" si="24"/>
        <v>482000</v>
      </c>
      <c r="M35" s="41">
        <f t="shared" si="24"/>
        <v>198241</v>
      </c>
      <c r="N35" s="29">
        <f t="shared" si="24"/>
        <v>4711</v>
      </c>
      <c r="O35" s="46">
        <f t="shared" si="24"/>
        <v>12966</v>
      </c>
      <c r="P35" s="30">
        <f>N35/O35</f>
        <v>0.36333487582909146</v>
      </c>
      <c r="Q35" s="33">
        <f>M35/N35</f>
        <v>42.080450010613461</v>
      </c>
      <c r="R35" s="46">
        <f>SUM(R31:R34)</f>
        <v>0</v>
      </c>
      <c r="S35" s="46">
        <f t="shared" ref="S35:T35" si="25">SUM(S31:S34)</f>
        <v>0</v>
      </c>
      <c r="T35" s="46">
        <f t="shared" si="25"/>
        <v>0</v>
      </c>
    </row>
    <row r="36" spans="1:20" ht="13.5" customHeight="1" x14ac:dyDescent="0.15">
      <c r="A36" s="1" t="s">
        <v>3</v>
      </c>
      <c r="F36" s="38"/>
      <c r="G36" s="39"/>
      <c r="H36" s="27"/>
      <c r="I36" s="38"/>
      <c r="J36" s="39"/>
      <c r="K36" s="27"/>
      <c r="L36" s="43"/>
      <c r="M36" s="43"/>
      <c r="N36" s="27"/>
      <c r="O36" s="45"/>
      <c r="P36" s="10"/>
      <c r="Q36" s="10"/>
      <c r="R36" s="47"/>
      <c r="S36" s="47"/>
      <c r="T36" s="47"/>
    </row>
    <row r="37" spans="1:20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4">
        <v>375000</v>
      </c>
      <c r="G37" s="35">
        <v>361141</v>
      </c>
      <c r="H37" s="27">
        <v>5141</v>
      </c>
      <c r="I37" s="34">
        <v>0</v>
      </c>
      <c r="J37" s="35">
        <v>1337</v>
      </c>
      <c r="K37" s="27">
        <v>33</v>
      </c>
      <c r="L37" s="43">
        <f t="shared" ref="L37:L48" si="26">F37+I37</f>
        <v>375000</v>
      </c>
      <c r="M37" s="43">
        <f t="shared" ref="M37:M48" si="27">G37+J37</f>
        <v>362478</v>
      </c>
      <c r="N37" s="27">
        <f t="shared" ref="N37:N48" si="28">H37+K37</f>
        <v>5174</v>
      </c>
      <c r="O37" s="45">
        <v>5184</v>
      </c>
      <c r="P37" s="20">
        <f t="shared" ref="P37:P48" si="29">N37/O37</f>
        <v>0.99807098765432101</v>
      </c>
      <c r="Q37" s="31">
        <f t="shared" ref="Q37:Q50" si="30">M37/N37</f>
        <v>70.057595670661001</v>
      </c>
      <c r="R37" s="27"/>
      <c r="S37" s="27"/>
      <c r="T37" s="27">
        <f t="shared" ref="T37:T48" si="31">SUM(R37:S37)</f>
        <v>0</v>
      </c>
    </row>
    <row r="38" spans="1:20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4">
        <v>104000</v>
      </c>
      <c r="G38" s="35">
        <v>113297</v>
      </c>
      <c r="H38" s="27">
        <v>1551</v>
      </c>
      <c r="I38" s="34">
        <v>0</v>
      </c>
      <c r="J38" s="35">
        <v>1007</v>
      </c>
      <c r="K38" s="27">
        <v>17</v>
      </c>
      <c r="L38" s="43">
        <f t="shared" si="26"/>
        <v>104000</v>
      </c>
      <c r="M38" s="43">
        <f t="shared" si="27"/>
        <v>114304</v>
      </c>
      <c r="N38" s="27">
        <f t="shared" si="28"/>
        <v>1568</v>
      </c>
      <c r="O38" s="45">
        <v>1575</v>
      </c>
      <c r="P38" s="20">
        <f t="shared" si="29"/>
        <v>0.99555555555555553</v>
      </c>
      <c r="Q38" s="31">
        <f t="shared" si="30"/>
        <v>72.897959183673464</v>
      </c>
      <c r="R38" s="27"/>
      <c r="S38" s="27"/>
      <c r="T38" s="27">
        <f t="shared" si="31"/>
        <v>0</v>
      </c>
    </row>
    <row r="39" spans="1:20" ht="13.5" customHeight="1" x14ac:dyDescent="0.15">
      <c r="A39" s="16" t="s">
        <v>83</v>
      </c>
      <c r="B39" s="13"/>
      <c r="C39" s="13"/>
      <c r="D39" s="18" t="s">
        <v>84</v>
      </c>
      <c r="E39" s="16" t="s">
        <v>114</v>
      </c>
      <c r="F39" s="34">
        <v>100000</v>
      </c>
      <c r="G39" s="35">
        <v>99728</v>
      </c>
      <c r="H39" s="27">
        <v>1356</v>
      </c>
      <c r="I39" s="34">
        <v>0</v>
      </c>
      <c r="J39" s="35">
        <v>628</v>
      </c>
      <c r="K39" s="27">
        <v>21</v>
      </c>
      <c r="L39" s="43">
        <f t="shared" si="26"/>
        <v>100000</v>
      </c>
      <c r="M39" s="43">
        <f t="shared" si="27"/>
        <v>100356</v>
      </c>
      <c r="N39" s="27">
        <f t="shared" si="28"/>
        <v>1377</v>
      </c>
      <c r="O39" s="45">
        <v>1575</v>
      </c>
      <c r="P39" s="20">
        <f t="shared" si="29"/>
        <v>0.87428571428571433</v>
      </c>
      <c r="Q39" s="31">
        <f t="shared" si="30"/>
        <v>72.880174291938999</v>
      </c>
      <c r="R39" s="27"/>
      <c r="S39" s="27"/>
      <c r="T39" s="27">
        <f t="shared" si="31"/>
        <v>0</v>
      </c>
    </row>
    <row r="40" spans="1:20" ht="13.5" customHeight="1" x14ac:dyDescent="0.15">
      <c r="A40" s="16" t="s">
        <v>85</v>
      </c>
      <c r="B40" s="13"/>
      <c r="C40" s="13"/>
      <c r="D40" s="18" t="s">
        <v>86</v>
      </c>
      <c r="E40" s="16" t="s">
        <v>87</v>
      </c>
      <c r="F40" s="34">
        <v>40000</v>
      </c>
      <c r="G40" s="35">
        <v>48985</v>
      </c>
      <c r="H40" s="27">
        <v>917</v>
      </c>
      <c r="I40" s="34">
        <v>0</v>
      </c>
      <c r="J40" s="35">
        <v>726</v>
      </c>
      <c r="K40" s="27">
        <v>44</v>
      </c>
      <c r="L40" s="43">
        <f t="shared" si="26"/>
        <v>40000</v>
      </c>
      <c r="M40" s="43">
        <f t="shared" si="27"/>
        <v>49711</v>
      </c>
      <c r="N40" s="27">
        <f t="shared" si="28"/>
        <v>961</v>
      </c>
      <c r="O40" s="45">
        <v>1308</v>
      </c>
      <c r="P40" s="20">
        <f t="shared" si="29"/>
        <v>0.73470948012232418</v>
      </c>
      <c r="Q40" s="31">
        <f t="shared" si="30"/>
        <v>51.728407908428721</v>
      </c>
      <c r="R40" s="27"/>
      <c r="S40" s="27"/>
      <c r="T40" s="27">
        <f t="shared" si="31"/>
        <v>0</v>
      </c>
    </row>
    <row r="41" spans="1:20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4">
        <v>180000</v>
      </c>
      <c r="G41" s="35">
        <v>75461</v>
      </c>
      <c r="H41" s="27">
        <v>1246</v>
      </c>
      <c r="I41" s="34">
        <v>0</v>
      </c>
      <c r="J41" s="35">
        <v>734</v>
      </c>
      <c r="K41" s="27">
        <v>23</v>
      </c>
      <c r="L41" s="43">
        <f t="shared" si="26"/>
        <v>180000</v>
      </c>
      <c r="M41" s="43">
        <f t="shared" si="27"/>
        <v>76195</v>
      </c>
      <c r="N41" s="27">
        <f t="shared" si="28"/>
        <v>1269</v>
      </c>
      <c r="O41" s="45">
        <v>4254</v>
      </c>
      <c r="P41" s="20">
        <f t="shared" si="29"/>
        <v>0.29830747531734836</v>
      </c>
      <c r="Q41" s="31">
        <f t="shared" si="30"/>
        <v>60.04334121355398</v>
      </c>
      <c r="R41" s="27"/>
      <c r="S41" s="27"/>
      <c r="T41" s="27">
        <f t="shared" si="31"/>
        <v>0</v>
      </c>
    </row>
    <row r="42" spans="1:20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4">
        <v>155000</v>
      </c>
      <c r="G42" s="35">
        <v>136427</v>
      </c>
      <c r="H42" s="27">
        <v>2082</v>
      </c>
      <c r="I42" s="34">
        <v>0</v>
      </c>
      <c r="J42" s="35">
        <v>1089</v>
      </c>
      <c r="K42" s="27">
        <v>22</v>
      </c>
      <c r="L42" s="43">
        <f t="shared" si="26"/>
        <v>155000</v>
      </c>
      <c r="M42" s="43">
        <f t="shared" si="27"/>
        <v>137516</v>
      </c>
      <c r="N42" s="27">
        <f t="shared" si="28"/>
        <v>2104</v>
      </c>
      <c r="O42" s="45">
        <v>2616</v>
      </c>
      <c r="P42" s="20">
        <f t="shared" si="29"/>
        <v>0.80428134556574926</v>
      </c>
      <c r="Q42" s="31">
        <f t="shared" si="30"/>
        <v>65.359315589353614</v>
      </c>
      <c r="R42" s="27"/>
      <c r="S42" s="27"/>
      <c r="T42" s="27">
        <f t="shared" si="31"/>
        <v>0</v>
      </c>
    </row>
    <row r="43" spans="1:20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4">
        <v>330000</v>
      </c>
      <c r="G43" s="35">
        <v>151560</v>
      </c>
      <c r="H43" s="27">
        <v>2371</v>
      </c>
      <c r="I43" s="34">
        <v>0</v>
      </c>
      <c r="J43" s="35">
        <v>878</v>
      </c>
      <c r="K43" s="27">
        <v>24</v>
      </c>
      <c r="L43" s="43">
        <f t="shared" si="26"/>
        <v>330000</v>
      </c>
      <c r="M43" s="43">
        <f t="shared" si="27"/>
        <v>152438</v>
      </c>
      <c r="N43" s="27">
        <f t="shared" si="28"/>
        <v>2395</v>
      </c>
      <c r="O43" s="45">
        <v>5184</v>
      </c>
      <c r="P43" s="20">
        <f t="shared" si="29"/>
        <v>0.46199845679012347</v>
      </c>
      <c r="Q43" s="31">
        <f t="shared" si="30"/>
        <v>63.648434237995822</v>
      </c>
      <c r="R43" s="27"/>
      <c r="S43" s="27"/>
      <c r="T43" s="27">
        <f t="shared" si="31"/>
        <v>0</v>
      </c>
    </row>
    <row r="44" spans="1:20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4">
        <v>232000</v>
      </c>
      <c r="G44" s="35">
        <v>45759</v>
      </c>
      <c r="H44" s="27">
        <v>686</v>
      </c>
      <c r="I44" s="34">
        <v>0</v>
      </c>
      <c r="J44" s="35">
        <v>1103</v>
      </c>
      <c r="K44" s="27">
        <v>24</v>
      </c>
      <c r="L44" s="43">
        <f t="shared" si="26"/>
        <v>232000</v>
      </c>
      <c r="M44" s="43">
        <f t="shared" si="27"/>
        <v>46862</v>
      </c>
      <c r="N44" s="27">
        <f t="shared" si="28"/>
        <v>710</v>
      </c>
      <c r="O44" s="45">
        <v>3888</v>
      </c>
      <c r="P44" s="20">
        <f t="shared" si="29"/>
        <v>0.18261316872427982</v>
      </c>
      <c r="Q44" s="31">
        <f t="shared" si="30"/>
        <v>66.002816901408451</v>
      </c>
      <c r="R44" s="27"/>
      <c r="S44" s="27"/>
      <c r="T44" s="27">
        <f t="shared" si="31"/>
        <v>0</v>
      </c>
    </row>
    <row r="45" spans="1:20" ht="12.75" customHeight="1" x14ac:dyDescent="0.15">
      <c r="A45" s="16" t="s">
        <v>90</v>
      </c>
      <c r="B45" s="13"/>
      <c r="C45" s="13"/>
      <c r="D45" s="18" t="s">
        <v>91</v>
      </c>
      <c r="E45" s="16" t="s">
        <v>134</v>
      </c>
      <c r="F45" s="34">
        <v>92000</v>
      </c>
      <c r="G45" s="35">
        <v>5511</v>
      </c>
      <c r="H45" s="27">
        <v>69</v>
      </c>
      <c r="I45" s="34">
        <v>0</v>
      </c>
      <c r="J45" s="35">
        <v>297</v>
      </c>
      <c r="K45" s="27">
        <v>8</v>
      </c>
      <c r="L45" s="43">
        <f t="shared" si="26"/>
        <v>92000</v>
      </c>
      <c r="M45" s="43">
        <f t="shared" si="27"/>
        <v>5808</v>
      </c>
      <c r="N45" s="27">
        <f t="shared" si="28"/>
        <v>77</v>
      </c>
      <c r="O45" s="45">
        <v>1575</v>
      </c>
      <c r="P45" s="20">
        <f t="shared" si="29"/>
        <v>4.8888888888888891E-2</v>
      </c>
      <c r="Q45" s="31">
        <f t="shared" si="30"/>
        <v>75.428571428571431</v>
      </c>
      <c r="R45" s="27"/>
      <c r="S45" s="27"/>
      <c r="T45" s="27">
        <f t="shared" si="31"/>
        <v>0</v>
      </c>
    </row>
    <row r="46" spans="1:20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4">
        <v>375000</v>
      </c>
      <c r="G46" s="35">
        <v>147333</v>
      </c>
      <c r="H46" s="27">
        <v>1863</v>
      </c>
      <c r="I46" s="34">
        <v>0</v>
      </c>
      <c r="J46" s="35">
        <v>1467</v>
      </c>
      <c r="K46" s="27">
        <v>27</v>
      </c>
      <c r="L46" s="43">
        <f t="shared" si="26"/>
        <v>375000</v>
      </c>
      <c r="M46" s="43">
        <f t="shared" si="27"/>
        <v>148800</v>
      </c>
      <c r="N46" s="27">
        <f t="shared" si="28"/>
        <v>1890</v>
      </c>
      <c r="O46" s="45">
        <v>5184</v>
      </c>
      <c r="P46" s="20">
        <f t="shared" si="29"/>
        <v>0.36458333333333331</v>
      </c>
      <c r="Q46" s="31">
        <f t="shared" si="30"/>
        <v>78.730158730158735</v>
      </c>
      <c r="R46" s="27"/>
      <c r="S46" s="27"/>
      <c r="T46" s="27">
        <f t="shared" si="31"/>
        <v>0</v>
      </c>
    </row>
    <row r="47" spans="1:20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4">
        <v>100000</v>
      </c>
      <c r="G47" s="35">
        <v>32127</v>
      </c>
      <c r="H47" s="27">
        <v>340</v>
      </c>
      <c r="I47" s="34">
        <v>0</v>
      </c>
      <c r="J47" s="35">
        <v>0</v>
      </c>
      <c r="K47" s="27">
        <v>0</v>
      </c>
      <c r="L47" s="43">
        <f t="shared" si="26"/>
        <v>100000</v>
      </c>
      <c r="M47" s="43">
        <f t="shared" si="27"/>
        <v>32127</v>
      </c>
      <c r="N47" s="27">
        <f t="shared" si="28"/>
        <v>340</v>
      </c>
      <c r="O47" s="45">
        <v>1575</v>
      </c>
      <c r="P47" s="20">
        <f t="shared" si="29"/>
        <v>0.21587301587301588</v>
      </c>
      <c r="Q47" s="31">
        <f t="shared" si="30"/>
        <v>94.491176470588229</v>
      </c>
      <c r="R47" s="27"/>
      <c r="S47" s="27"/>
      <c r="T47" s="27">
        <f t="shared" si="31"/>
        <v>0</v>
      </c>
    </row>
    <row r="48" spans="1:20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4">
        <v>350000</v>
      </c>
      <c r="G48" s="35">
        <v>0</v>
      </c>
      <c r="H48" s="27">
        <v>0</v>
      </c>
      <c r="I48" s="34">
        <v>0</v>
      </c>
      <c r="J48" s="35">
        <v>0</v>
      </c>
      <c r="K48" s="27">
        <v>0</v>
      </c>
      <c r="L48" s="43">
        <f t="shared" si="26"/>
        <v>350000</v>
      </c>
      <c r="M48" s="43">
        <f t="shared" si="27"/>
        <v>0</v>
      </c>
      <c r="N48" s="27">
        <f t="shared" si="28"/>
        <v>0</v>
      </c>
      <c r="O48" s="45">
        <v>1575</v>
      </c>
      <c r="P48" s="21">
        <f t="shared" si="29"/>
        <v>0</v>
      </c>
      <c r="Q48" s="10" t="e">
        <f t="shared" si="30"/>
        <v>#DIV/0!</v>
      </c>
      <c r="R48" s="27"/>
      <c r="S48" s="27"/>
      <c r="T48" s="27">
        <f t="shared" si="31"/>
        <v>0</v>
      </c>
    </row>
    <row r="49" spans="1:20" ht="16" customHeight="1" thickBot="1" x14ac:dyDescent="0.2">
      <c r="A49" s="3" t="s">
        <v>9</v>
      </c>
      <c r="B49" s="4"/>
      <c r="C49" s="4"/>
      <c r="D49" s="4"/>
      <c r="E49" s="4"/>
      <c r="F49" s="37">
        <f t="shared" ref="F49:O49" si="32">SUM(F37:F48)</f>
        <v>2433000</v>
      </c>
      <c r="G49" s="41">
        <f t="shared" si="32"/>
        <v>1217329</v>
      </c>
      <c r="H49" s="29">
        <f t="shared" si="32"/>
        <v>17622</v>
      </c>
      <c r="I49" s="37">
        <f t="shared" si="32"/>
        <v>0</v>
      </c>
      <c r="J49" s="41">
        <f t="shared" si="32"/>
        <v>9266</v>
      </c>
      <c r="K49" s="29">
        <f t="shared" si="32"/>
        <v>243</v>
      </c>
      <c r="L49" s="37">
        <f t="shared" si="32"/>
        <v>2433000</v>
      </c>
      <c r="M49" s="41">
        <f t="shared" si="32"/>
        <v>1226595</v>
      </c>
      <c r="N49" s="29">
        <f t="shared" si="32"/>
        <v>17865</v>
      </c>
      <c r="O49" s="46">
        <f t="shared" si="32"/>
        <v>35493</v>
      </c>
      <c r="P49" s="30">
        <f>N49/O49</f>
        <v>0.50333868650156366</v>
      </c>
      <c r="Q49" s="33">
        <f t="shared" si="30"/>
        <v>68.6591099916037</v>
      </c>
      <c r="R49" s="46">
        <f>SUM(R37:R47)</f>
        <v>0</v>
      </c>
      <c r="S49" s="46">
        <f t="shared" ref="S49:T49" si="33">SUM(S37:S47)</f>
        <v>0</v>
      </c>
      <c r="T49" s="46">
        <f t="shared" si="33"/>
        <v>0</v>
      </c>
    </row>
    <row r="50" spans="1:20" ht="16" customHeight="1" thickBot="1" x14ac:dyDescent="0.2">
      <c r="A50" s="3" t="s">
        <v>5</v>
      </c>
      <c r="B50" s="4"/>
      <c r="C50" s="4"/>
      <c r="D50" s="4"/>
      <c r="E50" s="4"/>
      <c r="F50" s="37">
        <f>SUM(F20,F28,F35,F49)</f>
        <v>4206000</v>
      </c>
      <c r="G50" s="41">
        <f t="shared" ref="G50" si="34">SUM(G20,G28,G35,G49)</f>
        <v>1857929</v>
      </c>
      <c r="H50" s="29">
        <f>SUM(H20,H28,H35,H49)</f>
        <v>26765</v>
      </c>
      <c r="I50" s="37">
        <f>SUM(I20,I28,I35,I49)</f>
        <v>2438000</v>
      </c>
      <c r="J50" s="41">
        <f t="shared" ref="J50" si="35">SUM(J20,J28,J35,J49)</f>
        <v>2297762</v>
      </c>
      <c r="K50" s="29">
        <f>SUM(K20,K28,K35,K49)</f>
        <v>40136</v>
      </c>
      <c r="L50" s="37">
        <f>SUM(L20,L28,L35,L49)</f>
        <v>6644000</v>
      </c>
      <c r="M50" s="41">
        <f t="shared" ref="M50" si="36">SUM(M20,M28,M35,M49)</f>
        <v>4155691</v>
      </c>
      <c r="N50" s="29">
        <f>SUM(N20,N28,N35,N49)</f>
        <v>66901</v>
      </c>
      <c r="O50" s="46">
        <f>SUM(O20,O28,O35,O49)</f>
        <v>137202</v>
      </c>
      <c r="P50" s="30">
        <f>N50/O50</f>
        <v>0.48760951006545095</v>
      </c>
      <c r="Q50" s="33">
        <f t="shared" si="30"/>
        <v>62.117023661828675</v>
      </c>
      <c r="R50" s="46">
        <f>SUM(R20,R28,R35,R49)</f>
        <v>10</v>
      </c>
      <c r="S50" s="46">
        <f t="shared" ref="S50:T50" si="37">SUM(S20,S28,S35,S49)</f>
        <v>100</v>
      </c>
      <c r="T50" s="46">
        <f t="shared" si="37"/>
        <v>110</v>
      </c>
    </row>
    <row r="51" spans="1:20" ht="12.75" customHeight="1" x14ac:dyDescent="0.15">
      <c r="A51" s="9"/>
      <c r="S51" s="6"/>
    </row>
  </sheetData>
  <mergeCells count="5">
    <mergeCell ref="F3:H3"/>
    <mergeCell ref="I3:K3"/>
    <mergeCell ref="L3:N3"/>
    <mergeCell ref="R3:T3"/>
    <mergeCell ref="O3:Q3"/>
  </mergeCells>
  <phoneticPr fontId="4" type="noConversion"/>
  <pageMargins left="0" right="0" top="0.25" bottom="0.25" header="0.5" footer="0.5"/>
  <pageSetup scale="95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2024-11-15T15:59:14Z</dcterms:modified>
</cp:coreProperties>
</file>