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913" documentId="8_{3E45E35C-2B2D-406E-9F95-3D7D9FC84DC2}" xr6:coauthVersionLast="47" xr6:coauthVersionMax="47" xr10:uidLastSave="{7400F32B-60B2-421E-B8D6-771FED40644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<sst xmlns="http://schemas.openxmlformats.org/spreadsheetml/2006/main" count="163" uniqueCount="139">
  <si>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</si>
  <si>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</si>
  <si>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</si>
  <si>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</si>
  <si>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</si>
  <si>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</si>
  <si>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</si>
  <si>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</si>
  <si>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</si>
  <si>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</si>
  <si>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</si>
  <si>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</si>
  <si>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</si>
  <si>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</si>
  <si>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</si>
  <si>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</si>
  <si>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</si>
  <si>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</si>
  <si>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</si>
  <si>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</si>
  <si>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</si>
  <si>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</si>
  <si>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</si>
  <si>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</si>
  <si>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</si>
  <si>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</si>
  <si>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</si>
  <si>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</si>
  <si>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</si>
  <si>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</si>
  <si>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</si>
  <si>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</si>
  <si>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</si>
  <si>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</si>
  <si>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</si>
  <si>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</si>
  <si>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</si>
  <si>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</si>
  <si>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</si>
  <si>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</si>
  <si>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</si>
  <si>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</si>
  <si>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</si>
  <si>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</si>
  <si>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</si>
  <si>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</si>
  <si>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</si>
  <si>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</si>
  <si>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</si>
  <si>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</si>
  <si>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</si>
  <si>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</si>
  <si>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</si>
  <si>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</si>
  <si>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</si>
  <si>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</si>
  <si>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</si>
  <si>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</si>
  <si>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</si>
  <si>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</si>
  <si>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</si>
  <si>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</si>
  <si>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</si>
  <si>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</si>
  <si>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</si>
  <si>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</si>
  <si>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</si>
  <si>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</si>
  <si>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</si>
  <si>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</si>
  <si>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</si>
  <si>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</si>
  <si>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</si>
  <si>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</si>
  <si>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</si>
  <si>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</si>
  <si>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</si>
  <si>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</si>
  <si>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</si>
  <si>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</si>
  <si>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</si>
  <si>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</si>
  <si>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</si>
  <si>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</si>
  <si>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</si>
  <si>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</si>
  <si>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</si>
  <si>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</si>
  <si>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</si>
  <si>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</si>
  <si>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</si>
  <si>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</si>
  <si>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</si>
  <si>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</si>
  <si>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</si>
  <si>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</si>
  <si>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</si>
  <si>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</si>
  <si>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</si>
  <si>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</si>
  <si>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</si>
  <si>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</si>
  <si>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</si>
  <si>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</si>
  <si>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</si>
  <si>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</si>
  <si>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</si>
  <si>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</si>
  <si>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</si>
  <si>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</si>
  <si>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</si>
  <si>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</si>
  <si>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</si>
  <si>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</si>
  <si>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</si>
  <si>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</si>
  <si>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</si>
  <si>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</si>
  <si>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</si>
  <si>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</si>
  <si>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</si>
  <si>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</si>
  <si>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</si>
  <si>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</si>
  <si>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</si>
  <si>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</si>
  <si>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</si>
  <si>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</si>
  <si>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</si>
  <si>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</si>
  <si>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</si>
  <si>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</si>
  <si>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</si>
  <si>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</si>
  <si>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</si>
  <si>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</si>
  <si>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</si>
  <si>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</si>
  <si>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$96,866; for Pops $39,579; FINAL for Family $76,563; and Other Concerts $136,758.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</si>
</sst>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6" workbookViewId="0">
      <selection activeCell="X44" sqref="X44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45408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3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3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5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46333</v>
      </c>
      <c r="H17" s="33"/>
      <c r="I17" s="25">
        <v>720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166679</v>
      </c>
      <c r="O17" s="25">
        <f t="shared" si="2"/>
        <v>2810</v>
      </c>
      <c r="P17" s="42">
        <v>4725</v>
      </c>
      <c r="Q17" s="20">
        <f t="shared" si="4"/>
        <v>0.59470899470899474</v>
      </c>
      <c r="R17" s="29">
        <f t="shared" si="3"/>
        <v>59.316370106761568</v>
      </c>
      <c r="S17" s="25">
        <v>81</v>
      </c>
      <c r="T17" s="84">
        <v>1401</v>
      </c>
      <c r="U17" s="25">
        <f t="shared" si="5"/>
        <v>1482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40831</v>
      </c>
      <c r="H18" s="33"/>
      <c r="I18" s="25">
        <v>694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162705</v>
      </c>
      <c r="O18" s="25">
        <f t="shared" si="2"/>
        <v>2842</v>
      </c>
      <c r="P18" s="42">
        <v>4254</v>
      </c>
      <c r="Q18" s="20">
        <f t="shared" si="4"/>
        <v>0.66807710390220965</v>
      </c>
      <c r="R18" s="29">
        <f t="shared" si="3"/>
        <v>57.250175932441941</v>
      </c>
      <c r="S18" s="25">
        <v>82</v>
      </c>
      <c r="T18" s="84">
        <v>1385</v>
      </c>
      <c r="U18" s="25">
        <f t="shared" si="5"/>
        <v>1467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39615</v>
      </c>
      <c r="H19" s="34"/>
      <c r="I19" s="26">
        <v>594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162668</v>
      </c>
      <c r="O19" s="26">
        <f t="shared" si="2"/>
        <v>2723</v>
      </c>
      <c r="P19" s="45">
        <v>4725</v>
      </c>
      <c r="Q19" s="21">
        <f t="shared" si="4"/>
        <v>0.57629629629629631</v>
      </c>
      <c r="R19" s="30">
        <f t="shared" si="3"/>
        <v>59.738523687109804</v>
      </c>
      <c r="S19" s="25">
        <v>31</v>
      </c>
      <c r="T19" s="84">
        <v>1389</v>
      </c>
      <c r="U19" s="25">
        <f t="shared" si="5"/>
        <v>1420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679645</v>
      </c>
      <c r="H20" s="35">
        <v>63645</v>
      </c>
      <c r="I20" s="23">
        <f t="shared" si="6"/>
        <v>14133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2368847</v>
      </c>
      <c r="O20" s="23">
        <f t="shared" ref="O20" si="10">SUM(O6:O19)</f>
        <v>43865</v>
      </c>
      <c r="P20" s="43">
        <f>SUM(P6:P19)</f>
        <v>65208</v>
      </c>
      <c r="Q20" s="28">
        <f>O20/P20</f>
        <v>0.67269353453563985</v>
      </c>
      <c r="R20" s="24">
        <f t="shared" si="3"/>
        <v>54.003123218967289</v>
      </c>
      <c r="S20" s="43">
        <f>SUM(S6:S19)</f>
        <v>2075</v>
      </c>
      <c r="T20" s="43">
        <f>SUM(T6:T19)</f>
        <v>21222</v>
      </c>
      <c r="U20" s="43">
        <f>SUM(U6:U19)</f>
        <v>23297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83885</v>
      </c>
      <c r="H27" s="67"/>
      <c r="I27" s="25">
        <v>1192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204062</v>
      </c>
      <c r="O27" s="25">
        <f>I27+L27</f>
        <v>3103</v>
      </c>
      <c r="P27" s="42">
        <v>4707</v>
      </c>
      <c r="Q27" s="21">
        <f t="shared" si="12"/>
        <v>0.65923093265349475</v>
      </c>
      <c r="R27" s="10">
        <f t="shared" si="13"/>
        <v>65.762810183693205</v>
      </c>
      <c r="S27" s="25">
        <v>173</v>
      </c>
      <c r="T27" s="25">
        <v>1232</v>
      </c>
      <c r="U27" s="25">
        <f t="shared" si="14"/>
        <v>1405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718464</v>
      </c>
      <c r="H28" s="77">
        <v>1536</v>
      </c>
      <c r="I28" s="27">
        <f t="shared" si="15"/>
        <v>9141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1312341</v>
      </c>
      <c r="O28" s="27">
        <f t="shared" si="15"/>
        <v>18372</v>
      </c>
      <c r="P28" s="43">
        <f t="shared" si="15"/>
        <v>23535</v>
      </c>
      <c r="Q28" s="28">
        <f>O28/P28</f>
        <v>0.78062460165710645</v>
      </c>
      <c r="R28" s="31">
        <f t="shared" si="13"/>
        <v>71.431580666231227</v>
      </c>
      <c r="S28" s="43">
        <f>SUM(S23:S27)</f>
        <v>1590</v>
      </c>
      <c r="T28" s="43">
        <f t="shared" ref="T28:U28" si="16">SUM(T23:T27)</f>
        <v>6578</v>
      </c>
      <c r="U28" s="43">
        <f t="shared" si="16"/>
        <v>8168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54" t="s">
        <v>98</v>
      </c>
      <c r="B47" s="63"/>
      <c r="C47" s="63"/>
      <c r="D47" s="87" t="s">
        <v>99</v>
      </c>
      <c r="E47" s="54" t="s">
        <v>106</v>
      </c>
      <c r="F47" s="49">
        <v>100000</v>
      </c>
      <c r="G47" s="50">
        <v>103705</v>
      </c>
      <c r="H47" s="50"/>
      <c r="I47" s="51">
        <v>1383</v>
      </c>
      <c r="J47" s="49">
        <v>0</v>
      </c>
      <c r="K47" s="50">
        <v>0</v>
      </c>
      <c r="L47" s="51">
        <v>22</v>
      </c>
      <c r="M47" s="64">
        <f t="shared" si="22"/>
        <v>100000</v>
      </c>
      <c r="N47" s="64">
        <f t="shared" si="23"/>
        <v>103705</v>
      </c>
      <c r="O47" s="51">
        <f t="shared" si="24"/>
        <v>1405</v>
      </c>
      <c r="P47" s="52">
        <v>1575</v>
      </c>
      <c r="Q47" s="65">
        <f t="shared" si="25"/>
        <v>0.89206349206349211</v>
      </c>
      <c r="R47" s="53">
        <f t="shared" si="26"/>
        <v>73.811387900355868</v>
      </c>
      <c r="S47" s="51">
        <v>168</v>
      </c>
      <c r="T47" s="51">
        <v>441</v>
      </c>
      <c r="U47" s="51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201619</v>
      </c>
      <c r="H48" s="33"/>
      <c r="I48" s="25">
        <v>2381</v>
      </c>
      <c r="J48" s="32"/>
      <c r="K48" s="33"/>
      <c r="L48" s="25"/>
      <c r="M48" s="40"/>
      <c r="N48" s="40">
        <v>201619</v>
      </c>
      <c r="O48" s="25">
        <v>2381</v>
      </c>
      <c r="P48" s="42">
        <v>2468</v>
      </c>
      <c r="Q48" s="20">
        <v>0.96</v>
      </c>
      <c r="R48" s="76">
        <v>84.7</v>
      </c>
      <c r="S48" s="25">
        <v>716</v>
      </c>
      <c r="T48" s="25">
        <v>253</v>
      </c>
      <c r="U48" s="25">
        <f t="shared" si="27"/>
        <v>969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362199</v>
      </c>
      <c r="H49" s="33"/>
      <c r="I49" s="25">
        <v>1551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362199</v>
      </c>
      <c r="O49" s="25">
        <f t="shared" si="24"/>
        <v>1551</v>
      </c>
      <c r="P49" s="42">
        <v>1575</v>
      </c>
      <c r="Q49" s="21">
        <f t="shared" si="25"/>
        <v>0.98476190476190473</v>
      </c>
      <c r="R49" s="10">
        <f t="shared" si="26"/>
        <v>233.52611218568666</v>
      </c>
      <c r="S49" s="25">
        <v>64</v>
      </c>
      <c r="T49" s="25">
        <v>682</v>
      </c>
      <c r="U49" s="25">
        <f t="shared" si="27"/>
        <v>746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2783576</v>
      </c>
      <c r="H50" s="39">
        <v>200576</v>
      </c>
      <c r="I50" s="27">
        <f t="shared" si="28"/>
        <v>35114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2794524</v>
      </c>
      <c r="O50" s="27">
        <f t="shared" si="28"/>
        <v>35435</v>
      </c>
      <c r="P50" s="43">
        <f t="shared" si="28"/>
        <v>37961</v>
      </c>
      <c r="Q50" s="28">
        <f>O50/P50</f>
        <v>0.93345802270751566</v>
      </c>
      <c r="R50" s="31">
        <f t="shared" si="26"/>
        <v>78.863383660222937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4695248</v>
      </c>
      <c r="H51" s="39">
        <v>339248</v>
      </c>
      <c r="I51" s="27">
        <f>SUM(I20,I28,I35,I50)</f>
        <v>66878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7034375</v>
      </c>
      <c r="O51" s="27">
        <f>SUM(O20,O28,O35,O50)</f>
        <v>108412</v>
      </c>
      <c r="P51" s="43">
        <f>SUM(P20,P28,P35,P50)</f>
        <v>139670</v>
      </c>
      <c r="Q51" s="28">
        <f>O51/P51</f>
        <v>0.776201045321114</v>
      </c>
      <c r="R51" s="31">
        <f t="shared" si="26"/>
        <v>64.88557539755746</v>
      </c>
      <c r="S51" s="43">
        <f>SUM(S20,S28,S35,S50)</f>
        <v>9409</v>
      </c>
      <c r="T51" s="43">
        <f t="shared" ref="T51:U51" si="33">SUM(T20,T28,T35,T50)</f>
        <v>37117</v>
      </c>
      <c r="U51" s="43">
        <f t="shared" si="33"/>
        <v>46526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2024-04-26T16:15:16Z</dcterms:modified>
</cp:coreProperties>
</file>