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80" documentId="8_{3E45E35C-2B2D-406E-9F95-3D7D9FC84DC2}" xr6:coauthVersionLast="47" xr6:coauthVersionMax="47" xr10:uidLastSave="{1AFDA546-6D2B-46E6-B3F4-5C59470E2D88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<sst xmlns="http://schemas.openxmlformats.org/spreadsheetml/2006/main" count="167" uniqueCount="143">
  <si>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</si>
  <si>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</si>
  <si>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</si>
  <si>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</si>
  <si>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</si>
  <si>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</si>
  <si>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</si>
  <si>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</si>
  <si>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</si>
  <si>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</si>
  <si>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</si>
  <si>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</si>
  <si>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</si>
  <si>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</si>
  <si>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</si>
  <si>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</si>
  <si>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</si>
  <si>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</si>
  <si>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</si>
  <si>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</si>
  <si>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</si>
  <si>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</si>
  <si>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</si>
  <si>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</si>
  <si>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</si>
  <si>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</si>
  <si>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</si>
  <si>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</si>
  <si>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</si>
  <si>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</si>
  <si>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</si>
  <si>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</si>
  <si>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</si>
  <si>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</si>
  <si>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</si>
  <si>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</si>
  <si>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</si>
  <si>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</si>
  <si>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</si>
  <si>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</si>
  <si>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</si>
  <si>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</si>
  <si>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</si>
  <si>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</si>
  <si>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</si>
  <si>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</si>
  <si>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</si>
  <si>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</si>
  <si>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</si>
  <si>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</si>
  <si>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</si>
  <si>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</si>
  <si>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</si>
  <si>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</si>
  <si>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</si>
  <si>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</si>
  <si>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</si>
  <si>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</si>
  <si>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</si>
  <si>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</si>
  <si>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</si>
  <si>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</si>
  <si>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</si>
  <si>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</si>
  <si>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</si>
  <si>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</si>
  <si>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</si>
  <si>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</si>
  <si>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</si>
  <si>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</si>
  <si>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</si>
  <si>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</si>
  <si>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</si>
  <si>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</si>
  <si>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</si>
  <si>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</si>
  <si>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</si>
  <si>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</si>
  <si>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</si>
  <si>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</si>
  <si>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</si>
  <si>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</si>
  <si>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</si>
  <si>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</si>
  <si>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</si>
  <si>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</si>
  <si>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</si>
  <si>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</si>
  <si>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</si>
  <si>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</si>
  <si>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</si>
  <si>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</si>
  <si>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</si>
  <si>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</si>
  <si>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</si>
  <si>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</si>
  <si>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</si>
  <si>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</si>
  <si>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</si>
  <si>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</si>
  <si>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</si>
  <si>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</si>
  <si>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</si>
  <si>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</si>
  <si>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</si>
  <si>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</si>
  <si>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</si>
  <si>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</si>
  <si>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</si>
  <si>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</si>
  <si>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</si>
  <si>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</si>
  <si>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</si>
  <si>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</si>
  <si>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</si>
  <si>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</si>
  <si>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</si>
  <si>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</si>
  <si>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</si>
  <si>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</si>
  <si>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</si>
  <si>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</si>
  <si>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</si>
  <si>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</si>
  <si>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</si>
  <si>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</si>
  <si>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</si>
  <si>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</si>
  <si>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</si>
  <si>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</si>
  <si>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</si>
  <si>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</si>
  <si>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</si>
  <si>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</si>
  <si>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</si>
  <si>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</si>
  <si>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</si>
  <si>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</si>
  <si>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r>
      <t xml:space="preserve">To date, we have $78,383 to go to make our </t>
    </r>
    <r>
      <rPr>
        <b/>
        <sz val="10"/>
        <color rgb="FFFF0000"/>
        <rFont val="Arial"/>
        <family val="2"/>
      </rPr>
      <t>Classical Series</t>
    </r>
    <r>
      <rPr>
        <sz val="10"/>
        <color rgb="FFFF0000"/>
        <rFont val="Arial"/>
        <family val="2"/>
      </rPr>
      <t xml:space="preserve"> single ticket budget in total.</t>
    </r>
  </si>
  <si>
    <r>
      <t xml:space="preserve">To date, we have $$50,743 to go to make our </t>
    </r>
    <r>
      <rPr>
        <b/>
        <sz val="10"/>
        <color rgb="FFFF0000"/>
        <rFont val="Arial"/>
        <family val="2"/>
      </rPr>
      <t>Pops Series</t>
    </r>
    <r>
      <rPr>
        <sz val="10"/>
        <color rgb="FFFF0000"/>
        <rFont val="Arial"/>
        <family val="2"/>
      </rPr>
      <t xml:space="preserve"> single ticket budget in total.</t>
    </r>
  </si>
  <si>
    <r>
      <t xml:space="preserve">To date, we have exceeded our </t>
    </r>
    <r>
      <rPr>
        <b/>
        <sz val="10"/>
        <rFont val="Arial"/>
        <family val="2"/>
      </rPr>
      <t>Family Series</t>
    </r>
    <r>
      <rPr>
        <sz val="10"/>
        <rFont val="Arial"/>
        <family val="2"/>
      </rPr>
      <t xml:space="preserve"> single ticket goal in total by $73,164.</t>
    </r>
  </si>
  <si>
    <r>
      <t xml:space="preserve">To date, we have $56,192 to go to make our </t>
    </r>
    <r>
      <rPr>
        <b/>
        <sz val="10"/>
        <color rgb="FFFF0000"/>
        <rFont val="Arial"/>
        <family val="2"/>
      </rPr>
      <t>Special/Other Concerts</t>
    </r>
    <r>
      <rPr>
        <sz val="10"/>
        <color rgb="FFFF0000"/>
        <rFont val="Arial"/>
        <family val="2"/>
      </rPr>
      <t xml:space="preserve"> single ticket budget in total.</t>
    </r>
  </si>
  <si>
    <t>In total, we have $112,154 to go to make our combined single ticket budgets.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</si>
</sst>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49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2" fillId="0" borderId="0" xfId="0" applyFont="1"/>
    <xf numFmtId="0" fontId="13" fillId="0" borderId="0" xfId="0" applyFo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22" workbookViewId="0">
      <selection activeCell="A56" sqref="A56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44989</v>
      </c>
    </row>
    <row r="2" spans="1:21" x14ac:dyDescent="0.2">
      <c r="A2" s="9"/>
      <c r="E2" s="13" t="s">
        <v>27</v>
      </c>
    </row>
    <row r="3" spans="1:21" x14ac:dyDescent="0.2">
      <c r="E3" s="16"/>
      <c r="F3" s="80" t="s">
        <v>115</v>
      </c>
      <c r="G3" s="80"/>
      <c r="H3" s="80"/>
      <c r="I3" s="80"/>
      <c r="J3" s="81" t="s">
        <v>116</v>
      </c>
      <c r="K3" s="81"/>
      <c r="L3" s="81"/>
      <c r="M3" s="82" t="s">
        <v>117</v>
      </c>
      <c r="N3" s="82"/>
      <c r="O3" s="82"/>
      <c r="P3" s="84" t="s">
        <v>124</v>
      </c>
      <c r="Q3" s="84"/>
      <c r="R3" s="84"/>
      <c r="S3" s="83" t="s">
        <v>130</v>
      </c>
      <c r="T3" s="83"/>
      <c r="U3" s="83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10</v>
      </c>
      <c r="T6" s="68">
        <v>100</v>
      </c>
      <c r="U6" s="68">
        <f>SUM(S6:T6)</f>
        <v>110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/>
      <c r="T7" s="68"/>
      <c r="U7" s="68">
        <f t="shared" ref="U7:U19" si="5">SUM(S7:T7)</f>
        <v>0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/>
      <c r="T8" s="68"/>
      <c r="U8" s="68">
        <f t="shared" si="5"/>
        <v>0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/>
      <c r="T9" s="68"/>
      <c r="U9" s="68">
        <f t="shared" si="5"/>
        <v>0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/>
      <c r="T10" s="25"/>
      <c r="U10" s="25">
        <f t="shared" si="5"/>
        <v>0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/>
      <c r="T11" s="25"/>
      <c r="U11" s="25">
        <f t="shared" si="5"/>
        <v>0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/>
      <c r="T12" s="68"/>
      <c r="U12" s="68">
        <f t="shared" si="5"/>
        <v>0</v>
      </c>
    </row>
    <row r="13" spans="1:21" x14ac:dyDescent="0.2">
      <c r="A13" s="48" t="s">
        <v>17</v>
      </c>
      <c r="B13" s="48" t="s">
        <v>97</v>
      </c>
      <c r="C13" s="48"/>
      <c r="D13" s="54" t="s">
        <v>47</v>
      </c>
      <c r="E13" s="54" t="s">
        <v>101</v>
      </c>
      <c r="F13" s="49">
        <v>40000</v>
      </c>
      <c r="G13" s="50">
        <v>62510</v>
      </c>
      <c r="H13" s="50"/>
      <c r="I13" s="51">
        <v>1352</v>
      </c>
      <c r="J13" s="49">
        <v>125217</v>
      </c>
      <c r="K13" s="50">
        <v>121952</v>
      </c>
      <c r="L13" s="51">
        <v>2160</v>
      </c>
      <c r="M13" s="49">
        <f t="shared" si="0"/>
        <v>165217</v>
      </c>
      <c r="N13" s="50">
        <f t="shared" si="1"/>
        <v>184462</v>
      </c>
      <c r="O13" s="51">
        <f t="shared" si="2"/>
        <v>3512</v>
      </c>
      <c r="P13" s="52">
        <v>4725</v>
      </c>
      <c r="Q13" s="65">
        <f t="shared" si="4"/>
        <v>0.74328042328042332</v>
      </c>
      <c r="R13" s="53">
        <f t="shared" si="3"/>
        <v>52.523348519362187</v>
      </c>
      <c r="S13" s="51"/>
      <c r="T13" s="51"/>
      <c r="U13" s="51">
        <f t="shared" si="5"/>
        <v>0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32">
        <v>40000</v>
      </c>
      <c r="G14" s="33">
        <v>25342</v>
      </c>
      <c r="H14" s="33"/>
      <c r="I14" s="25">
        <v>663</v>
      </c>
      <c r="J14" s="32">
        <v>125217</v>
      </c>
      <c r="K14" s="33">
        <v>121572</v>
      </c>
      <c r="L14" s="25">
        <v>2156</v>
      </c>
      <c r="M14" s="32">
        <f t="shared" si="0"/>
        <v>165217</v>
      </c>
      <c r="N14" s="33">
        <f t="shared" si="1"/>
        <v>146914</v>
      </c>
      <c r="O14" s="25">
        <f t="shared" si="2"/>
        <v>2819</v>
      </c>
      <c r="P14" s="42">
        <v>4725</v>
      </c>
      <c r="Q14" s="20">
        <f t="shared" si="4"/>
        <v>0.5966137566137566</v>
      </c>
      <c r="R14" s="29">
        <f t="shared" si="3"/>
        <v>52.115643845335228</v>
      </c>
      <c r="S14" s="25"/>
      <c r="T14" s="25"/>
      <c r="U14" s="25">
        <f t="shared" si="5"/>
        <v>0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32">
        <v>35000</v>
      </c>
      <c r="G15" s="33">
        <v>21161</v>
      </c>
      <c r="H15" s="33"/>
      <c r="I15" s="25">
        <v>342</v>
      </c>
      <c r="J15" s="32">
        <v>125217</v>
      </c>
      <c r="K15" s="33">
        <v>117470</v>
      </c>
      <c r="L15" s="25">
        <v>2082</v>
      </c>
      <c r="M15" s="32">
        <f t="shared" si="0"/>
        <v>160217</v>
      </c>
      <c r="N15" s="33">
        <f t="shared" si="1"/>
        <v>138631</v>
      </c>
      <c r="O15" s="25">
        <f t="shared" si="2"/>
        <v>2424</v>
      </c>
      <c r="P15" s="42">
        <v>4725</v>
      </c>
      <c r="Q15" s="20">
        <f t="shared" si="4"/>
        <v>0.51301587301587304</v>
      </c>
      <c r="R15" s="29">
        <f t="shared" si="3"/>
        <v>57.191006600660067</v>
      </c>
      <c r="S15" s="25"/>
      <c r="T15" s="25"/>
      <c r="U15" s="25">
        <f t="shared" si="5"/>
        <v>0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16678</v>
      </c>
      <c r="H16" s="33"/>
      <c r="I16" s="25">
        <v>289</v>
      </c>
      <c r="J16" s="32">
        <v>125217</v>
      </c>
      <c r="K16" s="33">
        <v>126612</v>
      </c>
      <c r="L16" s="25">
        <v>2247</v>
      </c>
      <c r="M16" s="32">
        <f t="shared" si="0"/>
        <v>170217</v>
      </c>
      <c r="N16" s="33">
        <f t="shared" si="1"/>
        <v>143290</v>
      </c>
      <c r="O16" s="25">
        <f t="shared" si="2"/>
        <v>2536</v>
      </c>
      <c r="P16" s="42">
        <v>4725</v>
      </c>
      <c r="Q16" s="20">
        <f t="shared" si="4"/>
        <v>0.53671957671957671</v>
      </c>
      <c r="R16" s="29">
        <f t="shared" si="3"/>
        <v>56.502365930599368</v>
      </c>
      <c r="S16" s="25"/>
      <c r="T16" s="25"/>
      <c r="U16" s="25">
        <f t="shared" si="5"/>
        <v>0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31293</v>
      </c>
      <c r="H17" s="33"/>
      <c r="I17" s="25">
        <v>504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151639</v>
      </c>
      <c r="O17" s="25">
        <f t="shared" si="2"/>
        <v>2594</v>
      </c>
      <c r="P17" s="42">
        <v>4725</v>
      </c>
      <c r="Q17" s="20">
        <f t="shared" si="4"/>
        <v>0.54899470899470904</v>
      </c>
      <c r="R17" s="29">
        <f t="shared" si="3"/>
        <v>58.457594448727832</v>
      </c>
      <c r="S17" s="25"/>
      <c r="T17" s="25"/>
      <c r="U17" s="25">
        <f t="shared" si="5"/>
        <v>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24330</v>
      </c>
      <c r="H18" s="33"/>
      <c r="I18" s="25">
        <v>399</v>
      </c>
      <c r="J18" s="32">
        <v>125217</v>
      </c>
      <c r="K18" s="33">
        <v>121874</v>
      </c>
      <c r="L18" s="25">
        <v>2143</v>
      </c>
      <c r="M18" s="32">
        <f t="shared" si="0"/>
        <v>163217</v>
      </c>
      <c r="N18" s="33">
        <f t="shared" si="1"/>
        <v>146204</v>
      </c>
      <c r="O18" s="25">
        <f t="shared" si="2"/>
        <v>2542</v>
      </c>
      <c r="P18" s="42">
        <v>4254</v>
      </c>
      <c r="Q18" s="20">
        <f t="shared" si="4"/>
        <v>0.59755524212505873</v>
      </c>
      <c r="R18" s="29">
        <f t="shared" si="3"/>
        <v>57.515342250196696</v>
      </c>
      <c r="S18" s="25"/>
      <c r="T18" s="25"/>
      <c r="U18" s="25">
        <f t="shared" si="5"/>
        <v>0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28937</v>
      </c>
      <c r="H19" s="34"/>
      <c r="I19" s="26">
        <v>431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151990</v>
      </c>
      <c r="O19" s="26">
        <f t="shared" si="2"/>
        <v>2560</v>
      </c>
      <c r="P19" s="45">
        <v>4725</v>
      </c>
      <c r="Q19" s="21">
        <f t="shared" si="4"/>
        <v>0.54179894179894184</v>
      </c>
      <c r="R19" s="30">
        <f t="shared" si="3"/>
        <v>59.37109375</v>
      </c>
      <c r="S19" s="25"/>
      <c r="T19" s="25"/>
      <c r="U19" s="25">
        <f t="shared" si="5"/>
        <v>0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537617</v>
      </c>
      <c r="H20" s="78">
        <v>-78383</v>
      </c>
      <c r="I20" s="23">
        <f t="shared" si="6"/>
        <v>10896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29669</v>
      </c>
      <c r="M20" s="35">
        <f>SUM(M6:M19)</f>
        <v>2369000</v>
      </c>
      <c r="N20" s="35">
        <f t="shared" ref="N20" si="9">SUM(N6:N19)</f>
        <v>2226819</v>
      </c>
      <c r="O20" s="23">
        <f t="shared" ref="O20" si="10">SUM(O6:O19)</f>
        <v>40565</v>
      </c>
      <c r="P20" s="43">
        <f>SUM(P6:P19)</f>
        <v>65208</v>
      </c>
      <c r="Q20" s="28">
        <f>O20/P20</f>
        <v>0.62208624708624705</v>
      </c>
      <c r="R20" s="24">
        <f t="shared" si="3"/>
        <v>54.895081967213116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/>
      <c r="T23" s="25"/>
      <c r="U23" s="25">
        <f t="shared" ref="U23:U27" si="14">SUM(S23:T23)</f>
        <v>0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/>
      <c r="T24" s="57"/>
      <c r="U24" s="57">
        <f t="shared" si="14"/>
        <v>0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/>
      <c r="T25" s="57"/>
      <c r="U25" s="57">
        <f t="shared" si="14"/>
        <v>0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/>
      <c r="T26" s="51"/>
      <c r="U26" s="51">
        <f t="shared" si="14"/>
        <v>0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34678</v>
      </c>
      <c r="H27" s="67"/>
      <c r="I27" s="25">
        <v>459</v>
      </c>
      <c r="J27" s="32">
        <v>128000</v>
      </c>
      <c r="K27" s="47">
        <v>120177</v>
      </c>
      <c r="L27" s="25">
        <v>1904</v>
      </c>
      <c r="M27" s="40">
        <f t="shared" si="11"/>
        <v>253000</v>
      </c>
      <c r="N27" s="40">
        <f t="shared" si="11"/>
        <v>154855</v>
      </c>
      <c r="O27" s="25">
        <f>I27+L27</f>
        <v>2363</v>
      </c>
      <c r="P27" s="42">
        <v>4707</v>
      </c>
      <c r="Q27" s="21">
        <f t="shared" si="12"/>
        <v>0.50201827066071802</v>
      </c>
      <c r="R27" s="10">
        <f t="shared" si="13"/>
        <v>65.533220482437585</v>
      </c>
      <c r="S27" s="25"/>
      <c r="T27" s="25"/>
      <c r="U27" s="25">
        <f t="shared" si="14"/>
        <v>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669257</v>
      </c>
      <c r="H28" s="79">
        <v>-50743</v>
      </c>
      <c r="I28" s="27">
        <f t="shared" si="15"/>
        <v>8408</v>
      </c>
      <c r="J28" s="35">
        <f t="shared" si="15"/>
        <v>640000</v>
      </c>
      <c r="K28" s="39">
        <f t="shared" si="15"/>
        <v>593877</v>
      </c>
      <c r="L28" s="27">
        <f t="shared" si="15"/>
        <v>9224</v>
      </c>
      <c r="M28" s="35">
        <f t="shared" si="15"/>
        <v>1360000</v>
      </c>
      <c r="N28" s="39">
        <f t="shared" si="15"/>
        <v>1263134</v>
      </c>
      <c r="O28" s="27">
        <f t="shared" si="15"/>
        <v>17632</v>
      </c>
      <c r="P28" s="43">
        <f t="shared" si="15"/>
        <v>23535</v>
      </c>
      <c r="Q28" s="28">
        <f>O28/P28</f>
        <v>0.74918206925855113</v>
      </c>
      <c r="R28" s="31">
        <f t="shared" si="13"/>
        <v>71.638725045372055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5">
        <v>16170</v>
      </c>
      <c r="H31" s="75"/>
      <c r="I31" s="68">
        <v>432</v>
      </c>
      <c r="J31" s="66">
        <v>11250</v>
      </c>
      <c r="K31" s="75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6">
        <f t="shared" ref="Q31:Q34" si="18">O31/P31</f>
        <v>0.60761904761904761</v>
      </c>
      <c r="R31" s="41">
        <f>N31/O31</f>
        <v>28.083594566353188</v>
      </c>
      <c r="S31" s="68"/>
      <c r="T31" s="68"/>
      <c r="U31" s="68">
        <f t="shared" ref="U31:U34" si="19">SUM(S31:T31)</f>
        <v>0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/>
      <c r="T32" s="25"/>
      <c r="U32" s="25">
        <f t="shared" si="19"/>
        <v>0</v>
      </c>
    </row>
    <row r="33" spans="1:21" x14ac:dyDescent="0.2">
      <c r="A33" s="54" t="s">
        <v>70</v>
      </c>
      <c r="B33" s="48"/>
      <c r="C33" s="48"/>
      <c r="D33" s="74" t="s">
        <v>71</v>
      </c>
      <c r="E33" s="54" t="s">
        <v>111</v>
      </c>
      <c r="F33" s="49">
        <v>9000</v>
      </c>
      <c r="G33" s="50">
        <v>32684</v>
      </c>
      <c r="H33" s="50"/>
      <c r="I33" s="51">
        <v>660</v>
      </c>
      <c r="J33" s="49">
        <v>11250</v>
      </c>
      <c r="K33" s="50">
        <v>11204</v>
      </c>
      <c r="L33" s="51">
        <v>597</v>
      </c>
      <c r="M33" s="64">
        <f t="shared" si="17"/>
        <v>20250</v>
      </c>
      <c r="N33" s="64">
        <f t="shared" si="17"/>
        <v>43888</v>
      </c>
      <c r="O33" s="51">
        <f>I33+L33</f>
        <v>1257</v>
      </c>
      <c r="P33" s="52">
        <v>1308</v>
      </c>
      <c r="Q33" s="65">
        <f t="shared" si="18"/>
        <v>0.96100917431192656</v>
      </c>
      <c r="R33" s="53">
        <f>N33/O33</f>
        <v>34.914876690533013</v>
      </c>
      <c r="S33" s="51"/>
      <c r="T33" s="51"/>
      <c r="U33" s="51">
        <f t="shared" si="19"/>
        <v>0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13881</v>
      </c>
      <c r="H34" s="33"/>
      <c r="I34" s="25">
        <v>281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24981</v>
      </c>
      <c r="O34" s="25">
        <f>I34+L34</f>
        <v>841</v>
      </c>
      <c r="P34" s="42">
        <v>1575</v>
      </c>
      <c r="Q34" s="21">
        <f t="shared" si="18"/>
        <v>0.53396825396825398</v>
      </c>
      <c r="R34" s="10">
        <f>N34/O34</f>
        <v>29.703923900118905</v>
      </c>
      <c r="S34" s="25"/>
      <c r="T34" s="25"/>
      <c r="U34" s="25">
        <f t="shared" si="19"/>
        <v>0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510164</v>
      </c>
      <c r="H35" s="39">
        <v>73164</v>
      </c>
      <c r="I35" s="27">
        <f t="shared" si="20"/>
        <v>8406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555264</v>
      </c>
      <c r="O35" s="27">
        <f t="shared" si="20"/>
        <v>10656</v>
      </c>
      <c r="P35" s="43">
        <f t="shared" si="20"/>
        <v>12966</v>
      </c>
      <c r="Q35" s="28">
        <f>O35/P35</f>
        <v>0.82184173993521514</v>
      </c>
      <c r="R35" s="31">
        <f>N35/O35</f>
        <v>52.108108108108105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/>
      <c r="T37" s="25"/>
      <c r="U37" s="25">
        <f t="shared" ref="U37:U49" si="27">SUM(S37:T37)</f>
        <v>0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/>
      <c r="T39" s="57"/>
      <c r="U39" s="57">
        <f t="shared" si="27"/>
        <v>0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/>
      <c r="T40" s="68"/>
      <c r="U40" s="68">
        <f t="shared" si="27"/>
        <v>0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/>
      <c r="T41" s="68"/>
      <c r="U41" s="68">
        <f t="shared" si="27"/>
        <v>0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/>
      <c r="T42" s="68"/>
      <c r="U42" s="68">
        <f t="shared" si="27"/>
        <v>0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/>
      <c r="T43" s="25"/>
      <c r="U43" s="25">
        <f t="shared" si="27"/>
        <v>0</v>
      </c>
    </row>
    <row r="44" spans="1:21" ht="12.75" customHeight="1" x14ac:dyDescent="0.2">
      <c r="A44" s="54" t="s">
        <v>87</v>
      </c>
      <c r="B44" s="63"/>
      <c r="C44" s="63"/>
      <c r="D44" s="54" t="s">
        <v>88</v>
      </c>
      <c r="E44" s="54" t="s">
        <v>111</v>
      </c>
      <c r="F44" s="49">
        <v>232000</v>
      </c>
      <c r="G44" s="50">
        <v>198366</v>
      </c>
      <c r="H44" s="50"/>
      <c r="I44" s="51">
        <v>3113</v>
      </c>
      <c r="J44" s="49">
        <v>0</v>
      </c>
      <c r="K44" s="50">
        <v>1265</v>
      </c>
      <c r="L44" s="51">
        <v>30</v>
      </c>
      <c r="M44" s="64">
        <f t="shared" si="22"/>
        <v>232000</v>
      </c>
      <c r="N44" s="64">
        <f t="shared" si="23"/>
        <v>199631</v>
      </c>
      <c r="O44" s="51">
        <f t="shared" si="24"/>
        <v>3143</v>
      </c>
      <c r="P44" s="52">
        <v>3888</v>
      </c>
      <c r="Q44" s="65">
        <f t="shared" si="25"/>
        <v>0.80838477366255146</v>
      </c>
      <c r="R44" s="53">
        <f t="shared" si="26"/>
        <v>63.516067451479479</v>
      </c>
      <c r="S44" s="51"/>
      <c r="T44" s="51"/>
      <c r="U44" s="51">
        <f t="shared" si="27"/>
        <v>0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32">
        <v>92000</v>
      </c>
      <c r="G45" s="33">
        <v>31153</v>
      </c>
      <c r="H45" s="33"/>
      <c r="I45" s="25">
        <v>390</v>
      </c>
      <c r="J45" s="32">
        <v>0</v>
      </c>
      <c r="K45" s="33">
        <v>612</v>
      </c>
      <c r="L45" s="25">
        <v>29</v>
      </c>
      <c r="M45" s="40">
        <f t="shared" si="22"/>
        <v>92000</v>
      </c>
      <c r="N45" s="40">
        <f t="shared" si="23"/>
        <v>31765</v>
      </c>
      <c r="O45" s="25">
        <f t="shared" si="24"/>
        <v>419</v>
      </c>
      <c r="P45" s="42">
        <v>1575</v>
      </c>
      <c r="Q45" s="20">
        <f t="shared" si="25"/>
        <v>0.26603174603174601</v>
      </c>
      <c r="R45" s="29">
        <f t="shared" si="26"/>
        <v>75.811455847255374</v>
      </c>
      <c r="S45" s="25"/>
      <c r="T45" s="25"/>
      <c r="U45" s="25">
        <f t="shared" si="27"/>
        <v>0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369018</v>
      </c>
      <c r="H46" s="33"/>
      <c r="I46" s="25">
        <v>4074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371063</v>
      </c>
      <c r="O46" s="25">
        <f t="shared" si="24"/>
        <v>4112</v>
      </c>
      <c r="P46" s="42">
        <v>5184</v>
      </c>
      <c r="Q46" s="20">
        <f t="shared" si="25"/>
        <v>0.79320987654320985</v>
      </c>
      <c r="R46" s="29">
        <f t="shared" si="26"/>
        <v>90.239056420233467</v>
      </c>
      <c r="S46" s="25"/>
      <c r="T46" s="25"/>
      <c r="U46" s="25">
        <f t="shared" si="27"/>
        <v>0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72894</v>
      </c>
      <c r="H47" s="33"/>
      <c r="I47" s="25">
        <v>842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72894</v>
      </c>
      <c r="O47" s="25">
        <f t="shared" si="24"/>
        <v>842</v>
      </c>
      <c r="P47" s="42">
        <v>1575</v>
      </c>
      <c r="Q47" s="20">
        <f t="shared" si="25"/>
        <v>0.53460317460317464</v>
      </c>
      <c r="R47" s="29">
        <f t="shared" si="26"/>
        <v>86.572446555819482</v>
      </c>
      <c r="S47" s="25"/>
      <c r="T47" s="25"/>
      <c r="U47" s="25">
        <f t="shared" si="27"/>
        <v>0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193416</v>
      </c>
      <c r="H48" s="33"/>
      <c r="I48" s="25">
        <v>2246</v>
      </c>
      <c r="J48" s="32"/>
      <c r="K48" s="33"/>
      <c r="L48" s="25"/>
      <c r="M48" s="40"/>
      <c r="N48" s="40">
        <v>192246</v>
      </c>
      <c r="O48" s="25">
        <v>2228</v>
      </c>
      <c r="P48" s="42">
        <v>2468</v>
      </c>
      <c r="Q48" s="20">
        <v>0.9</v>
      </c>
      <c r="R48" s="77">
        <v>86.29</v>
      </c>
      <c r="S48" s="25"/>
      <c r="T48" s="25"/>
      <c r="U48" s="25"/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243388</v>
      </c>
      <c r="H49" s="33"/>
      <c r="I49" s="25">
        <v>945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243388</v>
      </c>
      <c r="O49" s="25">
        <f t="shared" si="24"/>
        <v>945</v>
      </c>
      <c r="P49" s="42">
        <v>1575</v>
      </c>
      <c r="Q49" s="21">
        <f t="shared" si="25"/>
        <v>0.6</v>
      </c>
      <c r="R49" s="10">
        <f t="shared" si="26"/>
        <v>257.55343915343917</v>
      </c>
      <c r="S49" s="25"/>
      <c r="T49" s="25"/>
      <c r="U49" s="25">
        <f t="shared" si="27"/>
        <v>0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2526808</v>
      </c>
      <c r="H50" s="79">
        <v>-56192</v>
      </c>
      <c r="I50" s="27">
        <f t="shared" si="28"/>
        <v>32563</v>
      </c>
      <c r="J50" s="35">
        <f t="shared" si="28"/>
        <v>0</v>
      </c>
      <c r="K50" s="39">
        <f t="shared" si="28"/>
        <v>10948</v>
      </c>
      <c r="L50" s="27">
        <f t="shared" si="28"/>
        <v>297</v>
      </c>
      <c r="M50" s="35">
        <f t="shared" si="28"/>
        <v>2433000</v>
      </c>
      <c r="N50" s="39">
        <f t="shared" si="28"/>
        <v>2536586</v>
      </c>
      <c r="O50" s="27">
        <f t="shared" si="28"/>
        <v>32842</v>
      </c>
      <c r="P50" s="43">
        <f t="shared" si="28"/>
        <v>37961</v>
      </c>
      <c r="Q50" s="28">
        <f>O50/P50</f>
        <v>0.86515107610442299</v>
      </c>
      <c r="R50" s="31">
        <f t="shared" si="26"/>
        <v>77.23603921807441</v>
      </c>
      <c r="S50" s="43">
        <f>SUM(S37:S47)</f>
        <v>0</v>
      </c>
      <c r="T50" s="43">
        <f t="shared" ref="T50:U50" si="29">SUM(T37:T47)</f>
        <v>0</v>
      </c>
      <c r="U50" s="43">
        <f t="shared" si="29"/>
        <v>0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4243846</v>
      </c>
      <c r="H51" s="79">
        <v>-112154</v>
      </c>
      <c r="I51" s="27">
        <f>SUM(I20,I28,I35,I50)</f>
        <v>60273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41440</v>
      </c>
      <c r="M51" s="35">
        <f>SUM(M20,M28,M35,M50)</f>
        <v>6644000</v>
      </c>
      <c r="N51" s="39">
        <f t="shared" ref="N51" si="32">SUM(N20,N28,N35,N50)</f>
        <v>6581803</v>
      </c>
      <c r="O51" s="27">
        <f>SUM(O20,O28,O35,O50)</f>
        <v>101695</v>
      </c>
      <c r="P51" s="43">
        <f>SUM(P20,P28,P35,P50)</f>
        <v>139670</v>
      </c>
      <c r="Q51" s="28">
        <f>O51/P51</f>
        <v>0.72810911434094649</v>
      </c>
      <c r="R51" s="31">
        <f t="shared" si="26"/>
        <v>64.721008899159244</v>
      </c>
      <c r="S51" s="43">
        <f>SUM(S20,S28,S35,S50)</f>
        <v>10</v>
      </c>
      <c r="T51" s="43">
        <f t="shared" ref="T51:U51" si="33">SUM(T20,T28,T35,T50)</f>
        <v>100</v>
      </c>
      <c r="U51" s="43">
        <f t="shared" si="33"/>
        <v>110</v>
      </c>
    </row>
    <row r="52" spans="1:21" ht="12.75" customHeight="1" x14ac:dyDescent="0.2">
      <c r="A52" s="85" t="s">
        <v>138</v>
      </c>
      <c r="B52" s="85"/>
      <c r="C52" s="85"/>
      <c r="D52" s="85"/>
      <c r="E52" s="85"/>
      <c r="F52" s="85"/>
      <c r="G52" s="85"/>
      <c r="T52" s="6"/>
    </row>
    <row r="53" spans="1:21" x14ac:dyDescent="0.2">
      <c r="A53" s="85" t="s">
        <v>139</v>
      </c>
      <c r="B53" s="85"/>
      <c r="C53" s="85"/>
      <c r="D53" s="85"/>
      <c r="E53" s="85"/>
      <c r="F53" s="85"/>
      <c r="G53" s="85"/>
    </row>
    <row r="54" spans="1:21" x14ac:dyDescent="0.2">
      <c r="A54" s="16" t="s">
        <v>140</v>
      </c>
    </row>
    <row r="55" spans="1:21" x14ac:dyDescent="0.2">
      <c r="A55" s="85" t="s">
        <v>141</v>
      </c>
      <c r="B55" s="85"/>
      <c r="C55" s="85"/>
      <c r="D55" s="85"/>
      <c r="E55" s="85"/>
      <c r="F55" s="85"/>
      <c r="G55" s="85"/>
    </row>
    <row r="56" spans="1:21" x14ac:dyDescent="0.2">
      <c r="A56" s="86" t="s">
        <v>142</v>
      </c>
      <c r="B56" s="85"/>
      <c r="C56" s="85"/>
      <c r="D56" s="85"/>
      <c r="E56" s="85"/>
      <c r="F56" s="85"/>
      <c r="G56" s="85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2024-03-05T18:09:00Z</dcterms:modified>
</cp:coreProperties>
</file>