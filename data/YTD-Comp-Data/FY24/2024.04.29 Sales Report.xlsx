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946" documentId="8_{3E45E35C-2B2D-406E-9F95-3D7D9FC84DC2}" xr6:coauthVersionLast="47" xr6:coauthVersionMax="47" xr10:uidLastSave="{B82318BB-EE07-4FC6-AEBA-5D9CB33CFF0E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<sst xmlns="http://schemas.openxmlformats.org/spreadsheetml/2006/main" count="164" uniqueCount="140">
  <si>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</si>
  <si>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</si>
  <si>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</si>
  <si>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</si>
  <si>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</si>
  <si>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</si>
  <si>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</si>
  <si>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</si>
  <si>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</si>
  <si>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</si>
  <si>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</si>
  <si>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</si>
  <si>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</si>
  <si>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</si>
  <si>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</si>
  <si>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</si>
  <si>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</si>
  <si>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</si>
  <si>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</si>
  <si>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</si>
  <si>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</si>
  <si>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</si>
  <si>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</si>
  <si>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</si>
  <si>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</si>
  <si>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</si>
  <si>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</si>
  <si>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</si>
  <si>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</si>
  <si>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</si>
  <si>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</si>
  <si>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</si>
  <si>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</si>
  <si>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</si>
  <si>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</si>
  <si>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</si>
  <si>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</si>
  <si>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</si>
  <si>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</si>
  <si>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</si>
  <si>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</si>
  <si>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</si>
  <si>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</si>
  <si>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</si>
  <si>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</si>
  <si>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</si>
  <si>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</si>
  <si>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</si>
  <si>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</si>
  <si>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</si>
  <si>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</si>
  <si>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</si>
  <si>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</si>
  <si>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</si>
  <si>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</si>
  <si>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</si>
  <si>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</si>
  <si>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</si>
  <si>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</si>
  <si>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</si>
  <si>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</si>
  <si>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</si>
  <si>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</si>
  <si>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</si>
  <si>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</si>
  <si>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</si>
  <si>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</si>
  <si>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</si>
  <si>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</si>
  <si>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</si>
  <si>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</si>
  <si>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</si>
  <si>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</si>
  <si>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</si>
  <si>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</si>
  <si>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</si>
  <si>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</si>
  <si>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</si>
  <si>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</si>
  <si>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</si>
  <si>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</si>
  <si>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</si>
  <si>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</si>
  <si>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</si>
  <si>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</si>
  <si>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</si>
  <si>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</si>
  <si>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</si>
  <si>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</si>
  <si>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</si>
  <si>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</si>
  <si>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</si>
  <si>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</si>
  <si>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</si>
  <si>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</si>
  <si>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</si>
  <si>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</si>
  <si>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</si>
  <si>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</si>
  <si>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</si>
  <si>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</si>
  <si>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</si>
  <si>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</si>
  <si>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</si>
  <si>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</si>
  <si>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</si>
  <si>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</si>
  <si>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</si>
  <si>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</si>
  <si>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</si>
  <si>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</si>
  <si>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</si>
  <si>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</si>
  <si>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</si>
  <si>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</si>
  <si>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</si>
  <si>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</si>
  <si>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</si>
  <si>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</si>
  <si>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</si>
  <si>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</si>
  <si>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</si>
  <si>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</si>
  <si>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</si>
  <si>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</si>
  <si>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</si>
  <si>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</si>
  <si>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</si>
  <si>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</si>
  <si>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</si>
  <si>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</si>
  <si>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</si>
  <si>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</si>
  <si>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</si>
  <si>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</si>
  <si>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</si>
  <si>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</si>
  <si>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</si>
  <si>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$96,866; for Pops $39,579; FINAL for Family $76,563; and Other Concerts $136,758. </t>
  </si>
  <si>
    <t>Tim Davies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</si>
</sst>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12" workbookViewId="0">
      <selection activeCell="W42" sqref="W42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45411</v>
      </c>
    </row>
    <row r="2" spans="1:21" x14ac:dyDescent="0.2">
      <c r="A2" s="9"/>
      <c r="E2" s="13" t="s">
        <v>27</v>
      </c>
    </row>
    <row r="3" spans="1:21" x14ac:dyDescent="0.2">
      <c r="E3" s="16"/>
      <c r="F3" s="87" t="s">
        <v>115</v>
      </c>
      <c r="G3" s="87"/>
      <c r="H3" s="87"/>
      <c r="I3" s="87"/>
      <c r="J3" s="88" t="s">
        <v>116</v>
      </c>
      <c r="K3" s="88"/>
      <c r="L3" s="88"/>
      <c r="M3" s="89" t="s">
        <v>117</v>
      </c>
      <c r="N3" s="89"/>
      <c r="O3" s="89"/>
      <c r="P3" s="91" t="s">
        <v>124</v>
      </c>
      <c r="Q3" s="91"/>
      <c r="R3" s="91"/>
      <c r="S3" s="90" t="s">
        <v>130</v>
      </c>
      <c r="T3" s="90"/>
      <c r="U3" s="90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2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2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2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2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3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3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2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2">
        <v>1640</v>
      </c>
      <c r="U13" s="68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6">
        <v>40000</v>
      </c>
      <c r="G14" s="67">
        <v>54823</v>
      </c>
      <c r="H14" s="67"/>
      <c r="I14" s="68">
        <v>1721</v>
      </c>
      <c r="J14" s="66">
        <v>125217</v>
      </c>
      <c r="K14" s="67">
        <v>121572</v>
      </c>
      <c r="L14" s="68">
        <v>2183</v>
      </c>
      <c r="M14" s="66">
        <f t="shared" si="0"/>
        <v>165217</v>
      </c>
      <c r="N14" s="67">
        <f t="shared" si="1"/>
        <v>176395</v>
      </c>
      <c r="O14" s="68">
        <f t="shared" si="2"/>
        <v>3904</v>
      </c>
      <c r="P14" s="69">
        <v>4725</v>
      </c>
      <c r="Q14" s="20">
        <f t="shared" si="4"/>
        <v>0.82624338624338622</v>
      </c>
      <c r="R14" s="41">
        <f t="shared" si="3"/>
        <v>45.18314549180328</v>
      </c>
      <c r="S14" s="68">
        <v>199</v>
      </c>
      <c r="T14" s="82">
        <v>1857</v>
      </c>
      <c r="U14" s="68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6">
        <v>35000</v>
      </c>
      <c r="G15" s="67">
        <v>58599</v>
      </c>
      <c r="H15" s="67"/>
      <c r="I15" s="68">
        <v>1126</v>
      </c>
      <c r="J15" s="66">
        <v>125217</v>
      </c>
      <c r="K15" s="67">
        <v>117470</v>
      </c>
      <c r="L15" s="68">
        <v>2092</v>
      </c>
      <c r="M15" s="66">
        <f t="shared" si="0"/>
        <v>160217</v>
      </c>
      <c r="N15" s="67">
        <f t="shared" si="1"/>
        <v>176069</v>
      </c>
      <c r="O15" s="68">
        <f t="shared" si="2"/>
        <v>3218</v>
      </c>
      <c r="P15" s="69">
        <v>4725</v>
      </c>
      <c r="Q15" s="20">
        <f t="shared" si="4"/>
        <v>0.68105820105820103</v>
      </c>
      <c r="R15" s="41">
        <f t="shared" si="3"/>
        <v>54.71379738968303</v>
      </c>
      <c r="S15" s="68">
        <v>162</v>
      </c>
      <c r="T15" s="82">
        <v>1601</v>
      </c>
      <c r="U15" s="68">
        <f t="shared" si="5"/>
        <v>1763</v>
      </c>
    </row>
    <row r="16" spans="1:21" x14ac:dyDescent="0.2">
      <c r="A16" s="48" t="s">
        <v>20</v>
      </c>
      <c r="B16" s="54" t="s">
        <v>105</v>
      </c>
      <c r="C16" s="48"/>
      <c r="D16" s="54" t="s">
        <v>50</v>
      </c>
      <c r="E16" s="54" t="s">
        <v>25</v>
      </c>
      <c r="F16" s="49">
        <v>45000</v>
      </c>
      <c r="G16" s="50">
        <v>49628</v>
      </c>
      <c r="H16" s="50"/>
      <c r="I16" s="51">
        <v>1012</v>
      </c>
      <c r="J16" s="49">
        <v>125217</v>
      </c>
      <c r="K16" s="50">
        <v>126612</v>
      </c>
      <c r="L16" s="51">
        <v>2268</v>
      </c>
      <c r="M16" s="49">
        <f t="shared" si="0"/>
        <v>170217</v>
      </c>
      <c r="N16" s="50">
        <f t="shared" si="1"/>
        <v>176240</v>
      </c>
      <c r="O16" s="51">
        <f t="shared" si="2"/>
        <v>3280</v>
      </c>
      <c r="P16" s="52">
        <v>4725</v>
      </c>
      <c r="Q16" s="65">
        <f t="shared" si="4"/>
        <v>0.69417989417989423</v>
      </c>
      <c r="R16" s="53">
        <f t="shared" si="3"/>
        <v>53.731707317073173</v>
      </c>
      <c r="S16" s="51">
        <v>151</v>
      </c>
      <c r="T16" s="84">
        <v>1651</v>
      </c>
      <c r="U16" s="51">
        <f t="shared" si="5"/>
        <v>1802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48990</v>
      </c>
      <c r="H17" s="33"/>
      <c r="I17" s="25">
        <v>760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169336</v>
      </c>
      <c r="O17" s="25">
        <f t="shared" si="2"/>
        <v>2850</v>
      </c>
      <c r="P17" s="42">
        <v>4725</v>
      </c>
      <c r="Q17" s="20">
        <f t="shared" si="4"/>
        <v>0.60317460317460314</v>
      </c>
      <c r="R17" s="29">
        <f t="shared" si="3"/>
        <v>59.416140350877193</v>
      </c>
      <c r="S17" s="25">
        <v>83</v>
      </c>
      <c r="T17" s="83">
        <v>1419</v>
      </c>
      <c r="U17" s="25">
        <f t="shared" si="5"/>
        <v>1502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42133</v>
      </c>
      <c r="H18" s="33"/>
      <c r="I18" s="25">
        <v>717</v>
      </c>
      <c r="J18" s="32">
        <v>125217</v>
      </c>
      <c r="K18" s="33">
        <v>121874</v>
      </c>
      <c r="L18" s="25">
        <v>2148</v>
      </c>
      <c r="M18" s="32">
        <f t="shared" si="0"/>
        <v>163217</v>
      </c>
      <c r="N18" s="33">
        <f t="shared" si="1"/>
        <v>164007</v>
      </c>
      <c r="O18" s="25">
        <f t="shared" si="2"/>
        <v>2865</v>
      </c>
      <c r="P18" s="42">
        <v>4254</v>
      </c>
      <c r="Q18" s="20">
        <f t="shared" si="4"/>
        <v>0.67348377997179121</v>
      </c>
      <c r="R18" s="29">
        <f t="shared" si="3"/>
        <v>57.24502617801047</v>
      </c>
      <c r="S18" s="25">
        <v>84</v>
      </c>
      <c r="T18" s="83">
        <v>1392</v>
      </c>
      <c r="U18" s="25">
        <f t="shared" si="5"/>
        <v>1476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40948</v>
      </c>
      <c r="H19" s="34"/>
      <c r="I19" s="26">
        <v>614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164001</v>
      </c>
      <c r="O19" s="26">
        <f t="shared" si="2"/>
        <v>2743</v>
      </c>
      <c r="P19" s="45">
        <v>4725</v>
      </c>
      <c r="Q19" s="21">
        <f t="shared" si="4"/>
        <v>0.58052910052910056</v>
      </c>
      <c r="R19" s="30">
        <f t="shared" si="3"/>
        <v>59.78891724389355</v>
      </c>
      <c r="S19" s="25">
        <v>26</v>
      </c>
      <c r="T19" s="83">
        <v>1406</v>
      </c>
      <c r="U19" s="25">
        <f t="shared" si="5"/>
        <v>1432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684937</v>
      </c>
      <c r="H20" s="35">
        <v>68937</v>
      </c>
      <c r="I20" s="23">
        <f t="shared" si="6"/>
        <v>14216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29732</v>
      </c>
      <c r="M20" s="35">
        <f>SUM(M6:M19)</f>
        <v>2369000</v>
      </c>
      <c r="N20" s="35">
        <f t="shared" ref="N20" si="9">SUM(N6:N19)</f>
        <v>2374139</v>
      </c>
      <c r="O20" s="23">
        <f t="shared" ref="O20" si="10">SUM(O6:O19)</f>
        <v>43948</v>
      </c>
      <c r="P20" s="43">
        <f>SUM(P6:P19)</f>
        <v>65208</v>
      </c>
      <c r="Q20" s="28">
        <f>O20/P20</f>
        <v>0.6739663844927003</v>
      </c>
      <c r="R20" s="24">
        <f t="shared" si="3"/>
        <v>54.021548193319376</v>
      </c>
      <c r="S20" s="43">
        <f>SUM(S6:S19)</f>
        <v>2074</v>
      </c>
      <c r="T20" s="43">
        <f>SUM(T6:T19)</f>
        <v>21264</v>
      </c>
      <c r="U20" s="43">
        <f>SUM(U6:U19)</f>
        <v>23338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0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5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5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1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92270</v>
      </c>
      <c r="H27" s="67"/>
      <c r="I27" s="25">
        <v>1327</v>
      </c>
      <c r="J27" s="32">
        <v>128000</v>
      </c>
      <c r="K27" s="47">
        <v>120177</v>
      </c>
      <c r="L27" s="25">
        <v>1911</v>
      </c>
      <c r="M27" s="40">
        <f t="shared" si="11"/>
        <v>253000</v>
      </c>
      <c r="N27" s="40">
        <f t="shared" si="11"/>
        <v>212447</v>
      </c>
      <c r="O27" s="25">
        <f>I27+L27</f>
        <v>3238</v>
      </c>
      <c r="P27" s="42">
        <v>4707</v>
      </c>
      <c r="Q27" s="21">
        <f t="shared" si="12"/>
        <v>0.6879116209900149</v>
      </c>
      <c r="R27" s="10">
        <f t="shared" si="13"/>
        <v>65.610562075355162</v>
      </c>
      <c r="S27" s="25">
        <v>184</v>
      </c>
      <c r="T27" s="25">
        <v>1278</v>
      </c>
      <c r="U27" s="25">
        <f t="shared" si="14"/>
        <v>1462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726849</v>
      </c>
      <c r="H28" s="39">
        <v>6849</v>
      </c>
      <c r="I28" s="27">
        <f t="shared" si="15"/>
        <v>9276</v>
      </c>
      <c r="J28" s="35">
        <f t="shared" si="15"/>
        <v>640000</v>
      </c>
      <c r="K28" s="39">
        <f t="shared" si="15"/>
        <v>593877</v>
      </c>
      <c r="L28" s="27">
        <f t="shared" si="15"/>
        <v>9231</v>
      </c>
      <c r="M28" s="35">
        <f t="shared" si="15"/>
        <v>1360000</v>
      </c>
      <c r="N28" s="39">
        <f t="shared" si="15"/>
        <v>1320726</v>
      </c>
      <c r="O28" s="27">
        <f t="shared" si="15"/>
        <v>18507</v>
      </c>
      <c r="P28" s="43">
        <f t="shared" si="15"/>
        <v>23535</v>
      </c>
      <c r="Q28" s="28">
        <f>O28/P28</f>
        <v>0.78636073932441042</v>
      </c>
      <c r="R28" s="31">
        <f t="shared" si="13"/>
        <v>71.363592154319988</v>
      </c>
      <c r="S28" s="43">
        <f>SUM(S23:S27)</f>
        <v>1601</v>
      </c>
      <c r="T28" s="43">
        <f t="shared" ref="T28:U28" si="16">SUM(T23:T27)</f>
        <v>6624</v>
      </c>
      <c r="U28" s="43">
        <f t="shared" si="16"/>
        <v>8225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6">
        <v>92000</v>
      </c>
      <c r="G45" s="67">
        <v>52660</v>
      </c>
      <c r="H45" s="67"/>
      <c r="I45" s="68">
        <v>744</v>
      </c>
      <c r="J45" s="66">
        <v>0</v>
      </c>
      <c r="K45" s="67">
        <v>612</v>
      </c>
      <c r="L45" s="68">
        <v>31</v>
      </c>
      <c r="M45" s="71">
        <f t="shared" si="22"/>
        <v>92000</v>
      </c>
      <c r="N45" s="71">
        <f t="shared" si="23"/>
        <v>53272</v>
      </c>
      <c r="O45" s="68">
        <f t="shared" si="24"/>
        <v>775</v>
      </c>
      <c r="P45" s="69">
        <v>1575</v>
      </c>
      <c r="Q45" s="20">
        <f t="shared" si="25"/>
        <v>0.49206349206349204</v>
      </c>
      <c r="R45" s="41">
        <f t="shared" si="26"/>
        <v>68.738064516129029</v>
      </c>
      <c r="S45" s="68">
        <v>110</v>
      </c>
      <c r="T45" s="68">
        <v>325</v>
      </c>
      <c r="U45" s="68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6">
        <v>375000</v>
      </c>
      <c r="G46" s="67">
        <v>446454</v>
      </c>
      <c r="H46" s="67"/>
      <c r="I46" s="68">
        <v>4989</v>
      </c>
      <c r="J46" s="66">
        <v>0</v>
      </c>
      <c r="K46" s="67">
        <v>2045</v>
      </c>
      <c r="L46" s="68">
        <v>38</v>
      </c>
      <c r="M46" s="71">
        <f t="shared" si="22"/>
        <v>375000</v>
      </c>
      <c r="N46" s="71">
        <f t="shared" si="23"/>
        <v>448499</v>
      </c>
      <c r="O46" s="68">
        <f t="shared" si="24"/>
        <v>5027</v>
      </c>
      <c r="P46" s="69">
        <v>5184</v>
      </c>
      <c r="Q46" s="20">
        <f t="shared" si="25"/>
        <v>0.9697145061728395</v>
      </c>
      <c r="R46" s="41">
        <f t="shared" si="26"/>
        <v>89.218022677541271</v>
      </c>
      <c r="S46" s="68">
        <v>764</v>
      </c>
      <c r="T46" s="68">
        <v>993</v>
      </c>
      <c r="U46" s="68">
        <f t="shared" si="27"/>
        <v>1757</v>
      </c>
    </row>
    <row r="47" spans="1:21" ht="12.75" customHeight="1" x14ac:dyDescent="0.2">
      <c r="A47" s="54" t="s">
        <v>98</v>
      </c>
      <c r="B47" s="63"/>
      <c r="C47" s="63"/>
      <c r="D47" s="86" t="s">
        <v>99</v>
      </c>
      <c r="E47" s="54" t="s">
        <v>106</v>
      </c>
      <c r="F47" s="49">
        <v>100000</v>
      </c>
      <c r="G47" s="50">
        <v>103705</v>
      </c>
      <c r="H47" s="50"/>
      <c r="I47" s="51">
        <v>1383</v>
      </c>
      <c r="J47" s="49">
        <v>0</v>
      </c>
      <c r="K47" s="50">
        <v>0</v>
      </c>
      <c r="L47" s="51">
        <v>22</v>
      </c>
      <c r="M47" s="64">
        <f t="shared" si="22"/>
        <v>100000</v>
      </c>
      <c r="N47" s="64">
        <f t="shared" si="23"/>
        <v>103705</v>
      </c>
      <c r="O47" s="51">
        <f t="shared" si="24"/>
        <v>1405</v>
      </c>
      <c r="P47" s="52">
        <v>1575</v>
      </c>
      <c r="Q47" s="65">
        <f t="shared" si="25"/>
        <v>0.89206349206349211</v>
      </c>
      <c r="R47" s="53">
        <f t="shared" si="26"/>
        <v>73.811387900355868</v>
      </c>
      <c r="S47" s="51">
        <v>168</v>
      </c>
      <c r="T47" s="51">
        <v>441</v>
      </c>
      <c r="U47" s="51">
        <f t="shared" si="27"/>
        <v>609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 t="s">
        <v>139</v>
      </c>
      <c r="F48" s="32">
        <v>150000</v>
      </c>
      <c r="G48" s="33">
        <v>202055</v>
      </c>
      <c r="H48" s="33"/>
      <c r="I48" s="25">
        <v>2385</v>
      </c>
      <c r="J48" s="32"/>
      <c r="K48" s="33"/>
      <c r="L48" s="25"/>
      <c r="M48" s="40"/>
      <c r="N48" s="40">
        <v>202055</v>
      </c>
      <c r="O48" s="25">
        <v>2385</v>
      </c>
      <c r="P48" s="42">
        <v>2468</v>
      </c>
      <c r="Q48" s="20">
        <v>0.96</v>
      </c>
      <c r="R48" s="76">
        <v>84.7</v>
      </c>
      <c r="S48" s="25">
        <v>713</v>
      </c>
      <c r="T48" s="25">
        <v>257</v>
      </c>
      <c r="U48" s="25">
        <f t="shared" si="27"/>
        <v>970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363099</v>
      </c>
      <c r="H49" s="33"/>
      <c r="I49" s="25">
        <v>1553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363099</v>
      </c>
      <c r="O49" s="25">
        <f t="shared" si="24"/>
        <v>1553</v>
      </c>
      <c r="P49" s="42">
        <v>1575</v>
      </c>
      <c r="Q49" s="21">
        <f t="shared" si="25"/>
        <v>0.98603174603174604</v>
      </c>
      <c r="R49" s="10">
        <f t="shared" si="26"/>
        <v>233.80489375402448</v>
      </c>
      <c r="S49" s="25">
        <v>58</v>
      </c>
      <c r="T49" s="25">
        <v>689</v>
      </c>
      <c r="U49" s="25">
        <f t="shared" si="27"/>
        <v>747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2784912</v>
      </c>
      <c r="H50" s="39">
        <v>201912</v>
      </c>
      <c r="I50" s="27">
        <f t="shared" si="28"/>
        <v>35120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2795860</v>
      </c>
      <c r="O50" s="27">
        <f t="shared" si="28"/>
        <v>35441</v>
      </c>
      <c r="P50" s="43">
        <f t="shared" si="28"/>
        <v>37961</v>
      </c>
      <c r="Q50" s="28">
        <f>O50/P50</f>
        <v>0.93361607966070437</v>
      </c>
      <c r="R50" s="31">
        <f t="shared" si="26"/>
        <v>78.887728901554695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4710261</v>
      </c>
      <c r="H51" s="39">
        <v>354261</v>
      </c>
      <c r="I51" s="27">
        <f>SUM(I20,I28,I35,I50)</f>
        <v>67102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41534</v>
      </c>
      <c r="M51" s="35">
        <f>SUM(M20,M28,M35,M50)</f>
        <v>6644000</v>
      </c>
      <c r="N51" s="39">
        <f t="shared" ref="N51" si="32">SUM(N20,N28,N35,N50)</f>
        <v>7049388</v>
      </c>
      <c r="O51" s="27">
        <f>SUM(O20,O28,O35,O50)</f>
        <v>108636</v>
      </c>
      <c r="P51" s="43">
        <f>SUM(P20,P28,P35,P50)</f>
        <v>139670</v>
      </c>
      <c r="Q51" s="28">
        <f>O51/P51</f>
        <v>0.77780482566048548</v>
      </c>
      <c r="R51" s="31">
        <f t="shared" si="26"/>
        <v>64.88998122169447</v>
      </c>
      <c r="S51" s="43">
        <f>SUM(S20,S28,S35,S50)</f>
        <v>9419</v>
      </c>
      <c r="T51" s="43">
        <f t="shared" ref="T51:U51" si="33">SUM(T20,T28,T35,T50)</f>
        <v>37205</v>
      </c>
      <c r="U51" s="43">
        <f t="shared" si="33"/>
        <v>46624</v>
      </c>
    </row>
    <row r="52" spans="1:21" ht="12.75" customHeight="1" x14ac:dyDescent="0.2">
      <c r="A52" s="77"/>
      <c r="B52" s="77"/>
      <c r="C52" s="77"/>
      <c r="D52" s="77"/>
      <c r="E52" s="77"/>
      <c r="F52" s="77"/>
      <c r="G52" s="77"/>
      <c r="T52" s="6"/>
    </row>
    <row r="53" spans="1:21" ht="15.75" x14ac:dyDescent="0.25">
      <c r="A53" s="79" t="s">
        <v>138</v>
      </c>
      <c r="B53" s="77"/>
      <c r="C53" s="77"/>
      <c r="D53" s="77"/>
      <c r="E53" s="77"/>
      <c r="F53" s="77"/>
      <c r="G53" s="77"/>
    </row>
    <row r="54" spans="1:21" x14ac:dyDescent="0.2">
      <c r="A54" s="16"/>
    </row>
    <row r="55" spans="1:21" x14ac:dyDescent="0.2">
      <c r="A55" s="77"/>
      <c r="B55" s="77"/>
      <c r="C55" s="77"/>
      <c r="D55" s="77"/>
      <c r="E55" s="77"/>
      <c r="F55" s="77"/>
      <c r="G55" s="77"/>
    </row>
    <row r="56" spans="1:21" x14ac:dyDescent="0.2">
      <c r="A56" s="78"/>
      <c r="B56" s="77"/>
      <c r="C56" s="77"/>
      <c r="D56" s="77"/>
      <c r="E56" s="77"/>
      <c r="F56" s="77"/>
      <c r="G56" s="77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2024-04-29T14:12:24Z</dcterms:modified>
</cp:coreProperties>
</file>