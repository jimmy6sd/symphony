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565" documentId="8_{3E45E35C-2B2D-406E-9F95-3D7D9FC84DC2}" xr6:coauthVersionLast="47" xr6:coauthVersionMax="47" xr10:uidLastSave="{61FCD379-86FD-4D72-94F6-6EF1DA2EAE3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<sst xmlns="http://schemas.openxmlformats.org/spreadsheetml/2006/main" count="163" uniqueCount="139">
  <si>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</si>
  <si>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</si>
  <si>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</si>
  <si>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</si>
  <si>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</si>
  <si>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</si>
  <si>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</si>
  <si>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</si>
  <si>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</si>
  <si>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</si>
  <si>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</si>
  <si>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</si>
  <si>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</si>
  <si>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</si>
  <si>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</si>
  <si>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</si>
  <si>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</si>
  <si>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</si>
  <si>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</si>
  <si>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</si>
  <si>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</si>
  <si>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</si>
  <si>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</si>
  <si>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</si>
  <si>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</si>
  <si>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</si>
  <si>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</si>
  <si>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</si>
  <si>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</si>
  <si>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</si>
  <si>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</si>
  <si>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</si>
  <si>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</si>
  <si>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</si>
  <si>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</si>
  <si>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</si>
  <si>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</si>
  <si>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</si>
  <si>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</si>
  <si>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</si>
  <si>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</si>
  <si>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</si>
  <si>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</si>
  <si>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</si>
  <si>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</si>
  <si>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</si>
  <si>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</si>
  <si>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</si>
  <si>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</si>
  <si>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</si>
  <si>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</si>
  <si>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</si>
  <si>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</si>
  <si>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</si>
  <si>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</si>
  <si>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</si>
  <si>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</si>
  <si>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</si>
  <si>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</si>
  <si>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</si>
  <si>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</si>
  <si>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</si>
  <si>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</si>
  <si>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</si>
  <si>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</si>
  <si>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</si>
  <si>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</si>
  <si>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</si>
  <si>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</si>
  <si>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</si>
  <si>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</si>
  <si>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</si>
  <si>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</si>
  <si>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</si>
  <si>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</si>
  <si>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</si>
  <si>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</si>
  <si>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</si>
  <si>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</si>
  <si>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</si>
  <si>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</si>
  <si>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</si>
  <si>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</si>
  <si>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</si>
  <si>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</si>
  <si>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</si>
  <si>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</si>
  <si>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</si>
  <si>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</si>
  <si>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</si>
  <si>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</si>
  <si>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</si>
  <si>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</si>
  <si>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</si>
  <si>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</si>
  <si>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</si>
  <si>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</si>
  <si>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</si>
  <si>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</si>
  <si>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</si>
  <si>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</si>
  <si>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</si>
  <si>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</si>
  <si>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</si>
  <si>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</si>
  <si>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</si>
  <si>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</si>
  <si>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</si>
  <si>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</si>
  <si>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</si>
  <si>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</si>
  <si>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</si>
  <si>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</si>
  <si>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</si>
  <si>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</si>
  <si>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</si>
  <si>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</si>
  <si>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</si>
  <si>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</si>
  <si>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</si>
  <si>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</si>
  <si>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</si>
  <si>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</si>
  <si>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</si>
  <si>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</si>
  <si>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</si>
  <si>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</si>
  <si>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</si>
  <si>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</si>
  <si>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</si>
  <si>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</si>
  <si>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</si>
  <si>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</si>
  <si>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</si>
  <si>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</si>
  <si>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</si>
  <si>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</si>
  <si>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</si>
  <si>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$68,639;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</si>
</sst>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X39" sqref="X39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45380</v>
      </c>
    </row>
    <row r="2" spans="1:21" x14ac:dyDescent="0.2">
      <c r="A2" s="9"/>
      <c r="E2" s="13" t="s">
        <v>27</v>
      </c>
    </row>
    <row r="3" spans="1:21" x14ac:dyDescent="0.2">
      <c r="E3" s="16"/>
      <c r="F3" s="89" t="s">
        <v>115</v>
      </c>
      <c r="G3" s="89"/>
      <c r="H3" s="89"/>
      <c r="I3" s="89"/>
      <c r="J3" s="90" t="s">
        <v>116</v>
      </c>
      <c r="K3" s="90"/>
      <c r="L3" s="90"/>
      <c r="M3" s="91" t="s">
        <v>117</v>
      </c>
      <c r="N3" s="91"/>
      <c r="O3" s="91"/>
      <c r="P3" s="93" t="s">
        <v>124</v>
      </c>
      <c r="Q3" s="93"/>
      <c r="R3" s="93"/>
      <c r="S3" s="92" t="s">
        <v>130</v>
      </c>
      <c r="T3" s="92"/>
      <c r="U3" s="92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4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4">
        <v>1640</v>
      </c>
      <c r="U13" s="68">
        <f t="shared" si="5"/>
        <v>1825</v>
      </c>
    </row>
    <row r="14" spans="1:21" x14ac:dyDescent="0.2">
      <c r="A14" s="48" t="s">
        <v>18</v>
      </c>
      <c r="B14" s="48" t="s">
        <v>102</v>
      </c>
      <c r="C14" s="48"/>
      <c r="D14" s="54" t="s">
        <v>48</v>
      </c>
      <c r="E14" s="48" t="s">
        <v>103</v>
      </c>
      <c r="F14" s="49">
        <v>40000</v>
      </c>
      <c r="G14" s="50">
        <v>54823</v>
      </c>
      <c r="H14" s="50"/>
      <c r="I14" s="51">
        <v>1721</v>
      </c>
      <c r="J14" s="49">
        <v>125217</v>
      </c>
      <c r="K14" s="50">
        <v>121572</v>
      </c>
      <c r="L14" s="51">
        <v>2183</v>
      </c>
      <c r="M14" s="49">
        <f t="shared" si="0"/>
        <v>165217</v>
      </c>
      <c r="N14" s="50">
        <f t="shared" si="1"/>
        <v>176395</v>
      </c>
      <c r="O14" s="51">
        <f t="shared" si="2"/>
        <v>3904</v>
      </c>
      <c r="P14" s="52">
        <v>4725</v>
      </c>
      <c r="Q14" s="65">
        <f t="shared" si="4"/>
        <v>0.82624338624338622</v>
      </c>
      <c r="R14" s="53">
        <f t="shared" si="3"/>
        <v>45.18314549180328</v>
      </c>
      <c r="S14" s="51">
        <v>203</v>
      </c>
      <c r="T14" s="86">
        <v>1853</v>
      </c>
      <c r="U14" s="51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35514</v>
      </c>
      <c r="H15" s="33"/>
      <c r="I15" s="25">
        <v>625</v>
      </c>
      <c r="J15" s="32">
        <v>125217</v>
      </c>
      <c r="K15" s="33">
        <v>117470</v>
      </c>
      <c r="L15" s="25">
        <v>2082</v>
      </c>
      <c r="M15" s="32">
        <f t="shared" si="0"/>
        <v>160217</v>
      </c>
      <c r="N15" s="33">
        <f t="shared" si="1"/>
        <v>152984</v>
      </c>
      <c r="O15" s="25">
        <f t="shared" si="2"/>
        <v>2707</v>
      </c>
      <c r="P15" s="42">
        <v>4725</v>
      </c>
      <c r="Q15" s="20">
        <f t="shared" si="4"/>
        <v>0.57291005291005292</v>
      </c>
      <c r="R15" s="29">
        <f t="shared" si="3"/>
        <v>56.514222386405613</v>
      </c>
      <c r="S15" s="25">
        <v>65</v>
      </c>
      <c r="T15" s="85">
        <v>1387</v>
      </c>
      <c r="U15" s="25">
        <f t="shared" si="5"/>
        <v>1452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25218</v>
      </c>
      <c r="H16" s="33"/>
      <c r="I16" s="25">
        <v>483</v>
      </c>
      <c r="J16" s="32">
        <v>125217</v>
      </c>
      <c r="K16" s="33">
        <v>126612</v>
      </c>
      <c r="L16" s="25">
        <v>2249</v>
      </c>
      <c r="M16" s="32">
        <f t="shared" si="0"/>
        <v>170217</v>
      </c>
      <c r="N16" s="33">
        <f t="shared" si="1"/>
        <v>151830</v>
      </c>
      <c r="O16" s="25">
        <f t="shared" si="2"/>
        <v>2732</v>
      </c>
      <c r="P16" s="42">
        <v>4725</v>
      </c>
      <c r="Q16" s="20">
        <f t="shared" si="4"/>
        <v>0.57820105820105816</v>
      </c>
      <c r="R16" s="29">
        <f t="shared" si="3"/>
        <v>55.574670571010252</v>
      </c>
      <c r="S16" s="25">
        <v>43</v>
      </c>
      <c r="T16" s="85">
        <v>1384</v>
      </c>
      <c r="U16" s="25">
        <f t="shared" si="5"/>
        <v>1427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36643</v>
      </c>
      <c r="H17" s="33"/>
      <c r="I17" s="25">
        <v>580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156989</v>
      </c>
      <c r="O17" s="25">
        <f t="shared" si="2"/>
        <v>2670</v>
      </c>
      <c r="P17" s="42">
        <v>4725</v>
      </c>
      <c r="Q17" s="20">
        <f t="shared" si="4"/>
        <v>0.56507936507936507</v>
      </c>
      <c r="R17" s="29">
        <f t="shared" si="3"/>
        <v>58.797378277153555</v>
      </c>
      <c r="S17" s="25">
        <v>61</v>
      </c>
      <c r="T17" s="85">
        <v>1346</v>
      </c>
      <c r="U17" s="25">
        <f t="shared" si="5"/>
        <v>1407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30184</v>
      </c>
      <c r="H18" s="33"/>
      <c r="I18" s="25">
        <v>494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152058</v>
      </c>
      <c r="O18" s="25">
        <f t="shared" si="2"/>
        <v>2637</v>
      </c>
      <c r="P18" s="42">
        <v>4254</v>
      </c>
      <c r="Q18" s="20">
        <f t="shared" si="4"/>
        <v>0.61988716502115659</v>
      </c>
      <c r="R18" s="29">
        <f t="shared" si="3"/>
        <v>57.663253697383389</v>
      </c>
      <c r="S18" s="25">
        <v>53</v>
      </c>
      <c r="T18" s="85">
        <v>1327</v>
      </c>
      <c r="U18" s="25">
        <f t="shared" si="5"/>
        <v>1380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33392</v>
      </c>
      <c r="H19" s="34"/>
      <c r="I19" s="26">
        <v>497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156445</v>
      </c>
      <c r="O19" s="26">
        <f t="shared" si="2"/>
        <v>2626</v>
      </c>
      <c r="P19" s="45">
        <v>4725</v>
      </c>
      <c r="Q19" s="21">
        <f t="shared" si="4"/>
        <v>0.5557671957671958</v>
      </c>
      <c r="R19" s="30">
        <f t="shared" si="3"/>
        <v>59.575399847677076</v>
      </c>
      <c r="S19" s="25">
        <v>22</v>
      </c>
      <c r="T19" s="85">
        <v>1353</v>
      </c>
      <c r="U19" s="25">
        <f t="shared" si="5"/>
        <v>1375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605590</v>
      </c>
      <c r="H20" s="77">
        <v>10410</v>
      </c>
      <c r="I20" s="23">
        <f t="shared" si="6"/>
        <v>12666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29698</v>
      </c>
      <c r="M20" s="35">
        <f>SUM(M6:M19)</f>
        <v>2369000</v>
      </c>
      <c r="N20" s="35">
        <f t="shared" ref="N20" si="9">SUM(N6:N19)</f>
        <v>2294792</v>
      </c>
      <c r="O20" s="23">
        <f t="shared" ref="O20" si="10">SUM(O6:O19)</f>
        <v>42364</v>
      </c>
      <c r="P20" s="43">
        <f>SUM(P6:P19)</f>
        <v>65208</v>
      </c>
      <c r="Q20" s="28">
        <f>O20/P20</f>
        <v>0.64967488651699179</v>
      </c>
      <c r="R20" s="24">
        <f t="shared" si="3"/>
        <v>54.168444906052308</v>
      </c>
      <c r="S20" s="43">
        <f>SUM(S6:S19)</f>
        <v>1816</v>
      </c>
      <c r="T20" s="43">
        <f>SUM(T6:T19)</f>
        <v>20588</v>
      </c>
      <c r="U20" s="43">
        <f>SUM(U6:U19)</f>
        <v>22404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3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50153</v>
      </c>
      <c r="H27" s="67"/>
      <c r="I27" s="25">
        <v>683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170330</v>
      </c>
      <c r="O27" s="25">
        <f>I27+L27</f>
        <v>2587</v>
      </c>
      <c r="P27" s="42">
        <v>4707</v>
      </c>
      <c r="Q27" s="21">
        <f t="shared" si="12"/>
        <v>0.5496069683450181</v>
      </c>
      <c r="R27" s="10">
        <f t="shared" si="13"/>
        <v>65.840742172400468</v>
      </c>
      <c r="S27" s="25">
        <v>91</v>
      </c>
      <c r="T27" s="25">
        <v>1102</v>
      </c>
      <c r="U27" s="25">
        <f t="shared" si="14"/>
        <v>1193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684732</v>
      </c>
      <c r="H28" s="78">
        <v>35268</v>
      </c>
      <c r="I28" s="27">
        <f t="shared" si="15"/>
        <v>8632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1278609</v>
      </c>
      <c r="O28" s="27">
        <f t="shared" si="15"/>
        <v>17856</v>
      </c>
      <c r="P28" s="43">
        <f t="shared" si="15"/>
        <v>23535</v>
      </c>
      <c r="Q28" s="28">
        <f>O28/P28</f>
        <v>0.7586998087954111</v>
      </c>
      <c r="R28" s="31">
        <f t="shared" si="13"/>
        <v>71.606686827956992</v>
      </c>
      <c r="S28" s="43">
        <f>SUM(S23:S27)</f>
        <v>1508</v>
      </c>
      <c r="T28" s="43">
        <f t="shared" ref="T28:U28" si="16">SUM(T23:T27)</f>
        <v>6448</v>
      </c>
      <c r="U28" s="43">
        <f t="shared" si="16"/>
        <v>7956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8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110</v>
      </c>
      <c r="T45" s="51">
        <v>325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422797</v>
      </c>
      <c r="H46" s="33"/>
      <c r="I46" s="25">
        <v>4766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424842</v>
      </c>
      <c r="O46" s="25">
        <f t="shared" si="24"/>
        <v>4804</v>
      </c>
      <c r="P46" s="42">
        <v>5184</v>
      </c>
      <c r="Q46" s="20">
        <f t="shared" si="25"/>
        <v>0.92669753086419748</v>
      </c>
      <c r="R46" s="29">
        <f t="shared" si="26"/>
        <v>88.435054121565358</v>
      </c>
      <c r="S46" s="25">
        <v>687</v>
      </c>
      <c r="T46" s="25">
        <v>962</v>
      </c>
      <c r="U46" s="25">
        <f t="shared" si="27"/>
        <v>1649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85289</v>
      </c>
      <c r="H47" s="33"/>
      <c r="I47" s="25">
        <v>1034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85289</v>
      </c>
      <c r="O47" s="25">
        <f t="shared" si="24"/>
        <v>1034</v>
      </c>
      <c r="P47" s="42">
        <v>1575</v>
      </c>
      <c r="Q47" s="20">
        <f t="shared" si="25"/>
        <v>0.65650793650793648</v>
      </c>
      <c r="R47" s="29">
        <f t="shared" si="26"/>
        <v>82.484526112185691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201052</v>
      </c>
      <c r="H48" s="33"/>
      <c r="I48" s="25">
        <v>2374</v>
      </c>
      <c r="J48" s="32"/>
      <c r="K48" s="33"/>
      <c r="L48" s="25"/>
      <c r="M48" s="40"/>
      <c r="N48" s="40">
        <v>201052</v>
      </c>
      <c r="O48" s="25">
        <v>2374</v>
      </c>
      <c r="P48" s="42">
        <v>2468</v>
      </c>
      <c r="Q48" s="20">
        <v>0.96</v>
      </c>
      <c r="R48" s="76">
        <v>86.29</v>
      </c>
      <c r="S48" s="25">
        <v>718</v>
      </c>
      <c r="T48" s="25">
        <v>246</v>
      </c>
      <c r="U48" s="25">
        <f t="shared" si="27"/>
        <v>964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344376</v>
      </c>
      <c r="H49" s="33"/>
      <c r="I49" s="25">
        <v>1489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344376</v>
      </c>
      <c r="O49" s="25">
        <f t="shared" si="24"/>
        <v>1489</v>
      </c>
      <c r="P49" s="42">
        <v>1575</v>
      </c>
      <c r="Q49" s="21">
        <f t="shared" si="25"/>
        <v>0.94539682539682535</v>
      </c>
      <c r="R49" s="10">
        <f t="shared" si="26"/>
        <v>231.28005372733378</v>
      </c>
      <c r="S49" s="25">
        <v>52</v>
      </c>
      <c r="T49" s="25">
        <v>693</v>
      </c>
      <c r="U49" s="25">
        <f t="shared" si="27"/>
        <v>745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2723113</v>
      </c>
      <c r="H50" s="39">
        <v>140113</v>
      </c>
      <c r="I50" s="27">
        <f t="shared" si="28"/>
        <v>34473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2734061</v>
      </c>
      <c r="O50" s="27">
        <f t="shared" si="28"/>
        <v>34772</v>
      </c>
      <c r="P50" s="43">
        <f t="shared" si="28"/>
        <v>37961</v>
      </c>
      <c r="Q50" s="28">
        <f>O50/P50</f>
        <v>0.9159927293801533</v>
      </c>
      <c r="R50" s="31">
        <f t="shared" si="26"/>
        <v>78.628235361785343</v>
      </c>
      <c r="S50" s="43">
        <f>SUM(S37:S47)</f>
        <v>4609</v>
      </c>
      <c r="T50" s="43">
        <f t="shared" ref="T50:U50" si="29">SUM(T37:T47)</f>
        <v>6532</v>
      </c>
      <c r="U50" s="43">
        <f t="shared" si="29"/>
        <v>11141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4526998</v>
      </c>
      <c r="H51" s="39">
        <v>170998</v>
      </c>
      <c r="I51" s="27">
        <f>SUM(I20,I28,I35,I50)</f>
        <v>64261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41471</v>
      </c>
      <c r="M51" s="35">
        <f>SUM(M20,M28,M35,M50)</f>
        <v>6644000</v>
      </c>
      <c r="N51" s="39">
        <f t="shared" ref="N51" si="32">SUM(N20,N28,N35,N50)</f>
        <v>6866125</v>
      </c>
      <c r="O51" s="27">
        <f>SUM(O20,O28,O35,O50)</f>
        <v>105732</v>
      </c>
      <c r="P51" s="43">
        <f>SUM(P20,P28,P35,P50)</f>
        <v>139670</v>
      </c>
      <c r="Q51" s="28">
        <f>O51/P51</f>
        <v>0.75701295911792077</v>
      </c>
      <c r="R51" s="31">
        <f t="shared" si="26"/>
        <v>64.938949419286502</v>
      </c>
      <c r="S51" s="43">
        <f>SUM(S20,S28,S35,S50)</f>
        <v>8888</v>
      </c>
      <c r="T51" s="43">
        <f t="shared" ref="T51:U51" si="33">SUM(T20,T28,T35,T50)</f>
        <v>36200</v>
      </c>
      <c r="U51" s="43">
        <f t="shared" si="33"/>
        <v>45088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2024-03-29T15:17:04Z</dcterms:modified>
</cp:coreProperties>
</file>