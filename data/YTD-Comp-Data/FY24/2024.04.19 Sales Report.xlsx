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832" documentId="8_{3E45E35C-2B2D-406E-9F95-3D7D9FC84DC2}" xr6:coauthVersionLast="47" xr6:coauthVersionMax="47" xr10:uidLastSave="{715C0918-CB88-43F0-BBF6-072CF0F8C056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<sst xmlns="http://schemas.openxmlformats.org/spreadsheetml/2006/main" count="163" uniqueCount="139">
  <si>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</si>
  <si>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</si>
  <si>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</si>
  <si>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</si>
  <si>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</si>
  <si>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</si>
  <si>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</si>
  <si>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</si>
  <si>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</si>
  <si>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</si>
  <si>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</si>
  <si>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</si>
  <si>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</si>
  <si>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</si>
  <si>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</si>
  <si>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</si>
  <si>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</si>
  <si>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</si>
  <si>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</si>
  <si>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</si>
  <si>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</si>
  <si>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</si>
  <si>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</si>
  <si>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</si>
  <si>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</si>
  <si>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</si>
  <si>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</si>
  <si>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</si>
  <si>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</si>
  <si>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</si>
  <si>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</si>
  <si>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</si>
  <si>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</si>
  <si>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</si>
  <si>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</si>
  <si>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</si>
  <si>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</si>
  <si>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</si>
  <si>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</si>
  <si>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</si>
  <si>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</si>
  <si>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</si>
  <si>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</si>
  <si>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</si>
  <si>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</si>
  <si>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</si>
  <si>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</si>
  <si>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</si>
  <si>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</si>
  <si>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</si>
  <si>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</si>
  <si>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</si>
  <si>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</si>
  <si>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</si>
  <si>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</si>
  <si>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</si>
  <si>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</si>
  <si>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</si>
  <si>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</si>
  <si>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</si>
  <si>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</si>
  <si>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</si>
  <si>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</si>
  <si>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</si>
  <si>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</si>
  <si>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</si>
  <si>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</si>
  <si>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</si>
  <si>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</si>
  <si>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</si>
  <si>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</si>
  <si>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</si>
  <si>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</si>
  <si>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</si>
  <si>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</si>
  <si>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</si>
  <si>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</si>
  <si>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</si>
  <si>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</si>
  <si>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</si>
  <si>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</si>
  <si>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</si>
  <si>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</si>
  <si>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</si>
  <si>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</si>
  <si>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</si>
  <si>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</si>
  <si>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</si>
  <si>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</si>
  <si>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</si>
  <si>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</si>
  <si>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</si>
  <si>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</si>
  <si>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</si>
  <si>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</si>
  <si>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</si>
  <si>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</si>
  <si>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</si>
  <si>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</si>
  <si>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</si>
  <si>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</si>
  <si>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</si>
  <si>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</si>
  <si>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</si>
  <si>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</si>
  <si>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</si>
  <si>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</si>
  <si>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</si>
  <si>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</si>
  <si>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</si>
  <si>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</si>
  <si>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</si>
  <si>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</si>
  <si>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</si>
  <si>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</si>
  <si>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</si>
  <si>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</si>
  <si>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</si>
  <si>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</si>
  <si>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</si>
  <si>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</si>
  <si>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</si>
  <si>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</si>
  <si>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</si>
  <si>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</si>
  <si>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</si>
  <si>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</si>
  <si>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</si>
  <si>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</si>
  <si>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</si>
  <si>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</si>
  <si>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</si>
  <si>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</si>
  <si>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</si>
  <si>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</si>
  <si>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</si>
  <si>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</si>
  <si>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</si>
  <si>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$92,238; for Pops $39,579; FINAL for Family $76,563; and Other Concerts $133,053.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</si>
</sst>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9" workbookViewId="0">
      <selection activeCell="W26" sqref="W26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45401</v>
      </c>
    </row>
    <row r="2" spans="1:21" x14ac:dyDescent="0.2">
      <c r="A2" s="9"/>
      <c r="E2" s="13" t="s">
        <v>27</v>
      </c>
    </row>
    <row r="3" spans="1:21" x14ac:dyDescent="0.2">
      <c r="E3" s="16"/>
      <c r="F3" s="88" t="s">
        <v>115</v>
      </c>
      <c r="G3" s="88"/>
      <c r="H3" s="88"/>
      <c r="I3" s="88"/>
      <c r="J3" s="89" t="s">
        <v>116</v>
      </c>
      <c r="K3" s="89"/>
      <c r="L3" s="89"/>
      <c r="M3" s="90" t="s">
        <v>117</v>
      </c>
      <c r="N3" s="90"/>
      <c r="O3" s="90"/>
      <c r="P3" s="92" t="s">
        <v>124</v>
      </c>
      <c r="Q3" s="92"/>
      <c r="R3" s="92"/>
      <c r="S3" s="91" t="s">
        <v>130</v>
      </c>
      <c r="T3" s="91"/>
      <c r="U3" s="91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3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3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3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3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4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4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3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3">
        <v>1640</v>
      </c>
      <c r="U13" s="6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20">
        <f t="shared" si="4"/>
        <v>0.82624338624338622</v>
      </c>
      <c r="R14" s="41">
        <f t="shared" si="3"/>
        <v>45.18314549180328</v>
      </c>
      <c r="S14" s="68">
        <v>199</v>
      </c>
      <c r="T14" s="83">
        <v>1857</v>
      </c>
      <c r="U14" s="68">
        <f t="shared" si="5"/>
        <v>2056</v>
      </c>
    </row>
    <row r="15" spans="1:21" x14ac:dyDescent="0.2">
      <c r="A15" s="48" t="s">
        <v>19</v>
      </c>
      <c r="B15" s="54" t="s">
        <v>104</v>
      </c>
      <c r="C15" s="48"/>
      <c r="D15" s="54" t="s">
        <v>49</v>
      </c>
      <c r="E15" s="54" t="s">
        <v>25</v>
      </c>
      <c r="F15" s="49">
        <v>35000</v>
      </c>
      <c r="G15" s="50">
        <v>58599</v>
      </c>
      <c r="H15" s="50"/>
      <c r="I15" s="51">
        <v>1126</v>
      </c>
      <c r="J15" s="49">
        <v>125217</v>
      </c>
      <c r="K15" s="50">
        <v>117470</v>
      </c>
      <c r="L15" s="51">
        <v>2092</v>
      </c>
      <c r="M15" s="49">
        <f t="shared" si="0"/>
        <v>160217</v>
      </c>
      <c r="N15" s="50">
        <f t="shared" si="1"/>
        <v>176069</v>
      </c>
      <c r="O15" s="51">
        <f t="shared" si="2"/>
        <v>3218</v>
      </c>
      <c r="P15" s="52">
        <v>4725</v>
      </c>
      <c r="Q15" s="65">
        <f t="shared" si="4"/>
        <v>0.68105820105820103</v>
      </c>
      <c r="R15" s="53">
        <f t="shared" si="3"/>
        <v>54.71379738968303</v>
      </c>
      <c r="S15" s="51">
        <v>162</v>
      </c>
      <c r="T15" s="85">
        <v>1601</v>
      </c>
      <c r="U15" s="51">
        <f t="shared" si="5"/>
        <v>1763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43943</v>
      </c>
      <c r="H16" s="33"/>
      <c r="I16" s="25">
        <v>881</v>
      </c>
      <c r="J16" s="32">
        <v>125217</v>
      </c>
      <c r="K16" s="33">
        <v>126612</v>
      </c>
      <c r="L16" s="25">
        <v>2255</v>
      </c>
      <c r="M16" s="32">
        <f t="shared" si="0"/>
        <v>170217</v>
      </c>
      <c r="N16" s="33">
        <f t="shared" si="1"/>
        <v>170555</v>
      </c>
      <c r="O16" s="25">
        <f t="shared" si="2"/>
        <v>3136</v>
      </c>
      <c r="P16" s="42">
        <v>4725</v>
      </c>
      <c r="Q16" s="20">
        <f t="shared" si="4"/>
        <v>0.66370370370370368</v>
      </c>
      <c r="R16" s="29">
        <f t="shared" si="3"/>
        <v>54.386160714285715</v>
      </c>
      <c r="S16" s="25">
        <v>101</v>
      </c>
      <c r="T16" s="84">
        <v>1580</v>
      </c>
      <c r="U16" s="25">
        <f t="shared" si="5"/>
        <v>1681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42297</v>
      </c>
      <c r="H17" s="33"/>
      <c r="I17" s="25">
        <v>667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162643</v>
      </c>
      <c r="O17" s="25">
        <f t="shared" si="2"/>
        <v>2757</v>
      </c>
      <c r="P17" s="42">
        <v>4725</v>
      </c>
      <c r="Q17" s="20">
        <f t="shared" si="4"/>
        <v>0.58349206349206351</v>
      </c>
      <c r="R17" s="29">
        <f t="shared" si="3"/>
        <v>58.992745738121144</v>
      </c>
      <c r="S17" s="25">
        <v>73</v>
      </c>
      <c r="T17" s="84">
        <v>1378</v>
      </c>
      <c r="U17" s="25">
        <f t="shared" si="5"/>
        <v>1451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37960</v>
      </c>
      <c r="H18" s="33"/>
      <c r="I18" s="25">
        <v>642</v>
      </c>
      <c r="J18" s="32">
        <v>125217</v>
      </c>
      <c r="K18" s="33">
        <v>121874</v>
      </c>
      <c r="L18" s="25">
        <v>2148</v>
      </c>
      <c r="M18" s="32">
        <f t="shared" si="0"/>
        <v>163217</v>
      </c>
      <c r="N18" s="33">
        <f t="shared" si="1"/>
        <v>159834</v>
      </c>
      <c r="O18" s="25">
        <f t="shared" si="2"/>
        <v>2790</v>
      </c>
      <c r="P18" s="42">
        <v>4254</v>
      </c>
      <c r="Q18" s="20">
        <f t="shared" si="4"/>
        <v>0.65585331452750351</v>
      </c>
      <c r="R18" s="29">
        <f t="shared" si="3"/>
        <v>57.288172043010753</v>
      </c>
      <c r="S18" s="25">
        <v>75</v>
      </c>
      <c r="T18" s="84">
        <v>1369</v>
      </c>
      <c r="U18" s="25">
        <f t="shared" si="5"/>
        <v>1444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37705</v>
      </c>
      <c r="H19" s="34"/>
      <c r="I19" s="26">
        <v>560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160758</v>
      </c>
      <c r="O19" s="26">
        <f t="shared" si="2"/>
        <v>2689</v>
      </c>
      <c r="P19" s="45">
        <v>4725</v>
      </c>
      <c r="Q19" s="21">
        <f t="shared" si="4"/>
        <v>0.56910052910052911</v>
      </c>
      <c r="R19" s="30">
        <f t="shared" si="3"/>
        <v>59.783562662699886</v>
      </c>
      <c r="S19" s="25">
        <v>30</v>
      </c>
      <c r="T19" s="84">
        <v>1371</v>
      </c>
      <c r="U19" s="25">
        <f t="shared" si="5"/>
        <v>1401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665143</v>
      </c>
      <c r="H20" s="35">
        <v>49143</v>
      </c>
      <c r="I20" s="23">
        <f t="shared" si="6"/>
        <v>13863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29719</v>
      </c>
      <c r="M20" s="35">
        <f>SUM(M6:M19)</f>
        <v>2369000</v>
      </c>
      <c r="N20" s="35">
        <f t="shared" ref="N20" si="9">SUM(N6:N19)</f>
        <v>2354345</v>
      </c>
      <c r="O20" s="23">
        <f t="shared" ref="O20" si="10">SUM(O6:O19)</f>
        <v>43582</v>
      </c>
      <c r="P20" s="43">
        <f>SUM(P6:P19)</f>
        <v>65208</v>
      </c>
      <c r="Q20" s="28">
        <f>O20/P20</f>
        <v>0.66835357624831304</v>
      </c>
      <c r="R20" s="24">
        <f t="shared" si="3"/>
        <v>54.021040796659172</v>
      </c>
      <c r="S20" s="43">
        <f>SUM(S6:S19)</f>
        <v>2009</v>
      </c>
      <c r="T20" s="43">
        <f>SUM(T6:T19)</f>
        <v>21094</v>
      </c>
      <c r="U20" s="43">
        <f>SUM(U6:U19)</f>
        <v>23103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1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6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6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2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77146</v>
      </c>
      <c r="H27" s="67"/>
      <c r="I27" s="25">
        <v>1105</v>
      </c>
      <c r="J27" s="32">
        <v>128000</v>
      </c>
      <c r="K27" s="47">
        <v>120177</v>
      </c>
      <c r="L27" s="25">
        <v>1911</v>
      </c>
      <c r="M27" s="40">
        <f t="shared" si="11"/>
        <v>253000</v>
      </c>
      <c r="N27" s="40">
        <f t="shared" si="11"/>
        <v>197323</v>
      </c>
      <c r="O27" s="25">
        <f>I27+L27</f>
        <v>3016</v>
      </c>
      <c r="P27" s="42">
        <v>4707</v>
      </c>
      <c r="Q27" s="21">
        <f t="shared" si="12"/>
        <v>0.64074782239218186</v>
      </c>
      <c r="R27" s="10">
        <f t="shared" si="13"/>
        <v>65.425397877984082</v>
      </c>
      <c r="S27" s="25">
        <v>161</v>
      </c>
      <c r="T27" s="25">
        <v>1202</v>
      </c>
      <c r="U27" s="25">
        <f t="shared" si="14"/>
        <v>1363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711725</v>
      </c>
      <c r="H28" s="77">
        <v>8275</v>
      </c>
      <c r="I28" s="27">
        <f t="shared" si="15"/>
        <v>9054</v>
      </c>
      <c r="J28" s="35">
        <f t="shared" si="15"/>
        <v>640000</v>
      </c>
      <c r="K28" s="39">
        <f t="shared" si="15"/>
        <v>593877</v>
      </c>
      <c r="L28" s="27">
        <f t="shared" si="15"/>
        <v>9231</v>
      </c>
      <c r="M28" s="35">
        <f t="shared" si="15"/>
        <v>1360000</v>
      </c>
      <c r="N28" s="39">
        <f t="shared" si="15"/>
        <v>1305602</v>
      </c>
      <c r="O28" s="27">
        <f t="shared" si="15"/>
        <v>18285</v>
      </c>
      <c r="P28" s="43">
        <f t="shared" si="15"/>
        <v>23535</v>
      </c>
      <c r="Q28" s="28">
        <f>O28/P28</f>
        <v>0.77692797960484383</v>
      </c>
      <c r="R28" s="31">
        <f t="shared" si="13"/>
        <v>71.402898550724643</v>
      </c>
      <c r="S28" s="43">
        <f>SUM(S23:S27)</f>
        <v>1578</v>
      </c>
      <c r="T28" s="43">
        <f t="shared" ref="T28:U28" si="16">SUM(T23:T27)</f>
        <v>6548</v>
      </c>
      <c r="U28" s="43">
        <f t="shared" si="16"/>
        <v>8126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6">
        <v>92000</v>
      </c>
      <c r="G45" s="67">
        <v>52660</v>
      </c>
      <c r="H45" s="67"/>
      <c r="I45" s="68">
        <v>744</v>
      </c>
      <c r="J45" s="66">
        <v>0</v>
      </c>
      <c r="K45" s="67">
        <v>612</v>
      </c>
      <c r="L45" s="68">
        <v>31</v>
      </c>
      <c r="M45" s="71">
        <f t="shared" si="22"/>
        <v>92000</v>
      </c>
      <c r="N45" s="71">
        <f t="shared" si="23"/>
        <v>53272</v>
      </c>
      <c r="O45" s="68">
        <f t="shared" si="24"/>
        <v>775</v>
      </c>
      <c r="P45" s="69">
        <v>1575</v>
      </c>
      <c r="Q45" s="20">
        <f t="shared" si="25"/>
        <v>0.49206349206349204</v>
      </c>
      <c r="R45" s="41">
        <f t="shared" si="26"/>
        <v>68.738064516129029</v>
      </c>
      <c r="S45" s="68">
        <v>110</v>
      </c>
      <c r="T45" s="68">
        <v>325</v>
      </c>
      <c r="U45" s="68">
        <f t="shared" si="27"/>
        <v>435</v>
      </c>
    </row>
    <row r="46" spans="1:21" ht="12.75" customHeight="1" x14ac:dyDescent="0.2">
      <c r="A46" s="54" t="s">
        <v>92</v>
      </c>
      <c r="B46" s="63"/>
      <c r="C46" s="63"/>
      <c r="D46" s="87" t="s">
        <v>93</v>
      </c>
      <c r="E46" s="54" t="s">
        <v>107</v>
      </c>
      <c r="F46" s="49">
        <v>375000</v>
      </c>
      <c r="G46" s="50">
        <v>446454</v>
      </c>
      <c r="H46" s="50"/>
      <c r="I46" s="51">
        <v>4989</v>
      </c>
      <c r="J46" s="49">
        <v>0</v>
      </c>
      <c r="K46" s="50">
        <v>2045</v>
      </c>
      <c r="L46" s="51">
        <v>38</v>
      </c>
      <c r="M46" s="64">
        <f t="shared" si="22"/>
        <v>375000</v>
      </c>
      <c r="N46" s="64">
        <f t="shared" si="23"/>
        <v>448499</v>
      </c>
      <c r="O46" s="51">
        <f t="shared" si="24"/>
        <v>5027</v>
      </c>
      <c r="P46" s="52">
        <v>5184</v>
      </c>
      <c r="Q46" s="65">
        <f t="shared" si="25"/>
        <v>0.9697145061728395</v>
      </c>
      <c r="R46" s="53">
        <f t="shared" si="26"/>
        <v>89.218022677541271</v>
      </c>
      <c r="S46" s="51">
        <v>765</v>
      </c>
      <c r="T46" s="51">
        <v>992</v>
      </c>
      <c r="U46" s="51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99518</v>
      </c>
      <c r="H47" s="33"/>
      <c r="I47" s="25">
        <v>1297</v>
      </c>
      <c r="J47" s="32">
        <v>0</v>
      </c>
      <c r="K47" s="33">
        <v>0</v>
      </c>
      <c r="L47" s="25">
        <v>22</v>
      </c>
      <c r="M47" s="40">
        <f t="shared" si="22"/>
        <v>100000</v>
      </c>
      <c r="N47" s="40">
        <f t="shared" si="23"/>
        <v>99518</v>
      </c>
      <c r="O47" s="25">
        <f t="shared" si="24"/>
        <v>1319</v>
      </c>
      <c r="P47" s="42">
        <v>1575</v>
      </c>
      <c r="Q47" s="20">
        <f t="shared" si="25"/>
        <v>0.83746031746031746</v>
      </c>
      <c r="R47" s="29">
        <f t="shared" si="26"/>
        <v>75.449583017437448</v>
      </c>
      <c r="S47" s="25">
        <v>123</v>
      </c>
      <c r="T47" s="25">
        <v>412</v>
      </c>
      <c r="U47" s="25">
        <f t="shared" si="27"/>
        <v>535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201424</v>
      </c>
      <c r="H48" s="33"/>
      <c r="I48" s="25">
        <v>2378</v>
      </c>
      <c r="J48" s="32"/>
      <c r="K48" s="33"/>
      <c r="L48" s="25"/>
      <c r="M48" s="40"/>
      <c r="N48" s="40">
        <v>201424</v>
      </c>
      <c r="O48" s="25">
        <v>2378</v>
      </c>
      <c r="P48" s="42">
        <v>2468</v>
      </c>
      <c r="Q48" s="20">
        <v>0.96</v>
      </c>
      <c r="R48" s="76">
        <v>84.7</v>
      </c>
      <c r="S48" s="25">
        <v>719</v>
      </c>
      <c r="T48" s="25">
        <v>250</v>
      </c>
      <c r="U48" s="25">
        <f t="shared" si="27"/>
        <v>969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362740</v>
      </c>
      <c r="H49" s="33"/>
      <c r="I49" s="25">
        <v>1552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362740</v>
      </c>
      <c r="O49" s="25">
        <f t="shared" si="24"/>
        <v>1552</v>
      </c>
      <c r="P49" s="42">
        <v>1575</v>
      </c>
      <c r="Q49" s="21">
        <f t="shared" si="25"/>
        <v>0.98539682539682538</v>
      </c>
      <c r="R49" s="10">
        <f t="shared" si="26"/>
        <v>233.7242268041237</v>
      </c>
      <c r="S49" s="25">
        <v>62</v>
      </c>
      <c r="T49" s="25">
        <v>685</v>
      </c>
      <c r="U49" s="25">
        <f t="shared" si="27"/>
        <v>747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2779735</v>
      </c>
      <c r="H50" s="39">
        <v>196735</v>
      </c>
      <c r="I50" s="27">
        <f t="shared" si="28"/>
        <v>35026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2790683</v>
      </c>
      <c r="O50" s="27">
        <f t="shared" si="28"/>
        <v>35347</v>
      </c>
      <c r="P50" s="43">
        <f t="shared" si="28"/>
        <v>37961</v>
      </c>
      <c r="Q50" s="28">
        <f>O50/P50</f>
        <v>0.93113985406074651</v>
      </c>
      <c r="R50" s="31">
        <f t="shared" si="26"/>
        <v>78.951056666760977</v>
      </c>
      <c r="S50" s="43">
        <f>SUM(S37:S47)</f>
        <v>4745</v>
      </c>
      <c r="T50" s="43">
        <f t="shared" ref="T50:U50" si="29">SUM(T37:T47)</f>
        <v>6655</v>
      </c>
      <c r="U50" s="43">
        <f t="shared" si="29"/>
        <v>11400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4670166</v>
      </c>
      <c r="H51" s="39">
        <v>314166</v>
      </c>
      <c r="I51" s="27">
        <f>SUM(I20,I28,I35,I50)</f>
        <v>66433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41521</v>
      </c>
      <c r="M51" s="35">
        <f>SUM(M20,M28,M35,M50)</f>
        <v>6644000</v>
      </c>
      <c r="N51" s="39">
        <f t="shared" ref="N51" si="32">SUM(N20,N28,N35,N50)</f>
        <v>7009293</v>
      </c>
      <c r="O51" s="27">
        <f>SUM(O20,O28,O35,O50)</f>
        <v>107954</v>
      </c>
      <c r="P51" s="43">
        <f>SUM(P20,P28,P35,P50)</f>
        <v>139670</v>
      </c>
      <c r="Q51" s="28">
        <f>O51/P51</f>
        <v>0.77292188730579225</v>
      </c>
      <c r="R51" s="31">
        <f t="shared" si="26"/>
        <v>64.928515849343242</v>
      </c>
      <c r="S51" s="43">
        <f>SUM(S20,S28,S35,S50)</f>
        <v>9287</v>
      </c>
      <c r="T51" s="43">
        <f t="shared" ref="T51:U51" si="33">SUM(T20,T28,T35,T50)</f>
        <v>36929</v>
      </c>
      <c r="U51" s="43">
        <f t="shared" si="33"/>
        <v>46216</v>
      </c>
    </row>
    <row r="52" spans="1:21" ht="12.75" customHeight="1" x14ac:dyDescent="0.2">
      <c r="A52" s="78"/>
      <c r="B52" s="78"/>
      <c r="C52" s="78"/>
      <c r="D52" s="78"/>
      <c r="E52" s="78"/>
      <c r="F52" s="78"/>
      <c r="G52" s="78"/>
      <c r="T52" s="6"/>
    </row>
    <row r="53" spans="1:21" ht="15.75" x14ac:dyDescent="0.25">
      <c r="A53" s="80" t="s">
        <v>138</v>
      </c>
      <c r="B53" s="78"/>
      <c r="C53" s="78"/>
      <c r="D53" s="78"/>
      <c r="E53" s="78"/>
      <c r="F53" s="78"/>
      <c r="G53" s="78"/>
    </row>
    <row r="54" spans="1:21" x14ac:dyDescent="0.2">
      <c r="A54" s="16"/>
    </row>
    <row r="55" spans="1:21" x14ac:dyDescent="0.2">
      <c r="A55" s="78"/>
      <c r="B55" s="78"/>
      <c r="C55" s="78"/>
      <c r="D55" s="78"/>
      <c r="E55" s="78"/>
      <c r="F55" s="78"/>
      <c r="G55" s="78"/>
    </row>
    <row r="56" spans="1:21" x14ac:dyDescent="0.2">
      <c r="A56" s="79"/>
      <c r="B56" s="78"/>
      <c r="C56" s="78"/>
      <c r="D56" s="78"/>
      <c r="E56" s="78"/>
      <c r="F56" s="78"/>
      <c r="G56" s="78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2024-04-19T15:37:49Z</dcterms:modified>
</cp:coreProperties>
</file>