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151" documentId="8_{3E45E35C-2B2D-406E-9F95-3D7D9FC84DC2}" xr6:coauthVersionLast="47" xr6:coauthVersionMax="47" xr10:uidLastSave="{457117FD-673C-433F-A6F5-616C316961CD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<sst xmlns="http://schemas.openxmlformats.org/spreadsheetml/2006/main" count="164" uniqueCount="140">
  <si>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</si>
  <si>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</si>
  <si>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</si>
  <si>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</si>
  <si>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</si>
  <si>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</si>
  <si>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</si>
  <si>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</si>
  <si>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</si>
  <si>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</si>
  <si>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</si>
  <si>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</si>
  <si>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</si>
  <si>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</si>
  <si>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</si>
  <si>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</si>
  <si>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</si>
  <si>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</si>
  <si>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</si>
  <si>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</si>
  <si>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</si>
  <si>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</si>
  <si>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</si>
  <si>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</si>
  <si>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</si>
  <si>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</si>
  <si>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</si>
  <si>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</si>
  <si>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</si>
  <si>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</si>
  <si>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</si>
  <si>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</si>
  <si>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</si>
  <si>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</si>
  <si>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</si>
  <si>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</si>
  <si>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</si>
  <si>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</si>
  <si>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</si>
  <si>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</si>
  <si>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</si>
  <si>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</si>
  <si>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</si>
  <si>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</si>
  <si>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</si>
  <si>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</si>
  <si>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</si>
  <si>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</si>
  <si>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</si>
  <si>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</si>
  <si>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</si>
  <si>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</si>
  <si>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</si>
  <si>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</si>
  <si>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</si>
  <si>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</si>
  <si>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</si>
  <si>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</si>
  <si>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</si>
  <si>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</si>
  <si>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</si>
  <si>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</si>
  <si>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</si>
  <si>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</si>
  <si>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</si>
  <si>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</si>
  <si>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</si>
  <si>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</si>
  <si>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</si>
  <si>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</si>
  <si>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</si>
  <si>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</si>
  <si>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</si>
  <si>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</si>
  <si>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</si>
  <si>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</si>
  <si>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</si>
  <si>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</si>
  <si>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</si>
  <si>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</si>
  <si>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</si>
  <si>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</si>
  <si>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</si>
  <si>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</si>
  <si>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</si>
  <si>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</si>
  <si>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</si>
  <si>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</si>
  <si>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</si>
  <si>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</si>
  <si>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</si>
  <si>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</si>
  <si>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</si>
  <si>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</si>
  <si>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</si>
  <si>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</si>
  <si>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</si>
  <si>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</si>
  <si>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</si>
  <si>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</si>
  <si>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</si>
  <si>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</si>
  <si>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</si>
  <si>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</si>
  <si>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</si>
  <si>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</si>
  <si>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</si>
  <si>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</si>
  <si>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</si>
  <si>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</si>
  <si>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</si>
  <si>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</si>
  <si>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</si>
  <si>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</si>
  <si>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</si>
  <si>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</si>
  <si>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</si>
  <si>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</si>
  <si>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</si>
  <si>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</si>
  <si>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</si>
  <si>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</si>
  <si>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</si>
  <si>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</si>
  <si>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</si>
  <si>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</si>
  <si>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</si>
  <si>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</si>
  <si>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</si>
  <si>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</si>
  <si>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</si>
  <si>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</si>
  <si>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</si>
  <si>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</si>
  <si>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</si>
  <si>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</si>
  <si>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</si>
  <si>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</si>
  <si>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</si>
  <si>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$96,866; FINAL for Pops $75,049; FINAL for Family $76,563; and Other Concerts $193,998.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</si>
</sst>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8" fontId="0" fillId="0" borderId="4" xfId="1" applyNumberFormat="1" applyFont="1" applyBorder="1" applyAlignment="1">
      <alignment horizontal="right"/>
    </xf>
    <xf numFmtId="164" fontId="0" fillId="0" borderId="0" xfId="2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W34" sqref="W34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1">
        <v>45443</v>
      </c>
    </row>
    <row r="2" spans="1:21" x14ac:dyDescent="0.2">
      <c r="A2" s="9"/>
      <c r="E2" s="13" t="s">
        <v>27</v>
      </c>
    </row>
    <row r="3" spans="1:21" x14ac:dyDescent="0.2">
      <c r="E3" s="16"/>
      <c r="F3" s="85" t="s">
        <v>115</v>
      </c>
      <c r="G3" s="85"/>
      <c r="H3" s="85"/>
      <c r="I3" s="85"/>
      <c r="J3" s="86" t="s">
        <v>116</v>
      </c>
      <c r="K3" s="86"/>
      <c r="L3" s="86"/>
      <c r="M3" s="87" t="s">
        <v>117</v>
      </c>
      <c r="N3" s="87"/>
      <c r="O3" s="87"/>
      <c r="P3" s="89" t="s">
        <v>124</v>
      </c>
      <c r="Q3" s="89"/>
      <c r="R3" s="89"/>
      <c r="S3" s="88" t="s">
        <v>130</v>
      </c>
      <c r="T3" s="88"/>
      <c r="U3" s="88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78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78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78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78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79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79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78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78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78">
        <v>1857</v>
      </c>
      <c r="U14" s="68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6">
        <v>35000</v>
      </c>
      <c r="G15" s="67">
        <v>58599</v>
      </c>
      <c r="H15" s="67"/>
      <c r="I15" s="68">
        <v>1126</v>
      </c>
      <c r="J15" s="66">
        <v>125217</v>
      </c>
      <c r="K15" s="67">
        <v>117470</v>
      </c>
      <c r="L15" s="68">
        <v>2092</v>
      </c>
      <c r="M15" s="66">
        <f t="shared" si="0"/>
        <v>160217</v>
      </c>
      <c r="N15" s="67">
        <f t="shared" si="1"/>
        <v>176069</v>
      </c>
      <c r="O15" s="68">
        <f t="shared" si="2"/>
        <v>3218</v>
      </c>
      <c r="P15" s="69">
        <v>4725</v>
      </c>
      <c r="Q15" s="20">
        <f t="shared" si="4"/>
        <v>0.68105820105820103</v>
      </c>
      <c r="R15" s="41">
        <f t="shared" si="3"/>
        <v>54.71379738968303</v>
      </c>
      <c r="S15" s="68">
        <v>162</v>
      </c>
      <c r="T15" s="78">
        <v>1601</v>
      </c>
      <c r="U15" s="68">
        <f t="shared" si="5"/>
        <v>1763</v>
      </c>
    </row>
    <row r="16" spans="1:21" x14ac:dyDescent="0.2">
      <c r="A16" s="48" t="s">
        <v>20</v>
      </c>
      <c r="B16" s="54" t="s">
        <v>105</v>
      </c>
      <c r="C16" s="48"/>
      <c r="D16" s="54" t="s">
        <v>50</v>
      </c>
      <c r="E16" s="54" t="s">
        <v>25</v>
      </c>
      <c r="F16" s="49">
        <v>45000</v>
      </c>
      <c r="G16" s="50">
        <v>49628</v>
      </c>
      <c r="H16" s="50"/>
      <c r="I16" s="51">
        <v>1012</v>
      </c>
      <c r="J16" s="49">
        <v>125217</v>
      </c>
      <c r="K16" s="50">
        <v>126612</v>
      </c>
      <c r="L16" s="51">
        <v>2268</v>
      </c>
      <c r="M16" s="49">
        <f t="shared" si="0"/>
        <v>170217</v>
      </c>
      <c r="N16" s="50">
        <f t="shared" si="1"/>
        <v>176240</v>
      </c>
      <c r="O16" s="51">
        <f t="shared" si="2"/>
        <v>3280</v>
      </c>
      <c r="P16" s="52">
        <v>4725</v>
      </c>
      <c r="Q16" s="65">
        <f t="shared" si="4"/>
        <v>0.69417989417989423</v>
      </c>
      <c r="R16" s="53">
        <f t="shared" si="3"/>
        <v>53.731707317073173</v>
      </c>
      <c r="S16" s="51">
        <v>151</v>
      </c>
      <c r="T16" s="80">
        <v>1651</v>
      </c>
      <c r="U16" s="51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85691</v>
      </c>
      <c r="H17" s="33"/>
      <c r="I17" s="25">
        <v>1466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206037</v>
      </c>
      <c r="O17" s="25">
        <f t="shared" si="2"/>
        <v>3556</v>
      </c>
      <c r="P17" s="42">
        <v>4725</v>
      </c>
      <c r="Q17" s="20">
        <f t="shared" si="4"/>
        <v>0.75259259259259259</v>
      </c>
      <c r="R17" s="29">
        <f t="shared" si="3"/>
        <v>57.940663667041619</v>
      </c>
      <c r="S17" s="25">
        <v>183</v>
      </c>
      <c r="T17" s="79">
        <v>1650</v>
      </c>
      <c r="U17" s="25">
        <f t="shared" si="5"/>
        <v>1833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64356</v>
      </c>
      <c r="H18" s="33"/>
      <c r="I18" s="25">
        <v>1153</v>
      </c>
      <c r="J18" s="32">
        <v>125217</v>
      </c>
      <c r="K18" s="33">
        <v>121874</v>
      </c>
      <c r="L18" s="25">
        <v>2161</v>
      </c>
      <c r="M18" s="32">
        <f t="shared" si="0"/>
        <v>163217</v>
      </c>
      <c r="N18" s="33">
        <f t="shared" si="1"/>
        <v>186230</v>
      </c>
      <c r="O18" s="25">
        <f t="shared" si="2"/>
        <v>3314</v>
      </c>
      <c r="P18" s="42">
        <v>4254</v>
      </c>
      <c r="Q18" s="20">
        <f t="shared" si="4"/>
        <v>0.77903149976492714</v>
      </c>
      <c r="R18" s="29">
        <f t="shared" si="3"/>
        <v>56.194930597465302</v>
      </c>
      <c r="S18" s="25">
        <v>161</v>
      </c>
      <c r="T18" s="79">
        <v>1523</v>
      </c>
      <c r="U18" s="25">
        <f t="shared" si="5"/>
        <v>1684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62374</v>
      </c>
      <c r="H19" s="34"/>
      <c r="I19" s="26">
        <v>916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185427</v>
      </c>
      <c r="O19" s="26">
        <f t="shared" si="2"/>
        <v>3045</v>
      </c>
      <c r="P19" s="45">
        <v>4725</v>
      </c>
      <c r="Q19" s="21">
        <f t="shared" si="4"/>
        <v>0.64444444444444449</v>
      </c>
      <c r="R19" s="30">
        <f t="shared" si="3"/>
        <v>60.895566502463055</v>
      </c>
      <c r="S19" s="25">
        <v>52</v>
      </c>
      <c r="T19" s="79">
        <v>1529</v>
      </c>
      <c r="U19" s="25">
        <f t="shared" si="5"/>
        <v>1581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765287</v>
      </c>
      <c r="H20" s="35">
        <v>149287</v>
      </c>
      <c r="I20" s="23">
        <f t="shared" si="6"/>
        <v>15660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29745</v>
      </c>
      <c r="M20" s="35">
        <f>SUM(M6:M19)</f>
        <v>2369000</v>
      </c>
      <c r="N20" s="35">
        <f t="shared" ref="N20" si="9">SUM(N6:N19)</f>
        <v>2454489</v>
      </c>
      <c r="O20" s="23">
        <f t="shared" ref="O20" si="10">SUM(O6:O19)</f>
        <v>45405</v>
      </c>
      <c r="P20" s="43">
        <f>SUM(P6:P19)</f>
        <v>65208</v>
      </c>
      <c r="Q20" s="28">
        <f>O20/P20</f>
        <v>0.69631026867868973</v>
      </c>
      <c r="R20" s="24">
        <f t="shared" si="3"/>
        <v>54.057680872150641</v>
      </c>
      <c r="S20" s="43">
        <f>SUM(S6:S19)</f>
        <v>2277</v>
      </c>
      <c r="T20" s="43">
        <f>SUM(T6:T19)</f>
        <v>21749</v>
      </c>
      <c r="U20" s="43">
        <f>SUM(U6:U19)</f>
        <v>24026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7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1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1">
        <v>1305</v>
      </c>
      <c r="U25" s="57">
        <f t="shared" si="14"/>
        <v>1656</v>
      </c>
    </row>
    <row r="26" spans="1:21" x14ac:dyDescent="0.2">
      <c r="A26" s="16" t="s">
        <v>63</v>
      </c>
      <c r="D26" s="17" t="s">
        <v>64</v>
      </c>
      <c r="E26" t="s">
        <v>65</v>
      </c>
      <c r="F26" s="66">
        <v>125000</v>
      </c>
      <c r="G26" s="67">
        <v>176469</v>
      </c>
      <c r="H26" s="67"/>
      <c r="I26" s="68">
        <v>2419</v>
      </c>
      <c r="J26" s="66">
        <v>128000</v>
      </c>
      <c r="K26" s="72">
        <v>120539</v>
      </c>
      <c r="L26" s="68">
        <v>1868</v>
      </c>
      <c r="M26" s="70">
        <f t="shared" si="11"/>
        <v>253000</v>
      </c>
      <c r="N26" s="70">
        <f t="shared" si="11"/>
        <v>297008</v>
      </c>
      <c r="O26" s="68">
        <f>I26+L26</f>
        <v>4287</v>
      </c>
      <c r="P26" s="69">
        <v>4707</v>
      </c>
      <c r="Q26" s="20">
        <f t="shared" si="12"/>
        <v>0.91077119184193756</v>
      </c>
      <c r="R26" s="41">
        <f t="shared" si="13"/>
        <v>69.28108234196408</v>
      </c>
      <c r="S26" s="68">
        <v>482</v>
      </c>
      <c r="T26" s="84">
        <v>1413</v>
      </c>
      <c r="U26" s="68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67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2">
        <v>16170</v>
      </c>
      <c r="H31" s="72"/>
      <c r="I31" s="68">
        <v>432</v>
      </c>
      <c r="J31" s="66">
        <v>11250</v>
      </c>
      <c r="K31" s="72">
        <v>10706</v>
      </c>
      <c r="L31" s="68">
        <v>525</v>
      </c>
      <c r="M31" s="70">
        <f t="shared" ref="M31:N34" si="17">F31+J31</f>
        <v>20250</v>
      </c>
      <c r="N31" s="70">
        <f t="shared" si="17"/>
        <v>26876</v>
      </c>
      <c r="O31" s="68">
        <f>I31+L31</f>
        <v>957</v>
      </c>
      <c r="P31" s="69">
        <v>1575</v>
      </c>
      <c r="Q31" s="73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0">
        <f t="shared" si="17"/>
        <v>20250</v>
      </c>
      <c r="N33" s="70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0">
        <f t="shared" si="22"/>
        <v>40000</v>
      </c>
      <c r="N40" s="70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0">
        <f t="shared" si="22"/>
        <v>180000</v>
      </c>
      <c r="N41" s="70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0">
        <f t="shared" si="22"/>
        <v>155000</v>
      </c>
      <c r="N42" s="70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0">
        <f t="shared" si="22"/>
        <v>232000</v>
      </c>
      <c r="N44" s="70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0">
        <f t="shared" si="22"/>
        <v>92000</v>
      </c>
      <c r="N45" s="70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6">
        <v>375000</v>
      </c>
      <c r="G46" s="67">
        <v>446454</v>
      </c>
      <c r="H46" s="67"/>
      <c r="I46" s="68">
        <v>4989</v>
      </c>
      <c r="J46" s="66">
        <v>0</v>
      </c>
      <c r="K46" s="67">
        <v>2045</v>
      </c>
      <c r="L46" s="68">
        <v>38</v>
      </c>
      <c r="M46" s="70">
        <f t="shared" si="22"/>
        <v>375000</v>
      </c>
      <c r="N46" s="70">
        <f t="shared" si="23"/>
        <v>448499</v>
      </c>
      <c r="O46" s="68">
        <f t="shared" si="24"/>
        <v>5027</v>
      </c>
      <c r="P46" s="69">
        <v>5184</v>
      </c>
      <c r="Q46" s="20">
        <f t="shared" si="25"/>
        <v>0.9697145061728395</v>
      </c>
      <c r="R46" s="41">
        <f t="shared" si="26"/>
        <v>89.218022677541271</v>
      </c>
      <c r="S46" s="68">
        <v>764</v>
      </c>
      <c r="T46" s="68">
        <v>993</v>
      </c>
      <c r="U46" s="68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6">
        <v>100000</v>
      </c>
      <c r="G47" s="67">
        <v>103705</v>
      </c>
      <c r="H47" s="67"/>
      <c r="I47" s="68">
        <v>1383</v>
      </c>
      <c r="J47" s="66">
        <v>0</v>
      </c>
      <c r="K47" s="67">
        <v>0</v>
      </c>
      <c r="L47" s="68">
        <v>22</v>
      </c>
      <c r="M47" s="70">
        <f t="shared" si="22"/>
        <v>100000</v>
      </c>
      <c r="N47" s="70">
        <f t="shared" si="23"/>
        <v>103705</v>
      </c>
      <c r="O47" s="68">
        <f t="shared" si="24"/>
        <v>1405</v>
      </c>
      <c r="P47" s="69">
        <v>1575</v>
      </c>
      <c r="Q47" s="20">
        <f t="shared" si="25"/>
        <v>0.89206349206349211</v>
      </c>
      <c r="R47" s="41">
        <f t="shared" si="26"/>
        <v>73.811387900355868</v>
      </c>
      <c r="S47" s="68">
        <v>168</v>
      </c>
      <c r="T47" s="68">
        <v>441</v>
      </c>
      <c r="U47" s="68">
        <f t="shared" si="27"/>
        <v>609</v>
      </c>
    </row>
    <row r="48" spans="1:21" ht="12.75" customHeight="1" x14ac:dyDescent="0.2">
      <c r="A48" s="54" t="s">
        <v>135</v>
      </c>
      <c r="B48" s="63"/>
      <c r="C48" s="63"/>
      <c r="D48" s="82" t="s">
        <v>134</v>
      </c>
      <c r="E48" s="54" t="s">
        <v>138</v>
      </c>
      <c r="F48" s="49">
        <v>150000</v>
      </c>
      <c r="G48" s="50">
        <v>207240</v>
      </c>
      <c r="H48" s="50"/>
      <c r="I48" s="51">
        <v>2434</v>
      </c>
      <c r="J48" s="49"/>
      <c r="K48" s="50"/>
      <c r="L48" s="51"/>
      <c r="M48" s="64"/>
      <c r="N48" s="64">
        <v>207240</v>
      </c>
      <c r="O48" s="51">
        <v>2434</v>
      </c>
      <c r="P48" s="52">
        <v>2468</v>
      </c>
      <c r="Q48" s="65">
        <v>0.99</v>
      </c>
      <c r="R48" s="83">
        <v>85.14</v>
      </c>
      <c r="S48" s="51">
        <v>742</v>
      </c>
      <c r="T48" s="51">
        <v>257</v>
      </c>
      <c r="U48" s="51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367788</v>
      </c>
      <c r="H49" s="33"/>
      <c r="I49" s="25">
        <v>1566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367788</v>
      </c>
      <c r="O49" s="25">
        <f t="shared" si="24"/>
        <v>1566</v>
      </c>
      <c r="P49" s="42">
        <v>1575</v>
      </c>
      <c r="Q49" s="21">
        <f t="shared" si="25"/>
        <v>0.99428571428571433</v>
      </c>
      <c r="R49" s="10">
        <f t="shared" si="26"/>
        <v>234.85823754789271</v>
      </c>
      <c r="S49" s="25">
        <v>61</v>
      </c>
      <c r="T49" s="25">
        <v>691</v>
      </c>
      <c r="U49" s="25">
        <f t="shared" si="27"/>
        <v>752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2794786</v>
      </c>
      <c r="H50" s="39">
        <v>211786</v>
      </c>
      <c r="I50" s="27">
        <f t="shared" si="28"/>
        <v>35182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2805734</v>
      </c>
      <c r="O50" s="27">
        <f t="shared" si="28"/>
        <v>35503</v>
      </c>
      <c r="P50" s="43">
        <f t="shared" si="28"/>
        <v>37961</v>
      </c>
      <c r="Q50" s="28">
        <f>O50/P50</f>
        <v>0.93524933484365536</v>
      </c>
      <c r="R50" s="31">
        <f t="shared" si="26"/>
        <v>79.028082133904178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4867685</v>
      </c>
      <c r="H51" s="39">
        <v>511685</v>
      </c>
      <c r="I51" s="27">
        <f>SUM(I20,I28,I35,I50)</f>
        <v>69519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41553</v>
      </c>
      <c r="M51" s="35">
        <f>SUM(M20,M28,M35,M50)</f>
        <v>6644000</v>
      </c>
      <c r="N51" s="39">
        <f t="shared" ref="N51" si="32">SUM(N20,N28,N35,N50)</f>
        <v>7206812</v>
      </c>
      <c r="O51" s="27">
        <f>SUM(O20,O28,O35,O50)</f>
        <v>111072</v>
      </c>
      <c r="P51" s="43">
        <f>SUM(P20,P28,P35,P50)</f>
        <v>139217</v>
      </c>
      <c r="Q51" s="28">
        <f>O51/P51</f>
        <v>0.79783359790830144</v>
      </c>
      <c r="R51" s="31">
        <f t="shared" si="26"/>
        <v>64.884147219821372</v>
      </c>
      <c r="S51" s="43">
        <f>SUM(S20,S28,S35,S50)</f>
        <v>9803</v>
      </c>
      <c r="T51" s="43">
        <f t="shared" ref="T51:U51" si="33">SUM(T20,T28,T35,T50)</f>
        <v>37907</v>
      </c>
      <c r="U51" s="43">
        <f t="shared" si="33"/>
        <v>47710</v>
      </c>
    </row>
    <row r="52" spans="1:21" ht="12.75" customHeight="1" x14ac:dyDescent="0.2">
      <c r="A52" s="74"/>
      <c r="B52" s="74"/>
      <c r="C52" s="74"/>
      <c r="D52" s="74"/>
      <c r="E52" s="74"/>
      <c r="F52" s="74"/>
      <c r="G52" s="74"/>
      <c r="T52" s="6"/>
    </row>
    <row r="53" spans="1:21" ht="15.75" x14ac:dyDescent="0.25">
      <c r="A53" s="76" t="s">
        <v>139</v>
      </c>
      <c r="B53" s="74"/>
      <c r="C53" s="74"/>
      <c r="D53" s="74"/>
      <c r="E53" s="74"/>
      <c r="F53" s="74"/>
      <c r="G53" s="74"/>
    </row>
    <row r="54" spans="1:21" x14ac:dyDescent="0.2">
      <c r="A54" s="16"/>
    </row>
    <row r="55" spans="1:21" x14ac:dyDescent="0.2">
      <c r="A55" s="74"/>
      <c r="B55" s="74"/>
      <c r="C55" s="74"/>
      <c r="D55" s="74"/>
      <c r="E55" s="74"/>
      <c r="F55" s="74"/>
      <c r="G55" s="74"/>
    </row>
    <row r="56" spans="1:21" x14ac:dyDescent="0.2">
      <c r="A56" s="75"/>
      <c r="B56" s="74"/>
      <c r="C56" s="74"/>
      <c r="D56" s="74"/>
      <c r="E56" s="74"/>
      <c r="F56" s="74"/>
      <c r="G56" s="74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2024-05-31T15:23:00Z</dcterms:modified>
</cp:coreProperties>
</file>