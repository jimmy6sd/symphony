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791" documentId="8_{3E45E35C-2B2D-406E-9F95-3D7D9FC84DC2}" xr6:coauthVersionLast="47" xr6:coauthVersionMax="47" xr10:uidLastSave="{6B8122BB-7615-4F5D-86A2-603980FAB1E4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<sst xmlns="http://schemas.openxmlformats.org/spreadsheetml/2006/main" count="163" uniqueCount="139">
  <si>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</si>
  <si>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</si>
  <si>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</si>
  <si>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</si>
  <si>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</si>
  <si>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</si>
  <si>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</si>
  <si>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</si>
  <si>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</si>
  <si>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</si>
  <si>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</si>
  <si>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</si>
  <si>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</si>
  <si>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</si>
  <si>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</si>
  <si>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</si>
  <si>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</si>
  <si>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</si>
  <si>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</si>
  <si>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</si>
  <si>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</si>
  <si>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</si>
  <si>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</si>
  <si>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</si>
  <si>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</si>
  <si>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</si>
  <si>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</si>
  <si>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</si>
  <si>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</si>
  <si>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</si>
  <si>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</si>
  <si>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</si>
  <si>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</si>
  <si>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</si>
  <si>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</si>
  <si>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</si>
  <si>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</si>
  <si>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</si>
  <si>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</si>
  <si>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</si>
  <si>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</si>
  <si>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</si>
  <si>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</si>
  <si>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</si>
  <si>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</si>
  <si>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</si>
  <si>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</si>
  <si>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</si>
  <si>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</si>
  <si>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</si>
  <si>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</si>
  <si>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</si>
  <si>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</si>
  <si>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</si>
  <si>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</si>
  <si>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</si>
  <si>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</si>
  <si>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</si>
  <si>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</si>
  <si>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</si>
  <si>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</si>
  <si>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</si>
  <si>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</si>
  <si>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</si>
  <si>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</si>
  <si>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</si>
  <si>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</si>
  <si>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</si>
  <si>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</si>
  <si>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</si>
  <si>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</si>
  <si>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</si>
  <si>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</si>
  <si>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</si>
  <si>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</si>
  <si>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</si>
  <si>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</si>
  <si>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</si>
  <si>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</si>
  <si>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</si>
  <si>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</si>
  <si>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</si>
  <si>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</si>
  <si>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</si>
  <si>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</si>
  <si>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</si>
  <si>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</si>
  <si>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</si>
  <si>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</si>
  <si>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</si>
  <si>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</si>
  <si>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</si>
  <si>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</si>
  <si>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</si>
  <si>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</si>
  <si>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</si>
  <si>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</si>
  <si>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</si>
  <si>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</si>
  <si>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</si>
  <si>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</si>
  <si>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</si>
  <si>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</si>
  <si>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</si>
  <si>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</si>
  <si>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</si>
  <si>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</si>
  <si>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</si>
  <si>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</si>
  <si>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</si>
  <si>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</si>
  <si>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</si>
  <si>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</si>
  <si>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</si>
  <si>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</si>
  <si>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</si>
  <si>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</si>
  <si>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</si>
  <si>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</si>
  <si>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</si>
  <si>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</si>
  <si>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</si>
  <si>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</si>
  <si>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</si>
  <si>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</si>
  <si>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</si>
  <si>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</si>
  <si>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</si>
  <si>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</si>
  <si>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</si>
  <si>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</si>
  <si>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</si>
  <si>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</si>
  <si>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</si>
  <si>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</si>
  <si>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</si>
  <si>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</si>
  <si>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</si>
  <si>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For performances year to date, actual sales over (under) budget for Classical are $92,238; for Pops $39,579; FINAL for Family $76,563; and Other Concerts $133,053.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</si>
</sst>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8" fontId="0" fillId="0" borderId="0" xfId="1" applyNumberFormat="1" applyFont="1" applyAlignment="1">
      <alignment horizontal="right"/>
    </xf>
    <xf numFmtId="165" fontId="10" fillId="3" borderId="2" xfId="1" applyNumberFormat="1" applyFont="1" applyFill="1" applyBorder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5" fontId="1" fillId="0" borderId="4" xfId="0" applyNumberFormat="1" applyFont="1" applyBorder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topLeftCell="A9" workbookViewId="0">
      <selection activeCell="X42" sqref="X42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45397</v>
      </c>
    </row>
    <row r="2" spans="1:21" x14ac:dyDescent="0.2">
      <c r="A2" s="9"/>
      <c r="E2" s="13" t="s">
        <v>27</v>
      </c>
    </row>
    <row r="3" spans="1:21" x14ac:dyDescent="0.2">
      <c r="E3" s="16"/>
      <c r="F3" s="88" t="s">
        <v>115</v>
      </c>
      <c r="G3" s="88"/>
      <c r="H3" s="88"/>
      <c r="I3" s="88"/>
      <c r="J3" s="89" t="s">
        <v>116</v>
      </c>
      <c r="K3" s="89"/>
      <c r="L3" s="89"/>
      <c r="M3" s="90" t="s">
        <v>117</v>
      </c>
      <c r="N3" s="90"/>
      <c r="O3" s="90"/>
      <c r="P3" s="92" t="s">
        <v>124</v>
      </c>
      <c r="Q3" s="92"/>
      <c r="R3" s="92"/>
      <c r="S3" s="91" t="s">
        <v>130</v>
      </c>
      <c r="T3" s="91"/>
      <c r="U3" s="91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83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83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83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83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84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84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141</v>
      </c>
      <c r="T12" s="83">
        <v>1589</v>
      </c>
      <c r="U12" s="68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6">
        <v>40000</v>
      </c>
      <c r="G13" s="67">
        <v>62450</v>
      </c>
      <c r="H13" s="67"/>
      <c r="I13" s="68">
        <v>1350</v>
      </c>
      <c r="J13" s="66">
        <v>125217</v>
      </c>
      <c r="K13" s="67">
        <v>121952</v>
      </c>
      <c r="L13" s="68">
        <v>2160</v>
      </c>
      <c r="M13" s="66">
        <f t="shared" si="0"/>
        <v>165217</v>
      </c>
      <c r="N13" s="67">
        <f t="shared" si="1"/>
        <v>184402</v>
      </c>
      <c r="O13" s="68">
        <f t="shared" si="2"/>
        <v>3510</v>
      </c>
      <c r="P13" s="69">
        <v>4725</v>
      </c>
      <c r="Q13" s="20">
        <f t="shared" si="4"/>
        <v>0.74285714285714288</v>
      </c>
      <c r="R13" s="41">
        <f t="shared" si="3"/>
        <v>52.536182336182335</v>
      </c>
      <c r="S13" s="68">
        <v>185</v>
      </c>
      <c r="T13" s="83">
        <v>1640</v>
      </c>
      <c r="U13" s="68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66">
        <v>40000</v>
      </c>
      <c r="G14" s="67">
        <v>54823</v>
      </c>
      <c r="H14" s="67"/>
      <c r="I14" s="68">
        <v>1721</v>
      </c>
      <c r="J14" s="66">
        <v>125217</v>
      </c>
      <c r="K14" s="67">
        <v>121572</v>
      </c>
      <c r="L14" s="68">
        <v>2183</v>
      </c>
      <c r="M14" s="66">
        <f t="shared" si="0"/>
        <v>165217</v>
      </c>
      <c r="N14" s="67">
        <f t="shared" si="1"/>
        <v>176395</v>
      </c>
      <c r="O14" s="68">
        <f t="shared" si="2"/>
        <v>3904</v>
      </c>
      <c r="P14" s="69">
        <v>4725</v>
      </c>
      <c r="Q14" s="20">
        <f t="shared" si="4"/>
        <v>0.82624338624338622</v>
      </c>
      <c r="R14" s="41">
        <f t="shared" si="3"/>
        <v>45.18314549180328</v>
      </c>
      <c r="S14" s="68">
        <v>199</v>
      </c>
      <c r="T14" s="83">
        <v>1857</v>
      </c>
      <c r="U14" s="68">
        <f t="shared" si="5"/>
        <v>2056</v>
      </c>
    </row>
    <row r="15" spans="1:21" x14ac:dyDescent="0.2">
      <c r="A15" s="48" t="s">
        <v>19</v>
      </c>
      <c r="B15" s="54" t="s">
        <v>104</v>
      </c>
      <c r="C15" s="48"/>
      <c r="D15" s="54" t="s">
        <v>49</v>
      </c>
      <c r="E15" s="54" t="s">
        <v>25</v>
      </c>
      <c r="F15" s="49">
        <v>35000</v>
      </c>
      <c r="G15" s="50">
        <v>58599</v>
      </c>
      <c r="H15" s="50"/>
      <c r="I15" s="51">
        <v>1126</v>
      </c>
      <c r="J15" s="49">
        <v>125217</v>
      </c>
      <c r="K15" s="50">
        <v>117470</v>
      </c>
      <c r="L15" s="51">
        <v>2092</v>
      </c>
      <c r="M15" s="49">
        <f t="shared" si="0"/>
        <v>160217</v>
      </c>
      <c r="N15" s="50">
        <f t="shared" si="1"/>
        <v>176069</v>
      </c>
      <c r="O15" s="51">
        <f t="shared" si="2"/>
        <v>3218</v>
      </c>
      <c r="P15" s="52">
        <v>4725</v>
      </c>
      <c r="Q15" s="65">
        <f t="shared" si="4"/>
        <v>0.68105820105820103</v>
      </c>
      <c r="R15" s="53">
        <f t="shared" si="3"/>
        <v>54.71379738968303</v>
      </c>
      <c r="S15" s="51">
        <v>162</v>
      </c>
      <c r="T15" s="85">
        <v>1601</v>
      </c>
      <c r="U15" s="51">
        <f t="shared" si="5"/>
        <v>1763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32">
        <v>45000</v>
      </c>
      <c r="G16" s="33">
        <v>36291</v>
      </c>
      <c r="H16" s="33"/>
      <c r="I16" s="25">
        <v>710</v>
      </c>
      <c r="J16" s="32">
        <v>125217</v>
      </c>
      <c r="K16" s="33">
        <v>126612</v>
      </c>
      <c r="L16" s="25">
        <v>2256</v>
      </c>
      <c r="M16" s="32">
        <f t="shared" si="0"/>
        <v>170217</v>
      </c>
      <c r="N16" s="33">
        <f t="shared" si="1"/>
        <v>162903</v>
      </c>
      <c r="O16" s="25">
        <f t="shared" si="2"/>
        <v>2966</v>
      </c>
      <c r="P16" s="42">
        <v>4725</v>
      </c>
      <c r="Q16" s="20">
        <f t="shared" si="4"/>
        <v>0.62772486772486769</v>
      </c>
      <c r="R16" s="29">
        <f t="shared" si="3"/>
        <v>54.923465947403912</v>
      </c>
      <c r="S16" s="25">
        <v>78</v>
      </c>
      <c r="T16" s="84">
        <v>1470</v>
      </c>
      <c r="U16" s="25">
        <f t="shared" si="5"/>
        <v>1548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40608</v>
      </c>
      <c r="H17" s="33"/>
      <c r="I17" s="25">
        <v>639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160954</v>
      </c>
      <c r="O17" s="25">
        <f t="shared" si="2"/>
        <v>2729</v>
      </c>
      <c r="P17" s="42">
        <v>4725</v>
      </c>
      <c r="Q17" s="20">
        <f t="shared" si="4"/>
        <v>0.57756613756613762</v>
      </c>
      <c r="R17" s="29">
        <f t="shared" si="3"/>
        <v>58.979113228288753</v>
      </c>
      <c r="S17" s="25">
        <v>68</v>
      </c>
      <c r="T17" s="84">
        <v>1367</v>
      </c>
      <c r="U17" s="25">
        <f t="shared" si="5"/>
        <v>1435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35986</v>
      </c>
      <c r="H18" s="33"/>
      <c r="I18" s="25">
        <v>616</v>
      </c>
      <c r="J18" s="32">
        <v>125217</v>
      </c>
      <c r="K18" s="33">
        <v>121874</v>
      </c>
      <c r="L18" s="25">
        <v>2146</v>
      </c>
      <c r="M18" s="32">
        <f t="shared" si="0"/>
        <v>163217</v>
      </c>
      <c r="N18" s="33">
        <f t="shared" si="1"/>
        <v>157860</v>
      </c>
      <c r="O18" s="25">
        <f t="shared" si="2"/>
        <v>2762</v>
      </c>
      <c r="P18" s="42">
        <v>4254</v>
      </c>
      <c r="Q18" s="20">
        <f t="shared" si="4"/>
        <v>0.64927127409496943</v>
      </c>
      <c r="R18" s="29">
        <f t="shared" si="3"/>
        <v>57.15423606082549</v>
      </c>
      <c r="S18" s="25">
        <v>72</v>
      </c>
      <c r="T18" s="84">
        <v>1359</v>
      </c>
      <c r="U18" s="25">
        <f t="shared" si="5"/>
        <v>1431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36799</v>
      </c>
      <c r="H19" s="34"/>
      <c r="I19" s="26">
        <v>547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159852</v>
      </c>
      <c r="O19" s="26">
        <f t="shared" si="2"/>
        <v>2676</v>
      </c>
      <c r="P19" s="45">
        <v>4725</v>
      </c>
      <c r="Q19" s="21">
        <f t="shared" si="4"/>
        <v>0.56634920634920638</v>
      </c>
      <c r="R19" s="30">
        <f t="shared" si="3"/>
        <v>59.735426008968609</v>
      </c>
      <c r="S19" s="25">
        <v>29</v>
      </c>
      <c r="T19" s="84">
        <v>1365</v>
      </c>
      <c r="U19" s="25">
        <f t="shared" si="5"/>
        <v>1394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652922</v>
      </c>
      <c r="H20" s="35">
        <v>36922</v>
      </c>
      <c r="I20" s="23">
        <f t="shared" si="6"/>
        <v>13625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29718</v>
      </c>
      <c r="M20" s="35">
        <f>SUM(M6:M19)</f>
        <v>2369000</v>
      </c>
      <c r="N20" s="35">
        <f t="shared" ref="N20" si="9">SUM(N6:N19)</f>
        <v>2342124</v>
      </c>
      <c r="O20" s="23">
        <f t="shared" ref="O20" si="10">SUM(O6:O19)</f>
        <v>43343</v>
      </c>
      <c r="P20" s="43">
        <f>SUM(P6:P19)</f>
        <v>65208</v>
      </c>
      <c r="Q20" s="28">
        <f>O20/P20</f>
        <v>0.66468838179364498</v>
      </c>
      <c r="R20" s="24">
        <f t="shared" si="3"/>
        <v>54.036960985626287</v>
      </c>
      <c r="S20" s="43">
        <f>SUM(S6:S19)</f>
        <v>1977</v>
      </c>
      <c r="T20" s="43">
        <f>SUM(T6:T19)</f>
        <v>20957</v>
      </c>
      <c r="U20" s="43">
        <f>SUM(U6:U19)</f>
        <v>22934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81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6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6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482</v>
      </c>
      <c r="T26" s="82">
        <v>1413</v>
      </c>
      <c r="U26" s="51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73096</v>
      </c>
      <c r="H27" s="67"/>
      <c r="I27" s="25">
        <v>1051</v>
      </c>
      <c r="J27" s="32">
        <v>128000</v>
      </c>
      <c r="K27" s="47">
        <v>120177</v>
      </c>
      <c r="L27" s="25">
        <v>1910</v>
      </c>
      <c r="M27" s="40">
        <f t="shared" si="11"/>
        <v>253000</v>
      </c>
      <c r="N27" s="40">
        <f t="shared" si="11"/>
        <v>193273</v>
      </c>
      <c r="O27" s="25">
        <f>I27+L27</f>
        <v>2961</v>
      </c>
      <c r="P27" s="42">
        <v>4707</v>
      </c>
      <c r="Q27" s="21">
        <f t="shared" si="12"/>
        <v>0.62906309751434031</v>
      </c>
      <c r="R27" s="10">
        <f t="shared" si="13"/>
        <v>65.272880783519085</v>
      </c>
      <c r="S27" s="25">
        <v>152</v>
      </c>
      <c r="T27" s="25">
        <v>1187</v>
      </c>
      <c r="U27" s="25">
        <f t="shared" si="14"/>
        <v>1339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707675</v>
      </c>
      <c r="H28" s="77">
        <v>12325</v>
      </c>
      <c r="I28" s="27">
        <f t="shared" si="15"/>
        <v>9000</v>
      </c>
      <c r="J28" s="35">
        <f t="shared" si="15"/>
        <v>640000</v>
      </c>
      <c r="K28" s="39">
        <f t="shared" si="15"/>
        <v>593877</v>
      </c>
      <c r="L28" s="27">
        <f t="shared" si="15"/>
        <v>9230</v>
      </c>
      <c r="M28" s="35">
        <f t="shared" si="15"/>
        <v>1360000</v>
      </c>
      <c r="N28" s="39">
        <f t="shared" si="15"/>
        <v>1301552</v>
      </c>
      <c r="O28" s="27">
        <f t="shared" si="15"/>
        <v>18230</v>
      </c>
      <c r="P28" s="43">
        <f t="shared" si="15"/>
        <v>23535</v>
      </c>
      <c r="Q28" s="28">
        <f>O28/P28</f>
        <v>0.77459103462927559</v>
      </c>
      <c r="R28" s="31">
        <f t="shared" si="13"/>
        <v>71.396160175534831</v>
      </c>
      <c r="S28" s="43">
        <f>SUM(S23:S27)</f>
        <v>1569</v>
      </c>
      <c r="T28" s="43">
        <f t="shared" ref="T28:U28" si="16">SUM(T23:T27)</f>
        <v>6533</v>
      </c>
      <c r="U28" s="43">
        <f t="shared" si="16"/>
        <v>8102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4">
        <v>16170</v>
      </c>
      <c r="H31" s="74"/>
      <c r="I31" s="68">
        <v>432</v>
      </c>
      <c r="J31" s="66">
        <v>11250</v>
      </c>
      <c r="K31" s="7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5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1">
        <f t="shared" si="17"/>
        <v>20250</v>
      </c>
      <c r="N33" s="71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6">
        <v>232000</v>
      </c>
      <c r="G44" s="67">
        <v>198366</v>
      </c>
      <c r="H44" s="67"/>
      <c r="I44" s="68">
        <v>3113</v>
      </c>
      <c r="J44" s="66">
        <v>0</v>
      </c>
      <c r="K44" s="67">
        <v>1265</v>
      </c>
      <c r="L44" s="68">
        <v>30</v>
      </c>
      <c r="M44" s="71">
        <f t="shared" si="22"/>
        <v>232000</v>
      </c>
      <c r="N44" s="71">
        <f t="shared" si="23"/>
        <v>199631</v>
      </c>
      <c r="O44" s="68">
        <f t="shared" si="24"/>
        <v>3143</v>
      </c>
      <c r="P44" s="69">
        <v>3888</v>
      </c>
      <c r="Q44" s="20">
        <f t="shared" si="25"/>
        <v>0.80838477366255146</v>
      </c>
      <c r="R44" s="41">
        <f t="shared" si="26"/>
        <v>63.516067451479479</v>
      </c>
      <c r="S44" s="68">
        <v>569</v>
      </c>
      <c r="T44" s="68">
        <v>554</v>
      </c>
      <c r="U44" s="68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66">
        <v>92000</v>
      </c>
      <c r="G45" s="67">
        <v>52660</v>
      </c>
      <c r="H45" s="67"/>
      <c r="I45" s="68">
        <v>744</v>
      </c>
      <c r="J45" s="66">
        <v>0</v>
      </c>
      <c r="K45" s="67">
        <v>612</v>
      </c>
      <c r="L45" s="68">
        <v>31</v>
      </c>
      <c r="M45" s="71">
        <f t="shared" si="22"/>
        <v>92000</v>
      </c>
      <c r="N45" s="71">
        <f t="shared" si="23"/>
        <v>53272</v>
      </c>
      <c r="O45" s="68">
        <f t="shared" si="24"/>
        <v>775</v>
      </c>
      <c r="P45" s="69">
        <v>1575</v>
      </c>
      <c r="Q45" s="20">
        <f t="shared" si="25"/>
        <v>0.49206349206349204</v>
      </c>
      <c r="R45" s="41">
        <f t="shared" si="26"/>
        <v>68.738064516129029</v>
      </c>
      <c r="S45" s="68">
        <v>110</v>
      </c>
      <c r="T45" s="68">
        <v>325</v>
      </c>
      <c r="U45" s="68">
        <f t="shared" si="27"/>
        <v>435</v>
      </c>
    </row>
    <row r="46" spans="1:21" ht="12.75" customHeight="1" x14ac:dyDescent="0.2">
      <c r="A46" s="54" t="s">
        <v>92</v>
      </c>
      <c r="B46" s="63"/>
      <c r="C46" s="63"/>
      <c r="D46" s="87" t="s">
        <v>93</v>
      </c>
      <c r="E46" s="54" t="s">
        <v>107</v>
      </c>
      <c r="F46" s="49">
        <v>375000</v>
      </c>
      <c r="G46" s="50">
        <v>446454</v>
      </c>
      <c r="H46" s="50"/>
      <c r="I46" s="51">
        <v>4989</v>
      </c>
      <c r="J46" s="49">
        <v>0</v>
      </c>
      <c r="K46" s="50">
        <v>2045</v>
      </c>
      <c r="L46" s="51">
        <v>38</v>
      </c>
      <c r="M46" s="64">
        <f t="shared" si="22"/>
        <v>375000</v>
      </c>
      <c r="N46" s="64">
        <f t="shared" si="23"/>
        <v>448499</v>
      </c>
      <c r="O46" s="51">
        <f t="shared" si="24"/>
        <v>5027</v>
      </c>
      <c r="P46" s="52">
        <v>5184</v>
      </c>
      <c r="Q46" s="65">
        <f t="shared" si="25"/>
        <v>0.9697145061728395</v>
      </c>
      <c r="R46" s="53">
        <f t="shared" si="26"/>
        <v>89.218022677541271</v>
      </c>
      <c r="S46" s="51">
        <v>765</v>
      </c>
      <c r="T46" s="51">
        <v>992</v>
      </c>
      <c r="U46" s="51">
        <f t="shared" si="27"/>
        <v>1757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96515</v>
      </c>
      <c r="H47" s="33"/>
      <c r="I47" s="25">
        <v>1246</v>
      </c>
      <c r="J47" s="32">
        <v>0</v>
      </c>
      <c r="K47" s="33">
        <v>0</v>
      </c>
      <c r="L47" s="25">
        <v>22</v>
      </c>
      <c r="M47" s="40">
        <f t="shared" si="22"/>
        <v>100000</v>
      </c>
      <c r="N47" s="40">
        <f t="shared" si="23"/>
        <v>96515</v>
      </c>
      <c r="O47" s="25">
        <f t="shared" si="24"/>
        <v>1268</v>
      </c>
      <c r="P47" s="42">
        <v>1575</v>
      </c>
      <c r="Q47" s="20">
        <f t="shared" si="25"/>
        <v>0.80507936507936506</v>
      </c>
      <c r="R47" s="29">
        <f t="shared" si="26"/>
        <v>76.115930599369079</v>
      </c>
      <c r="S47" s="25">
        <v>105</v>
      </c>
      <c r="T47" s="25">
        <v>409</v>
      </c>
      <c r="U47" s="25">
        <f t="shared" si="27"/>
        <v>514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/>
      <c r="F48" s="32">
        <v>150000</v>
      </c>
      <c r="G48" s="33">
        <v>201379</v>
      </c>
      <c r="H48" s="33"/>
      <c r="I48" s="25">
        <v>2377</v>
      </c>
      <c r="J48" s="32"/>
      <c r="K48" s="33"/>
      <c r="L48" s="25"/>
      <c r="M48" s="40"/>
      <c r="N48" s="40">
        <v>201379</v>
      </c>
      <c r="O48" s="25">
        <v>2377</v>
      </c>
      <c r="P48" s="42">
        <v>2468</v>
      </c>
      <c r="Q48" s="20">
        <v>0.96</v>
      </c>
      <c r="R48" s="76">
        <v>86.29</v>
      </c>
      <c r="S48" s="25">
        <v>718</v>
      </c>
      <c r="T48" s="25">
        <v>250</v>
      </c>
      <c r="U48" s="25">
        <f t="shared" si="27"/>
        <v>968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362321</v>
      </c>
      <c r="H49" s="33"/>
      <c r="I49" s="25">
        <v>1551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362321</v>
      </c>
      <c r="O49" s="25">
        <f t="shared" si="24"/>
        <v>1551</v>
      </c>
      <c r="P49" s="42">
        <v>1575</v>
      </c>
      <c r="Q49" s="21">
        <f t="shared" si="25"/>
        <v>0.98476190476190473</v>
      </c>
      <c r="R49" s="10">
        <f t="shared" si="26"/>
        <v>233.60477111540942</v>
      </c>
      <c r="S49" s="25">
        <v>62</v>
      </c>
      <c r="T49" s="25">
        <v>684</v>
      </c>
      <c r="U49" s="25">
        <f t="shared" si="27"/>
        <v>746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2776268</v>
      </c>
      <c r="H50" s="39">
        <v>193268</v>
      </c>
      <c r="I50" s="27">
        <f t="shared" si="28"/>
        <v>34973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2787216</v>
      </c>
      <c r="O50" s="27">
        <f t="shared" si="28"/>
        <v>35294</v>
      </c>
      <c r="P50" s="43">
        <f t="shared" si="28"/>
        <v>37961</v>
      </c>
      <c r="Q50" s="28">
        <f>O50/P50</f>
        <v>0.92974368430757881</v>
      </c>
      <c r="R50" s="31">
        <f t="shared" si="26"/>
        <v>78.971383237944124</v>
      </c>
      <c r="S50" s="43">
        <f>SUM(S37:S47)</f>
        <v>4727</v>
      </c>
      <c r="T50" s="43">
        <f t="shared" ref="T50:U50" si="29">SUM(T37:T47)</f>
        <v>6652</v>
      </c>
      <c r="U50" s="43">
        <f t="shared" si="29"/>
        <v>11379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4650428</v>
      </c>
      <c r="H51" s="39">
        <v>294428</v>
      </c>
      <c r="I51" s="27">
        <f>SUM(I20,I28,I35,I50)</f>
        <v>66088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41519</v>
      </c>
      <c r="M51" s="35">
        <f>SUM(M20,M28,M35,M50)</f>
        <v>6644000</v>
      </c>
      <c r="N51" s="39">
        <f t="shared" ref="N51" si="32">SUM(N20,N28,N35,N50)</f>
        <v>6989555</v>
      </c>
      <c r="O51" s="27">
        <f>SUM(O20,O28,O35,O50)</f>
        <v>107607</v>
      </c>
      <c r="P51" s="43">
        <f>SUM(P20,P28,P35,P50)</f>
        <v>139670</v>
      </c>
      <c r="Q51" s="28">
        <f>O51/P51</f>
        <v>0.77043745972649813</v>
      </c>
      <c r="R51" s="31">
        <f t="shared" si="26"/>
        <v>64.954463928926558</v>
      </c>
      <c r="S51" s="43">
        <f>SUM(S20,S28,S35,S50)</f>
        <v>9228</v>
      </c>
      <c r="T51" s="43">
        <f t="shared" ref="T51:U51" si="33">SUM(T20,T28,T35,T50)</f>
        <v>36774</v>
      </c>
      <c r="U51" s="43">
        <f t="shared" si="33"/>
        <v>46002</v>
      </c>
    </row>
    <row r="52" spans="1:21" ht="12.75" customHeight="1" x14ac:dyDescent="0.2">
      <c r="A52" s="78"/>
      <c r="B52" s="78"/>
      <c r="C52" s="78"/>
      <c r="D52" s="78"/>
      <c r="E52" s="78"/>
      <c r="F52" s="78"/>
      <c r="G52" s="78"/>
      <c r="T52" s="6"/>
    </row>
    <row r="53" spans="1:21" ht="15.75" x14ac:dyDescent="0.25">
      <c r="A53" s="80" t="s">
        <v>138</v>
      </c>
      <c r="B53" s="78"/>
      <c r="C53" s="78"/>
      <c r="D53" s="78"/>
      <c r="E53" s="78"/>
      <c r="F53" s="78"/>
      <c r="G53" s="78"/>
    </row>
    <row r="54" spans="1:21" x14ac:dyDescent="0.2">
      <c r="A54" s="16"/>
    </row>
    <row r="55" spans="1:21" x14ac:dyDescent="0.2">
      <c r="A55" s="78"/>
      <c r="B55" s="78"/>
      <c r="C55" s="78"/>
      <c r="D55" s="78"/>
      <c r="E55" s="78"/>
      <c r="F55" s="78"/>
      <c r="G55" s="78"/>
    </row>
    <row r="56" spans="1:21" x14ac:dyDescent="0.2">
      <c r="A56" s="79"/>
      <c r="B56" s="78"/>
      <c r="C56" s="78"/>
      <c r="D56" s="78"/>
      <c r="E56" s="78"/>
      <c r="F56" s="78"/>
      <c r="G56" s="78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2024-04-15T15:18:22Z</dcterms:modified>
</cp:coreProperties>
</file>