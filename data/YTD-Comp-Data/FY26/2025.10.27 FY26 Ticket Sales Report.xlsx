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updateLinks="always"/>
  <mc:AlternateContent xmlns:mc="http://schemas.openxmlformats.org/markup-compatibility/2006">
    <mc:Choice Requires="x15">
      <x15ac:absPath xmlns:x15ac="http://schemas.microsoft.com/office/spreadsheetml/2010/11/ac" url="https://kcsymphony-my.sharepoint.com/personal/jlai_kcsymphony_org/Documents/Performance Reporting/"/>
    </mc:Choice>
  </mc:AlternateContent>
  <xr:revisionPtr revIDLastSave="0" documentId="8_{E6FF0ED7-CEB0-440E-B2A8-D5605C8B3893}" xr6:coauthVersionLast="47" xr6:coauthVersionMax="47" xr10:uidLastSave="{00000000-0000-0000-0000-000000000000}"/>
  <bookViews>
    <workbookView xWindow="-120" yWindow="760" windowWidth="38640" windowHeight="21120" activeTab="6" xr2:uid="{6F13B11E-A781-40B0-8A47-BC27C9B0E25C}"/>
  </bookViews>
  <sheets>
    <sheet name="Performances by Week" sheetId="1" r:id="rId1"/>
    <sheet name="PS1 Journey" sheetId="12" state="hidden" r:id="rId2"/>
    <sheet name="CS1 Appalachian" sheetId="13" state="hidden" r:id="rId3"/>
    <sheet name="PS2 90s Mixtape" sheetId="14" r:id="rId4"/>
    <sheet name="MFSB" sheetId="15" state="hidden" r:id="rId5"/>
    <sheet name="CS2 Rachmaninoff" sheetId="16" r:id="rId6"/>
    <sheet name="CS3 Mahler 7" sheetId="24" r:id="rId7"/>
    <sheet name="Elf" sheetId="18" r:id="rId8"/>
    <sheet name="Messiah" sheetId="19" r:id="rId9"/>
    <sheet name="XMas Festival" sheetId="20" r:id="rId10"/>
    <sheet name="Subscriptions" sheetId="2" r:id="rId11"/>
    <sheet name="Summary (Draft)" sheetId="4" state="hidden" r:id="rId12"/>
    <sheet name="Sub Graphs" sheetId="21" r:id="rId13"/>
    <sheet name="Channels (Draft)" sheetId="5" r:id="rId14"/>
    <sheet name="Sales Pacing" sheetId="3" r:id="rId15"/>
    <sheet name="Email Reporting" sheetId="7" r:id="rId16"/>
    <sheet name="Social Reporting" sheetId="10" r:id="rId17"/>
    <sheet name="Website Reporting" sheetId="9" r:id="rId18"/>
    <sheet name="Grassroots Flyer Locations" sheetId="11" r:id="rId19"/>
    <sheet name="Board" sheetId="22" r:id="rId20"/>
    <sheet name="CS3 Mahler" sheetId="17" r:id="rId21"/>
  </sheets>
  <externalReferences>
    <externalReference r:id="rId22"/>
    <externalReference r:id="rId23"/>
  </externalReferences>
  <definedNames>
    <definedName name="_xlnm._FilterDatabase" localSheetId="0" hidden="1">'Performances by Week'!$A$5:$AX$127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" i="1" l="1"/>
  <c r="S49" i="1"/>
  <c r="S21" i="1"/>
  <c r="Y34" i="1"/>
  <c r="S37" i="1"/>
  <c r="S35" i="1"/>
  <c r="S34" i="1"/>
  <c r="Y40" i="1"/>
  <c r="Y39" i="1"/>
  <c r="Y38" i="1"/>
  <c r="S40" i="1"/>
  <c r="S39" i="1"/>
  <c r="S38" i="1"/>
  <c r="Y29" i="1"/>
  <c r="S29" i="1"/>
  <c r="Y48" i="1"/>
  <c r="Y47" i="1"/>
  <c r="Y46" i="1"/>
  <c r="Y45" i="1"/>
  <c r="Y44" i="1"/>
  <c r="Y43" i="1"/>
  <c r="S48" i="1"/>
  <c r="S47" i="1"/>
  <c r="S46" i="1"/>
  <c r="S45" i="1"/>
  <c r="S44" i="1"/>
  <c r="S43" i="1"/>
  <c r="Y24" i="1"/>
  <c r="Y23" i="1"/>
  <c r="Y22" i="1"/>
  <c r="S24" i="1"/>
  <c r="S23" i="1"/>
  <c r="S22" i="1"/>
  <c r="Y54" i="1"/>
  <c r="Y53" i="1"/>
  <c r="Y52" i="1"/>
  <c r="S54" i="1"/>
  <c r="S53" i="1"/>
  <c r="S52" i="1"/>
  <c r="Y33" i="1"/>
  <c r="Y32" i="1"/>
  <c r="Y31" i="1"/>
  <c r="S33" i="1"/>
  <c r="S32" i="1"/>
  <c r="S31" i="1"/>
  <c r="Y28" i="1"/>
  <c r="Y27" i="1"/>
  <c r="Y26" i="1"/>
  <c r="S28" i="1"/>
  <c r="S27" i="1"/>
  <c r="S26" i="1"/>
  <c r="V26" i="2"/>
  <c r="V4" i="2"/>
  <c r="Y42" i="1"/>
  <c r="Y41" i="1"/>
  <c r="S42" i="1"/>
  <c r="S41" i="1"/>
  <c r="Y20" i="1"/>
  <c r="Y19" i="1"/>
  <c r="Y18" i="1"/>
  <c r="S20" i="1"/>
  <c r="S19" i="1"/>
  <c r="S18" i="1"/>
  <c r="Y12" i="1"/>
  <c r="Y11" i="1"/>
  <c r="Y10" i="1"/>
  <c r="S12" i="1"/>
  <c r="S11" i="1"/>
  <c r="S10" i="1"/>
  <c r="L39" i="18"/>
  <c r="K39" i="18"/>
  <c r="J39" i="18"/>
  <c r="I39" i="18"/>
  <c r="H39" i="18"/>
  <c r="G39" i="18"/>
  <c r="F39" i="18"/>
  <c r="E39" i="18"/>
  <c r="D39" i="18"/>
  <c r="C39" i="18"/>
  <c r="B39" i="18"/>
  <c r="K38" i="18"/>
  <c r="J38" i="18"/>
  <c r="I38" i="18"/>
  <c r="H38" i="18"/>
  <c r="G38" i="18"/>
  <c r="F38" i="18"/>
  <c r="E38" i="18"/>
  <c r="D38" i="18"/>
  <c r="C38" i="18"/>
  <c r="B38" i="18"/>
  <c r="L38" i="18"/>
  <c r="L9" i="24"/>
  <c r="K9" i="24"/>
  <c r="J9" i="24"/>
  <c r="I9" i="24"/>
  <c r="Y17" i="1"/>
  <c r="Y16" i="1"/>
  <c r="Y15" i="1"/>
  <c r="S17" i="1"/>
  <c r="S16" i="1"/>
  <c r="S15" i="1"/>
  <c r="L10" i="24"/>
  <c r="K10" i="24"/>
  <c r="J10" i="24"/>
  <c r="I10" i="24"/>
  <c r="N6" i="24"/>
  <c r="M6" i="24"/>
  <c r="N5" i="24"/>
  <c r="M5" i="24"/>
  <c r="N4" i="24"/>
  <c r="M4" i="24"/>
  <c r="M7" i="24" s="1"/>
  <c r="K17" i="1"/>
  <c r="J10" i="13"/>
  <c r="J9" i="13"/>
  <c r="I9" i="13"/>
  <c r="H9" i="13"/>
  <c r="G9" i="13"/>
  <c r="F9" i="13"/>
  <c r="E9" i="13"/>
  <c r="D9" i="13"/>
  <c r="C9" i="13"/>
  <c r="L9" i="14"/>
  <c r="K9" i="14"/>
  <c r="J9" i="14"/>
  <c r="I9" i="14"/>
  <c r="H9" i="14"/>
  <c r="G9" i="14"/>
  <c r="F9" i="14"/>
  <c r="E9" i="14"/>
  <c r="D9" i="14"/>
  <c r="C9" i="14"/>
  <c r="L10" i="16"/>
  <c r="L9" i="16"/>
  <c r="L10" i="17"/>
  <c r="K10" i="17"/>
  <c r="J10" i="17"/>
  <c r="I10" i="17"/>
  <c r="H10" i="17"/>
  <c r="G10" i="17"/>
  <c r="F10" i="17"/>
  <c r="L9" i="17"/>
  <c r="K9" i="17"/>
  <c r="J9" i="17"/>
  <c r="I9" i="17"/>
  <c r="H9" i="17"/>
  <c r="G9" i="17"/>
  <c r="F9" i="17"/>
  <c r="L12" i="18"/>
  <c r="K12" i="18"/>
  <c r="J12" i="18"/>
  <c r="I12" i="18"/>
  <c r="H12" i="18"/>
  <c r="G12" i="18"/>
  <c r="F12" i="18"/>
  <c r="E12" i="18"/>
  <c r="C12" i="18"/>
  <c r="D12" i="18"/>
  <c r="L13" i="18"/>
  <c r="K13" i="18"/>
  <c r="J13" i="18"/>
  <c r="I13" i="18"/>
  <c r="H13" i="18"/>
  <c r="G13" i="18"/>
  <c r="F13" i="18"/>
  <c r="E13" i="18"/>
  <c r="D13" i="18"/>
  <c r="C13" i="18"/>
  <c r="B13" i="18"/>
  <c r="C14" i="20"/>
  <c r="L14" i="20"/>
  <c r="K14" i="20"/>
  <c r="J14" i="20"/>
  <c r="I14" i="20"/>
  <c r="H14" i="20"/>
  <c r="G14" i="20"/>
  <c r="F14" i="20"/>
  <c r="E14" i="20"/>
  <c r="D14" i="20"/>
  <c r="L11" i="19"/>
  <c r="K11" i="19"/>
  <c r="J11" i="19"/>
  <c r="I11" i="19"/>
  <c r="H11" i="19"/>
  <c r="G11" i="19"/>
  <c r="F11" i="19"/>
  <c r="E11" i="19"/>
  <c r="D11" i="19"/>
  <c r="C11" i="19"/>
  <c r="C10" i="19"/>
  <c r="AH8" i="1"/>
  <c r="AH10" i="1"/>
  <c r="AH11" i="1"/>
  <c r="AH12" i="1"/>
  <c r="AH13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7" i="1"/>
  <c r="AH6" i="1"/>
  <c r="K15" i="12"/>
  <c r="K14" i="12"/>
  <c r="K13" i="12"/>
  <c r="J15" i="12"/>
  <c r="J14" i="12"/>
  <c r="J13" i="12"/>
  <c r="V105" i="1"/>
  <c r="V104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T6" i="1"/>
  <c r="J14" i="1"/>
  <c r="D12" i="19"/>
  <c r="E12" i="19"/>
  <c r="F12" i="19"/>
  <c r="G12" i="19"/>
  <c r="H12" i="19"/>
  <c r="I12" i="19"/>
  <c r="J12" i="19"/>
  <c r="K12" i="19"/>
  <c r="L12" i="19"/>
  <c r="C46" i="2"/>
  <c r="B46" i="2"/>
  <c r="C24" i="2"/>
  <c r="B24" i="2"/>
  <c r="O70" i="22"/>
  <c r="H70" i="22"/>
  <c r="N70" i="22" s="1"/>
  <c r="P70" i="22" s="1"/>
  <c r="F70" i="22"/>
  <c r="E70" i="22"/>
  <c r="L70" i="22" s="1"/>
  <c r="O69" i="22"/>
  <c r="H69" i="22"/>
  <c r="N69" i="22" s="1"/>
  <c r="P69" i="22" s="1"/>
  <c r="F69" i="22"/>
  <c r="E69" i="22"/>
  <c r="L69" i="22" s="1"/>
  <c r="O68" i="22"/>
  <c r="H68" i="22"/>
  <c r="N68" i="22" s="1"/>
  <c r="P68" i="22" s="1"/>
  <c r="F68" i="22"/>
  <c r="E68" i="22"/>
  <c r="L68" i="22" s="1"/>
  <c r="O67" i="22"/>
  <c r="H67" i="22"/>
  <c r="N67" i="22" s="1"/>
  <c r="P67" i="22" s="1"/>
  <c r="F67" i="22"/>
  <c r="E67" i="22"/>
  <c r="L67" i="22" s="1"/>
  <c r="O66" i="22"/>
  <c r="H66" i="22"/>
  <c r="N66" i="22" s="1"/>
  <c r="P66" i="22" s="1"/>
  <c r="F66" i="22"/>
  <c r="E66" i="22"/>
  <c r="L66" i="22" s="1"/>
  <c r="O65" i="22"/>
  <c r="H65" i="22"/>
  <c r="N65" i="22" s="1"/>
  <c r="P65" i="22" s="1"/>
  <c r="F65" i="22"/>
  <c r="E65" i="22"/>
  <c r="L65" i="22" s="1"/>
  <c r="O64" i="22"/>
  <c r="O71" i="22" s="1"/>
  <c r="H64" i="22"/>
  <c r="F64" i="22"/>
  <c r="E64" i="22"/>
  <c r="O60" i="22"/>
  <c r="H60" i="22"/>
  <c r="N60" i="22" s="1"/>
  <c r="P60" i="22" s="1"/>
  <c r="F60" i="22"/>
  <c r="E60" i="22"/>
  <c r="L60" i="22" s="1"/>
  <c r="O59" i="22"/>
  <c r="H59" i="22"/>
  <c r="N59" i="22" s="1"/>
  <c r="P59" i="22" s="1"/>
  <c r="F59" i="22"/>
  <c r="E59" i="22"/>
  <c r="L59" i="22" s="1"/>
  <c r="O58" i="22"/>
  <c r="H58" i="22"/>
  <c r="N58" i="22" s="1"/>
  <c r="P58" i="22" s="1"/>
  <c r="F58" i="22"/>
  <c r="E58" i="22"/>
  <c r="L58" i="22" s="1"/>
  <c r="O57" i="22"/>
  <c r="O61" i="22" s="1"/>
  <c r="H57" i="22"/>
  <c r="F57" i="22"/>
  <c r="E57" i="22"/>
  <c r="O53" i="22"/>
  <c r="H53" i="22"/>
  <c r="N53" i="22" s="1"/>
  <c r="P53" i="22" s="1"/>
  <c r="F53" i="22"/>
  <c r="E53" i="22"/>
  <c r="L53" i="22" s="1"/>
  <c r="O52" i="22"/>
  <c r="H52" i="22"/>
  <c r="N52" i="22" s="1"/>
  <c r="P52" i="22" s="1"/>
  <c r="F52" i="22"/>
  <c r="E52" i="22"/>
  <c r="L52" i="22" s="1"/>
  <c r="O51" i="22"/>
  <c r="H51" i="22"/>
  <c r="N51" i="22" s="1"/>
  <c r="P51" i="22" s="1"/>
  <c r="F51" i="22"/>
  <c r="E51" i="22"/>
  <c r="L51" i="22" s="1"/>
  <c r="O50" i="22"/>
  <c r="H50" i="22"/>
  <c r="N50" i="22" s="1"/>
  <c r="P50" i="22" s="1"/>
  <c r="F50" i="22"/>
  <c r="E50" i="22"/>
  <c r="L50" i="22" s="1"/>
  <c r="O49" i="22"/>
  <c r="H49" i="22"/>
  <c r="N49" i="22" s="1"/>
  <c r="P49" i="22" s="1"/>
  <c r="F49" i="22"/>
  <c r="E49" i="22"/>
  <c r="L49" i="22" s="1"/>
  <c r="O48" i="22"/>
  <c r="O54" i="22" s="1"/>
  <c r="H48" i="22"/>
  <c r="F48" i="22"/>
  <c r="E48" i="22"/>
  <c r="O44" i="22"/>
  <c r="K44" i="22"/>
  <c r="J44" i="22"/>
  <c r="I44" i="22"/>
  <c r="H44" i="22"/>
  <c r="N44" i="22" s="1"/>
  <c r="P44" i="22" s="1"/>
  <c r="F44" i="22"/>
  <c r="E44" i="22"/>
  <c r="L44" i="22" s="1"/>
  <c r="O43" i="22"/>
  <c r="K43" i="22"/>
  <c r="J43" i="22"/>
  <c r="I43" i="22"/>
  <c r="H43" i="22"/>
  <c r="N43" i="22" s="1"/>
  <c r="P43" i="22" s="1"/>
  <c r="F43" i="22"/>
  <c r="E43" i="22"/>
  <c r="L43" i="22" s="1"/>
  <c r="O42" i="22"/>
  <c r="K42" i="22"/>
  <c r="J42" i="22"/>
  <c r="I42" i="22"/>
  <c r="H42" i="22"/>
  <c r="N42" i="22" s="1"/>
  <c r="P42" i="22" s="1"/>
  <c r="F42" i="22"/>
  <c r="E42" i="22"/>
  <c r="L42" i="22" s="1"/>
  <c r="O41" i="22"/>
  <c r="O45" i="22" s="1"/>
  <c r="K41" i="22"/>
  <c r="K45" i="22" s="1"/>
  <c r="J41" i="22"/>
  <c r="J45" i="22" s="1"/>
  <c r="I41" i="22"/>
  <c r="I45" i="22" s="1"/>
  <c r="H41" i="22"/>
  <c r="F41" i="22"/>
  <c r="E41" i="22"/>
  <c r="O37" i="22"/>
  <c r="K37" i="22"/>
  <c r="J37" i="22"/>
  <c r="I37" i="22"/>
  <c r="H37" i="22"/>
  <c r="N37" i="22" s="1"/>
  <c r="P37" i="22" s="1"/>
  <c r="F37" i="22"/>
  <c r="E37" i="22"/>
  <c r="L37" i="22" s="1"/>
  <c r="O36" i="22"/>
  <c r="K36" i="22"/>
  <c r="J36" i="22"/>
  <c r="I36" i="22"/>
  <c r="H36" i="22"/>
  <c r="N36" i="22" s="1"/>
  <c r="P36" i="22" s="1"/>
  <c r="F36" i="22"/>
  <c r="E36" i="22"/>
  <c r="L36" i="22" s="1"/>
  <c r="O35" i="22"/>
  <c r="K35" i="22"/>
  <c r="J35" i="22"/>
  <c r="I35" i="22"/>
  <c r="H35" i="22"/>
  <c r="N35" i="22" s="1"/>
  <c r="P35" i="22" s="1"/>
  <c r="F35" i="22"/>
  <c r="E35" i="22"/>
  <c r="L35" i="22" s="1"/>
  <c r="O34" i="22"/>
  <c r="K34" i="22"/>
  <c r="J34" i="22"/>
  <c r="I34" i="22"/>
  <c r="H34" i="22"/>
  <c r="N34" i="22" s="1"/>
  <c r="P34" i="22" s="1"/>
  <c r="F34" i="22"/>
  <c r="E34" i="22"/>
  <c r="L34" i="22" s="1"/>
  <c r="O33" i="22"/>
  <c r="O38" i="22" s="1"/>
  <c r="K33" i="22"/>
  <c r="K38" i="22" s="1"/>
  <c r="J33" i="22"/>
  <c r="J38" i="22" s="1"/>
  <c r="I33" i="22"/>
  <c r="I38" i="22" s="1"/>
  <c r="H33" i="22"/>
  <c r="F33" i="22"/>
  <c r="E33" i="22"/>
  <c r="O29" i="22"/>
  <c r="K29" i="22"/>
  <c r="J29" i="22"/>
  <c r="I29" i="22"/>
  <c r="H29" i="22"/>
  <c r="N29" i="22" s="1"/>
  <c r="P29" i="22" s="1"/>
  <c r="F29" i="22"/>
  <c r="E29" i="22"/>
  <c r="L29" i="22" s="1"/>
  <c r="B29" i="22"/>
  <c r="O28" i="22"/>
  <c r="K28" i="22"/>
  <c r="J28" i="22"/>
  <c r="I28" i="22"/>
  <c r="H28" i="22"/>
  <c r="N28" i="22" s="1"/>
  <c r="P28" i="22" s="1"/>
  <c r="F28" i="22"/>
  <c r="E28" i="22"/>
  <c r="L28" i="22" s="1"/>
  <c r="B28" i="22"/>
  <c r="O27" i="22"/>
  <c r="K27" i="22"/>
  <c r="J27" i="22"/>
  <c r="I27" i="22"/>
  <c r="H27" i="22"/>
  <c r="N27" i="22" s="1"/>
  <c r="P27" i="22" s="1"/>
  <c r="F27" i="22"/>
  <c r="E27" i="22"/>
  <c r="L27" i="22" s="1"/>
  <c r="B27" i="22"/>
  <c r="O26" i="22"/>
  <c r="K26" i="22"/>
  <c r="J26" i="22"/>
  <c r="I26" i="22"/>
  <c r="H26" i="22"/>
  <c r="N26" i="22" s="1"/>
  <c r="P26" i="22" s="1"/>
  <c r="F26" i="22"/>
  <c r="E26" i="22"/>
  <c r="L26" i="22" s="1"/>
  <c r="B26" i="22"/>
  <c r="O25" i="22"/>
  <c r="K25" i="22"/>
  <c r="J25" i="22"/>
  <c r="I25" i="22"/>
  <c r="H25" i="22"/>
  <c r="N25" i="22" s="1"/>
  <c r="P25" i="22" s="1"/>
  <c r="F25" i="22"/>
  <c r="E25" i="22"/>
  <c r="L25" i="22" s="1"/>
  <c r="B25" i="22"/>
  <c r="O24" i="22"/>
  <c r="K24" i="22"/>
  <c r="J24" i="22"/>
  <c r="I24" i="22"/>
  <c r="H24" i="22"/>
  <c r="N24" i="22" s="1"/>
  <c r="P24" i="22" s="1"/>
  <c r="F24" i="22"/>
  <c r="E24" i="22"/>
  <c r="L24" i="22" s="1"/>
  <c r="B24" i="22"/>
  <c r="O23" i="22"/>
  <c r="O30" i="22" s="1"/>
  <c r="K23" i="22"/>
  <c r="K30" i="22" s="1"/>
  <c r="J23" i="22"/>
  <c r="J30" i="22" s="1"/>
  <c r="I23" i="22"/>
  <c r="I30" i="22" s="1"/>
  <c r="H23" i="22"/>
  <c r="F23" i="22"/>
  <c r="E23" i="22"/>
  <c r="B23" i="22"/>
  <c r="O19" i="22"/>
  <c r="K19" i="22"/>
  <c r="J19" i="22"/>
  <c r="I19" i="22"/>
  <c r="H19" i="22"/>
  <c r="N19" i="22" s="1"/>
  <c r="P19" i="22" s="1"/>
  <c r="F19" i="22"/>
  <c r="E19" i="22"/>
  <c r="L19" i="22" s="1"/>
  <c r="O18" i="22"/>
  <c r="K18" i="22"/>
  <c r="J18" i="22"/>
  <c r="I18" i="22"/>
  <c r="H18" i="22"/>
  <c r="N18" i="22" s="1"/>
  <c r="P18" i="22" s="1"/>
  <c r="F18" i="22"/>
  <c r="E18" i="22"/>
  <c r="L18" i="22" s="1"/>
  <c r="O17" i="22"/>
  <c r="K17" i="22"/>
  <c r="J17" i="22"/>
  <c r="I17" i="22"/>
  <c r="H17" i="22"/>
  <c r="N17" i="22" s="1"/>
  <c r="P17" i="22" s="1"/>
  <c r="F17" i="22"/>
  <c r="E17" i="22"/>
  <c r="L17" i="22" s="1"/>
  <c r="O16" i="22"/>
  <c r="K16" i="22"/>
  <c r="J16" i="22"/>
  <c r="I16" i="22"/>
  <c r="H16" i="22"/>
  <c r="N16" i="22" s="1"/>
  <c r="P16" i="22" s="1"/>
  <c r="F16" i="22"/>
  <c r="E16" i="22"/>
  <c r="L16" i="22" s="1"/>
  <c r="O15" i="22"/>
  <c r="K15" i="22"/>
  <c r="J15" i="22"/>
  <c r="I15" i="22"/>
  <c r="H15" i="22"/>
  <c r="N15" i="22" s="1"/>
  <c r="P15" i="22" s="1"/>
  <c r="F15" i="22"/>
  <c r="E15" i="22"/>
  <c r="L15" i="22" s="1"/>
  <c r="O14" i="22"/>
  <c r="K14" i="22"/>
  <c r="J14" i="22"/>
  <c r="I14" i="22"/>
  <c r="H14" i="22"/>
  <c r="N14" i="22" s="1"/>
  <c r="P14" i="22" s="1"/>
  <c r="F14" i="22"/>
  <c r="E14" i="22"/>
  <c r="L14" i="22" s="1"/>
  <c r="O13" i="22"/>
  <c r="K13" i="22"/>
  <c r="J13" i="22"/>
  <c r="I13" i="22"/>
  <c r="H13" i="22"/>
  <c r="N13" i="22" s="1"/>
  <c r="P13" i="22" s="1"/>
  <c r="F13" i="22"/>
  <c r="E13" i="22"/>
  <c r="L13" i="22" s="1"/>
  <c r="O12" i="22"/>
  <c r="K12" i="22"/>
  <c r="J12" i="22"/>
  <c r="I12" i="22"/>
  <c r="H12" i="22"/>
  <c r="N12" i="22" s="1"/>
  <c r="P12" i="22" s="1"/>
  <c r="F12" i="22"/>
  <c r="E12" i="22"/>
  <c r="L12" i="22" s="1"/>
  <c r="O11" i="22"/>
  <c r="K11" i="22"/>
  <c r="J11" i="22"/>
  <c r="I11" i="22"/>
  <c r="H11" i="22"/>
  <c r="N11" i="22" s="1"/>
  <c r="P11" i="22" s="1"/>
  <c r="F11" i="22"/>
  <c r="E11" i="22"/>
  <c r="L11" i="22" s="1"/>
  <c r="O10" i="22"/>
  <c r="K10" i="22"/>
  <c r="J10" i="22"/>
  <c r="I10" i="22"/>
  <c r="H10" i="22"/>
  <c r="N10" i="22" s="1"/>
  <c r="P10" i="22" s="1"/>
  <c r="F10" i="22"/>
  <c r="E10" i="22"/>
  <c r="L10" i="22" s="1"/>
  <c r="O9" i="22"/>
  <c r="K9" i="22"/>
  <c r="J9" i="22"/>
  <c r="I9" i="22"/>
  <c r="H9" i="22"/>
  <c r="N9" i="22" s="1"/>
  <c r="P9" i="22" s="1"/>
  <c r="F9" i="22"/>
  <c r="E9" i="22"/>
  <c r="L9" i="22" s="1"/>
  <c r="O8" i="22"/>
  <c r="K8" i="22"/>
  <c r="J8" i="22"/>
  <c r="I8" i="22"/>
  <c r="H8" i="22"/>
  <c r="N8" i="22" s="1"/>
  <c r="P8" i="22" s="1"/>
  <c r="F8" i="22"/>
  <c r="E8" i="22"/>
  <c r="L8" i="22" s="1"/>
  <c r="O7" i="22"/>
  <c r="K7" i="22"/>
  <c r="J7" i="22"/>
  <c r="I7" i="22"/>
  <c r="H7" i="22"/>
  <c r="N7" i="22" s="1"/>
  <c r="P7" i="22" s="1"/>
  <c r="F7" i="22"/>
  <c r="E7" i="22"/>
  <c r="L7" i="22" s="1"/>
  <c r="O6" i="22"/>
  <c r="O20" i="22" s="1"/>
  <c r="K6" i="22"/>
  <c r="K20" i="22" s="1"/>
  <c r="J6" i="22"/>
  <c r="J20" i="22" s="1"/>
  <c r="I6" i="22"/>
  <c r="I20" i="22" s="1"/>
  <c r="H6" i="22"/>
  <c r="F6" i="22"/>
  <c r="E6" i="22"/>
  <c r="M17" i="1"/>
  <c r="M16" i="1"/>
  <c r="M15" i="1"/>
  <c r="L12" i="20"/>
  <c r="K12" i="20"/>
  <c r="J12" i="20"/>
  <c r="I12" i="20"/>
  <c r="H12" i="20"/>
  <c r="G12" i="20"/>
  <c r="F12" i="20"/>
  <c r="E12" i="20"/>
  <c r="D12" i="20"/>
  <c r="C12" i="20"/>
  <c r="L11" i="20"/>
  <c r="K11" i="20"/>
  <c r="J11" i="20"/>
  <c r="I11" i="20"/>
  <c r="H11" i="20"/>
  <c r="G11" i="20"/>
  <c r="F11" i="20"/>
  <c r="E11" i="20"/>
  <c r="D11" i="20"/>
  <c r="C11" i="20"/>
  <c r="B12" i="20"/>
  <c r="B11" i="20"/>
  <c r="M9" i="20"/>
  <c r="M8" i="20"/>
  <c r="M7" i="20"/>
  <c r="M6" i="20"/>
  <c r="M5" i="20"/>
  <c r="M4" i="20"/>
  <c r="L15" i="20"/>
  <c r="K15" i="20"/>
  <c r="J15" i="20"/>
  <c r="I15" i="20"/>
  <c r="H15" i="20"/>
  <c r="G15" i="20"/>
  <c r="F15" i="20"/>
  <c r="E15" i="20"/>
  <c r="D15" i="20"/>
  <c r="C15" i="20"/>
  <c r="M10" i="20"/>
  <c r="L9" i="19"/>
  <c r="K9" i="19"/>
  <c r="J9" i="19"/>
  <c r="I9" i="19"/>
  <c r="H9" i="19"/>
  <c r="G9" i="19"/>
  <c r="F9" i="19"/>
  <c r="E9" i="19"/>
  <c r="D9" i="19"/>
  <c r="C9" i="19"/>
  <c r="B9" i="19"/>
  <c r="B8" i="19"/>
  <c r="B12" i="19" s="1"/>
  <c r="M6" i="19"/>
  <c r="M5" i="19"/>
  <c r="M4" i="19"/>
  <c r="L8" i="19"/>
  <c r="K8" i="19"/>
  <c r="J8" i="19"/>
  <c r="I8" i="19"/>
  <c r="H8" i="19"/>
  <c r="G8" i="19"/>
  <c r="F8" i="19"/>
  <c r="E8" i="19"/>
  <c r="D8" i="19"/>
  <c r="C8" i="19"/>
  <c r="M7" i="19"/>
  <c r="L10" i="18"/>
  <c r="K10" i="18"/>
  <c r="J10" i="18"/>
  <c r="I10" i="18"/>
  <c r="H10" i="18"/>
  <c r="G10" i="18"/>
  <c r="F10" i="18"/>
  <c r="E10" i="18"/>
  <c r="D10" i="18"/>
  <c r="C10" i="18"/>
  <c r="B10" i="18"/>
  <c r="L9" i="18"/>
  <c r="K9" i="18"/>
  <c r="J9" i="18"/>
  <c r="I9" i="18"/>
  <c r="H9" i="18"/>
  <c r="G9" i="18"/>
  <c r="F9" i="18"/>
  <c r="E9" i="18"/>
  <c r="D9" i="18"/>
  <c r="C9" i="18"/>
  <c r="B9" i="18"/>
  <c r="M7" i="18"/>
  <c r="M6" i="18"/>
  <c r="M5" i="18"/>
  <c r="M4" i="18"/>
  <c r="M8" i="18"/>
  <c r="H4" i="12"/>
  <c r="M6" i="17"/>
  <c r="M5" i="17"/>
  <c r="M4" i="17"/>
  <c r="M7" i="17"/>
  <c r="M6" i="14"/>
  <c r="M5" i="14"/>
  <c r="M4" i="14"/>
  <c r="M7" i="14" s="1"/>
  <c r="H6" i="12"/>
  <c r="H5" i="12"/>
  <c r="M6" i="16"/>
  <c r="M5" i="16"/>
  <c r="M4" i="16"/>
  <c r="M7" i="16" s="1"/>
  <c r="L7" i="16"/>
  <c r="K7" i="16"/>
  <c r="J7" i="16"/>
  <c r="I7" i="16"/>
  <c r="H7" i="16"/>
  <c r="G7" i="16"/>
  <c r="F7" i="16"/>
  <c r="E7" i="16"/>
  <c r="D7" i="16"/>
  <c r="E5" i="15"/>
  <c r="D5" i="15"/>
  <c r="C5" i="15"/>
  <c r="B5" i="15"/>
  <c r="G4" i="15"/>
  <c r="G3" i="15"/>
  <c r="I7" i="13"/>
  <c r="H7" i="13"/>
  <c r="G7" i="13"/>
  <c r="F7" i="13"/>
  <c r="E7" i="13"/>
  <c r="D7" i="13"/>
  <c r="C7" i="13"/>
  <c r="B7" i="13"/>
  <c r="B10" i="13" s="1"/>
  <c r="J7" i="13"/>
  <c r="E7" i="14"/>
  <c r="D7" i="14"/>
  <c r="C7" i="14"/>
  <c r="B7" i="14"/>
  <c r="K7" i="14"/>
  <c r="K10" i="14" s="1"/>
  <c r="J7" i="14"/>
  <c r="J10" i="14" s="1"/>
  <c r="I7" i="14"/>
  <c r="I10" i="14" s="1"/>
  <c r="H7" i="14"/>
  <c r="G7" i="14"/>
  <c r="F7" i="14"/>
  <c r="L7" i="14"/>
  <c r="K6" i="13"/>
  <c r="K5" i="13"/>
  <c r="K4" i="13"/>
  <c r="K6" i="1"/>
  <c r="J6" i="1" s="1"/>
  <c r="K7" i="1"/>
  <c r="L6" i="1"/>
  <c r="L7" i="1"/>
  <c r="K8" i="1"/>
  <c r="J8" i="1" s="1"/>
  <c r="L8" i="1"/>
  <c r="B106" i="1"/>
  <c r="V106" i="1" s="1"/>
  <c r="X106" i="1"/>
  <c r="K43" i="2"/>
  <c r="K44" i="2"/>
  <c r="D43" i="2"/>
  <c r="G43" i="2"/>
  <c r="J43" i="2"/>
  <c r="J44" i="2"/>
  <c r="K21" i="2"/>
  <c r="K22" i="2"/>
  <c r="D21" i="2"/>
  <c r="L104" i="1"/>
  <c r="AM104" i="1"/>
  <c r="AM8" i="1"/>
  <c r="L10" i="1"/>
  <c r="AM10" i="1"/>
  <c r="L11" i="1"/>
  <c r="AM11" i="1"/>
  <c r="L12" i="1"/>
  <c r="AM12" i="1"/>
  <c r="L13" i="1"/>
  <c r="AM13" i="1"/>
  <c r="L15" i="1"/>
  <c r="N15" i="1" s="1"/>
  <c r="AM15" i="1"/>
  <c r="L16" i="1"/>
  <c r="N16" i="1" s="1"/>
  <c r="AM16" i="1"/>
  <c r="L17" i="1"/>
  <c r="N17" i="1" s="1"/>
  <c r="AM17" i="1"/>
  <c r="L18" i="1"/>
  <c r="AM18" i="1"/>
  <c r="L19" i="1"/>
  <c r="AM19" i="1"/>
  <c r="L20" i="1"/>
  <c r="AM20" i="1"/>
  <c r="L21" i="1"/>
  <c r="AM21" i="1"/>
  <c r="L22" i="1"/>
  <c r="AM22" i="1"/>
  <c r="L23" i="1"/>
  <c r="AM23" i="1"/>
  <c r="L24" i="1"/>
  <c r="AM24" i="1"/>
  <c r="L25" i="1"/>
  <c r="N25" i="1" s="1"/>
  <c r="AM25" i="1"/>
  <c r="L26" i="1"/>
  <c r="AM26" i="1"/>
  <c r="L27" i="1"/>
  <c r="AM27" i="1"/>
  <c r="L28" i="1"/>
  <c r="AM28" i="1"/>
  <c r="L29" i="1"/>
  <c r="AM29" i="1"/>
  <c r="L31" i="1"/>
  <c r="AM31" i="1"/>
  <c r="L32" i="1"/>
  <c r="AM32" i="1"/>
  <c r="L33" i="1"/>
  <c r="AM33" i="1"/>
  <c r="L34" i="1"/>
  <c r="AM34" i="1"/>
  <c r="L35" i="1"/>
  <c r="AM35" i="1"/>
  <c r="L36" i="1"/>
  <c r="AM36" i="1"/>
  <c r="L37" i="1"/>
  <c r="AM37" i="1"/>
  <c r="L38" i="1"/>
  <c r="AM38" i="1"/>
  <c r="L39" i="1"/>
  <c r="AM39" i="1"/>
  <c r="L40" i="1"/>
  <c r="AM40" i="1"/>
  <c r="L41" i="1"/>
  <c r="AM41" i="1"/>
  <c r="L42" i="1"/>
  <c r="AM42" i="1"/>
  <c r="L43" i="1"/>
  <c r="AM43" i="1"/>
  <c r="L44" i="1"/>
  <c r="AM44" i="1"/>
  <c r="L45" i="1"/>
  <c r="AM45" i="1"/>
  <c r="L46" i="1"/>
  <c r="AM46" i="1"/>
  <c r="L47" i="1"/>
  <c r="AM47" i="1"/>
  <c r="L48" i="1"/>
  <c r="AM48" i="1"/>
  <c r="L49" i="1"/>
  <c r="AM49" i="1"/>
  <c r="L50" i="1"/>
  <c r="AM50" i="1"/>
  <c r="L52" i="1"/>
  <c r="AM52" i="1"/>
  <c r="L53" i="1"/>
  <c r="AM53" i="1"/>
  <c r="L54" i="1"/>
  <c r="AM54" i="1"/>
  <c r="L55" i="1"/>
  <c r="AM55" i="1"/>
  <c r="L56" i="1"/>
  <c r="AM56" i="1"/>
  <c r="L57" i="1"/>
  <c r="AM57" i="1"/>
  <c r="L58" i="1"/>
  <c r="AM58" i="1"/>
  <c r="L59" i="1"/>
  <c r="AM59" i="1"/>
  <c r="L60" i="1"/>
  <c r="AM60" i="1"/>
  <c r="L61" i="1"/>
  <c r="AM61" i="1"/>
  <c r="L62" i="1"/>
  <c r="AM62" i="1"/>
  <c r="L63" i="1"/>
  <c r="AM63" i="1"/>
  <c r="L64" i="1"/>
  <c r="AM64" i="1"/>
  <c r="L65" i="1"/>
  <c r="N65" i="1" s="1"/>
  <c r="AM65" i="1"/>
  <c r="L66" i="1"/>
  <c r="AM66" i="1"/>
  <c r="L67" i="1"/>
  <c r="AM67" i="1"/>
  <c r="L68" i="1"/>
  <c r="AM68" i="1"/>
  <c r="L69" i="1"/>
  <c r="AM69" i="1"/>
  <c r="L70" i="1"/>
  <c r="AM70" i="1"/>
  <c r="L71" i="1"/>
  <c r="AM71" i="1"/>
  <c r="L72" i="1"/>
  <c r="AM72" i="1"/>
  <c r="L73" i="1"/>
  <c r="AM73" i="1"/>
  <c r="L74" i="1"/>
  <c r="AM74" i="1"/>
  <c r="L75" i="1"/>
  <c r="AM75" i="1"/>
  <c r="L76" i="1"/>
  <c r="AM76" i="1"/>
  <c r="L77" i="1"/>
  <c r="AM77" i="1"/>
  <c r="L79" i="1"/>
  <c r="AM79" i="1"/>
  <c r="L80" i="1"/>
  <c r="AM80" i="1"/>
  <c r="L81" i="1"/>
  <c r="AM81" i="1"/>
  <c r="L83" i="1"/>
  <c r="AM83" i="1"/>
  <c r="L84" i="1"/>
  <c r="AM84" i="1"/>
  <c r="L85" i="1"/>
  <c r="AM85" i="1"/>
  <c r="L86" i="1"/>
  <c r="AM86" i="1"/>
  <c r="L87" i="1"/>
  <c r="AM87" i="1"/>
  <c r="L89" i="1"/>
  <c r="AM89" i="1"/>
  <c r="L90" i="1"/>
  <c r="AM90" i="1"/>
  <c r="L91" i="1"/>
  <c r="AM91" i="1"/>
  <c r="L92" i="1"/>
  <c r="AM92" i="1"/>
  <c r="L93" i="1"/>
  <c r="AM93" i="1"/>
  <c r="L94" i="1"/>
  <c r="AM94" i="1"/>
  <c r="L97" i="1"/>
  <c r="AM97" i="1"/>
  <c r="L98" i="1"/>
  <c r="AM98" i="1"/>
  <c r="L99" i="1"/>
  <c r="AM99" i="1"/>
  <c r="L100" i="1"/>
  <c r="AM100" i="1"/>
  <c r="L101" i="1"/>
  <c r="AM101" i="1"/>
  <c r="L102" i="1"/>
  <c r="AM102" i="1"/>
  <c r="L105" i="1"/>
  <c r="AM105" i="1"/>
  <c r="L106" i="1"/>
  <c r="N106" i="1" s="1"/>
  <c r="AM106" i="1"/>
  <c r="L107" i="1"/>
  <c r="AM107" i="1"/>
  <c r="L108" i="1"/>
  <c r="AM108" i="1"/>
  <c r="L109" i="1"/>
  <c r="AM109" i="1"/>
  <c r="L111" i="1"/>
  <c r="AM111" i="1"/>
  <c r="L112" i="1"/>
  <c r="AM112" i="1"/>
  <c r="L113" i="1"/>
  <c r="AM113" i="1"/>
  <c r="L115" i="1"/>
  <c r="AM115" i="1"/>
  <c r="L116" i="1"/>
  <c r="AM116" i="1"/>
  <c r="L117" i="1"/>
  <c r="AM117" i="1"/>
  <c r="K10" i="1"/>
  <c r="J10" i="1" s="1"/>
  <c r="B25" i="1"/>
  <c r="V25" i="1" s="1"/>
  <c r="X25" i="1"/>
  <c r="AF106" i="1"/>
  <c r="AF105" i="1"/>
  <c r="AF104" i="1"/>
  <c r="X104" i="1"/>
  <c r="AB104" i="1"/>
  <c r="X105" i="1"/>
  <c r="AB105" i="1"/>
  <c r="M105" i="1"/>
  <c r="M104" i="1"/>
  <c r="M84" i="1"/>
  <c r="M83" i="1"/>
  <c r="P105" i="1"/>
  <c r="P104" i="1"/>
  <c r="AA105" i="1"/>
  <c r="AA104" i="1"/>
  <c r="K105" i="1"/>
  <c r="J105" i="1" s="1"/>
  <c r="K104" i="1"/>
  <c r="J104" i="1" s="1"/>
  <c r="AA84" i="1"/>
  <c r="AA83" i="1"/>
  <c r="K84" i="1"/>
  <c r="J84" i="1" s="1"/>
  <c r="K83" i="1"/>
  <c r="J83" i="1" s="1"/>
  <c r="AA8" i="1"/>
  <c r="B83" i="1"/>
  <c r="V83" i="1" s="1"/>
  <c r="X83" i="1"/>
  <c r="AB83" i="1"/>
  <c r="B84" i="1"/>
  <c r="V84" i="1" s="1"/>
  <c r="X84" i="1"/>
  <c r="AB84" i="1"/>
  <c r="Y126" i="1"/>
  <c r="G21" i="2"/>
  <c r="J21" i="2" s="1"/>
  <c r="J22" i="2" s="1"/>
  <c r="L43" i="2"/>
  <c r="I43" i="2"/>
  <c r="J42" i="2"/>
  <c r="L21" i="2"/>
  <c r="I21" i="2"/>
  <c r="AF10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7" i="1"/>
  <c r="AA6" i="1"/>
  <c r="D20" i="2"/>
  <c r="AF117" i="1"/>
  <c r="AF116" i="1"/>
  <c r="AF115" i="1"/>
  <c r="AF113" i="1"/>
  <c r="AF112" i="1"/>
  <c r="AF111" i="1"/>
  <c r="AF110" i="1"/>
  <c r="AF109" i="1"/>
  <c r="AF108" i="1"/>
  <c r="AF107" i="1"/>
  <c r="AF102" i="1"/>
  <c r="AF101" i="1"/>
  <c r="AF100" i="1"/>
  <c r="AF99" i="1"/>
  <c r="AF98" i="1"/>
  <c r="AF97" i="1"/>
  <c r="AF94" i="1"/>
  <c r="AF93" i="1"/>
  <c r="AF92" i="1"/>
  <c r="AF91" i="1"/>
  <c r="AF90" i="1"/>
  <c r="AF89" i="1"/>
  <c r="AF87" i="1"/>
  <c r="AF86" i="1"/>
  <c r="AF85" i="1"/>
  <c r="AF81" i="1"/>
  <c r="AF80" i="1"/>
  <c r="AF79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3" i="1"/>
  <c r="AF12" i="1"/>
  <c r="AF11" i="1"/>
  <c r="AF8" i="1"/>
  <c r="AF7" i="1"/>
  <c r="AF6" i="1"/>
  <c r="M117" i="1"/>
  <c r="K117" i="1"/>
  <c r="J117" i="1" s="1"/>
  <c r="M116" i="1"/>
  <c r="K116" i="1"/>
  <c r="J116" i="1" s="1"/>
  <c r="M115" i="1"/>
  <c r="K115" i="1"/>
  <c r="J115" i="1" s="1"/>
  <c r="M114" i="1"/>
  <c r="L114" i="1"/>
  <c r="K114" i="1"/>
  <c r="J114" i="1"/>
  <c r="M113" i="1"/>
  <c r="K113" i="1"/>
  <c r="J113" i="1" s="1"/>
  <c r="M112" i="1"/>
  <c r="K112" i="1"/>
  <c r="J112" i="1" s="1"/>
  <c r="M111" i="1"/>
  <c r="K111" i="1"/>
  <c r="J111" i="1" s="1"/>
  <c r="L110" i="1"/>
  <c r="K110" i="1"/>
  <c r="J110" i="1" s="1"/>
  <c r="M109" i="1"/>
  <c r="K109" i="1"/>
  <c r="J109" i="1" s="1"/>
  <c r="M108" i="1"/>
  <c r="K108" i="1"/>
  <c r="J108" i="1" s="1"/>
  <c r="M107" i="1"/>
  <c r="K107" i="1"/>
  <c r="J107" i="1" s="1"/>
  <c r="K106" i="1"/>
  <c r="J106" i="1" s="1"/>
  <c r="M103" i="1"/>
  <c r="L103" i="1"/>
  <c r="K103" i="1"/>
  <c r="J103" i="1"/>
  <c r="M102" i="1"/>
  <c r="K102" i="1"/>
  <c r="J102" i="1" s="1"/>
  <c r="M101" i="1"/>
  <c r="K101" i="1"/>
  <c r="J101" i="1" s="1"/>
  <c r="M100" i="1"/>
  <c r="K100" i="1"/>
  <c r="J100" i="1" s="1"/>
  <c r="M99" i="1"/>
  <c r="K99" i="1"/>
  <c r="J99" i="1" s="1"/>
  <c r="M98" i="1"/>
  <c r="K98" i="1"/>
  <c r="J98" i="1" s="1"/>
  <c r="M97" i="1"/>
  <c r="K97" i="1"/>
  <c r="J97" i="1" s="1"/>
  <c r="M96" i="1"/>
  <c r="L96" i="1"/>
  <c r="K96" i="1"/>
  <c r="J96" i="1"/>
  <c r="M95" i="1"/>
  <c r="L95" i="1"/>
  <c r="K95" i="1"/>
  <c r="J95" i="1"/>
  <c r="M94" i="1"/>
  <c r="K94" i="1"/>
  <c r="J94" i="1" s="1"/>
  <c r="M93" i="1"/>
  <c r="K93" i="1"/>
  <c r="J93" i="1" s="1"/>
  <c r="M92" i="1"/>
  <c r="K92" i="1"/>
  <c r="J92" i="1" s="1"/>
  <c r="M91" i="1"/>
  <c r="K91" i="1"/>
  <c r="J91" i="1" s="1"/>
  <c r="M90" i="1"/>
  <c r="K90" i="1"/>
  <c r="J90" i="1" s="1"/>
  <c r="M89" i="1"/>
  <c r="K89" i="1"/>
  <c r="J89" i="1" s="1"/>
  <c r="M88" i="1"/>
  <c r="L88" i="1"/>
  <c r="K88" i="1"/>
  <c r="J88" i="1"/>
  <c r="M87" i="1"/>
  <c r="K87" i="1"/>
  <c r="J87" i="1" s="1"/>
  <c r="M86" i="1"/>
  <c r="K86" i="1"/>
  <c r="J86" i="1" s="1"/>
  <c r="M85" i="1"/>
  <c r="K85" i="1"/>
  <c r="J85" i="1" s="1"/>
  <c r="M82" i="1"/>
  <c r="L82" i="1"/>
  <c r="K82" i="1"/>
  <c r="J82" i="1"/>
  <c r="M81" i="1"/>
  <c r="K81" i="1"/>
  <c r="J81" i="1" s="1"/>
  <c r="M80" i="1"/>
  <c r="K80" i="1"/>
  <c r="J80" i="1" s="1"/>
  <c r="M79" i="1"/>
  <c r="K79" i="1"/>
  <c r="J79" i="1" s="1"/>
  <c r="M78" i="1"/>
  <c r="L78" i="1"/>
  <c r="K78" i="1"/>
  <c r="J78" i="1"/>
  <c r="M77" i="1"/>
  <c r="K77" i="1"/>
  <c r="J77" i="1" s="1"/>
  <c r="M76" i="1"/>
  <c r="K76" i="1"/>
  <c r="J76" i="1" s="1"/>
  <c r="M75" i="1"/>
  <c r="K75" i="1"/>
  <c r="J75" i="1" s="1"/>
  <c r="M74" i="1"/>
  <c r="K74" i="1"/>
  <c r="J74" i="1" s="1"/>
  <c r="M73" i="1"/>
  <c r="K73" i="1"/>
  <c r="J73" i="1" s="1"/>
  <c r="M72" i="1"/>
  <c r="K72" i="1"/>
  <c r="J72" i="1" s="1"/>
  <c r="M71" i="1"/>
  <c r="K71" i="1"/>
  <c r="J71" i="1" s="1"/>
  <c r="M70" i="1"/>
  <c r="K70" i="1"/>
  <c r="J70" i="1" s="1"/>
  <c r="M69" i="1"/>
  <c r="K69" i="1"/>
  <c r="J69" i="1" s="1"/>
  <c r="M68" i="1"/>
  <c r="K68" i="1"/>
  <c r="J68" i="1" s="1"/>
  <c r="M67" i="1"/>
  <c r="K67" i="1"/>
  <c r="J67" i="1" s="1"/>
  <c r="M66" i="1"/>
  <c r="K66" i="1"/>
  <c r="J66" i="1" s="1"/>
  <c r="K65" i="1"/>
  <c r="J65" i="1" s="1"/>
  <c r="M64" i="1"/>
  <c r="K64" i="1"/>
  <c r="J64" i="1" s="1"/>
  <c r="M63" i="1"/>
  <c r="K63" i="1"/>
  <c r="J63" i="1" s="1"/>
  <c r="M62" i="1"/>
  <c r="K62" i="1"/>
  <c r="J62" i="1" s="1"/>
  <c r="M61" i="1"/>
  <c r="K61" i="1"/>
  <c r="J61" i="1" s="1"/>
  <c r="M60" i="1"/>
  <c r="K60" i="1"/>
  <c r="J60" i="1" s="1"/>
  <c r="M59" i="1"/>
  <c r="K59" i="1"/>
  <c r="J59" i="1" s="1"/>
  <c r="M58" i="1"/>
  <c r="K58" i="1"/>
  <c r="J58" i="1" s="1"/>
  <c r="M57" i="1"/>
  <c r="K57" i="1"/>
  <c r="J57" i="1" s="1"/>
  <c r="M56" i="1"/>
  <c r="K56" i="1"/>
  <c r="J56" i="1" s="1"/>
  <c r="M55" i="1"/>
  <c r="K55" i="1"/>
  <c r="J55" i="1" s="1"/>
  <c r="M54" i="1"/>
  <c r="K54" i="1"/>
  <c r="J54" i="1" s="1"/>
  <c r="M53" i="1"/>
  <c r="K53" i="1"/>
  <c r="J53" i="1" s="1"/>
  <c r="M52" i="1"/>
  <c r="K52" i="1"/>
  <c r="J52" i="1" s="1"/>
  <c r="M51" i="1"/>
  <c r="L51" i="1"/>
  <c r="K51" i="1"/>
  <c r="J51" i="1"/>
  <c r="M50" i="1"/>
  <c r="K50" i="1"/>
  <c r="J50" i="1" s="1"/>
  <c r="M49" i="1"/>
  <c r="K49" i="1"/>
  <c r="J49" i="1" s="1"/>
  <c r="M48" i="1"/>
  <c r="K48" i="1"/>
  <c r="J48" i="1" s="1"/>
  <c r="M47" i="1"/>
  <c r="K47" i="1"/>
  <c r="J47" i="1" s="1"/>
  <c r="M46" i="1"/>
  <c r="K46" i="1"/>
  <c r="J46" i="1" s="1"/>
  <c r="M45" i="1"/>
  <c r="K45" i="1"/>
  <c r="J45" i="1" s="1"/>
  <c r="M44" i="1"/>
  <c r="K44" i="1"/>
  <c r="J44" i="1" s="1"/>
  <c r="M43" i="1"/>
  <c r="K43" i="1"/>
  <c r="J43" i="1" s="1"/>
  <c r="M42" i="1"/>
  <c r="K42" i="1"/>
  <c r="J42" i="1" s="1"/>
  <c r="M41" i="1"/>
  <c r="K41" i="1"/>
  <c r="J41" i="1" s="1"/>
  <c r="M40" i="1"/>
  <c r="K40" i="1"/>
  <c r="J40" i="1" s="1"/>
  <c r="M39" i="1"/>
  <c r="K39" i="1"/>
  <c r="J39" i="1" s="1"/>
  <c r="M38" i="1"/>
  <c r="K38" i="1"/>
  <c r="J38" i="1" s="1"/>
  <c r="M37" i="1"/>
  <c r="K37" i="1"/>
  <c r="J37" i="1" s="1"/>
  <c r="M36" i="1"/>
  <c r="K36" i="1"/>
  <c r="J36" i="1" s="1"/>
  <c r="M35" i="1"/>
  <c r="K35" i="1"/>
  <c r="J35" i="1" s="1"/>
  <c r="M34" i="1"/>
  <c r="K34" i="1"/>
  <c r="J34" i="1" s="1"/>
  <c r="M33" i="1"/>
  <c r="K33" i="1"/>
  <c r="J33" i="1" s="1"/>
  <c r="M32" i="1"/>
  <c r="K32" i="1"/>
  <c r="J32" i="1" s="1"/>
  <c r="M31" i="1"/>
  <c r="K31" i="1"/>
  <c r="J31" i="1" s="1"/>
  <c r="M30" i="1"/>
  <c r="L30" i="1"/>
  <c r="K30" i="1"/>
  <c r="J30" i="1"/>
  <c r="M29" i="1"/>
  <c r="K29" i="1"/>
  <c r="J29" i="1" s="1"/>
  <c r="M28" i="1"/>
  <c r="K28" i="1"/>
  <c r="J28" i="1" s="1"/>
  <c r="M27" i="1"/>
  <c r="K27" i="1"/>
  <c r="J27" i="1" s="1"/>
  <c r="M26" i="1"/>
  <c r="K26" i="1"/>
  <c r="J26" i="1" s="1"/>
  <c r="K25" i="1"/>
  <c r="J25" i="1" s="1"/>
  <c r="M24" i="1"/>
  <c r="K24" i="1"/>
  <c r="J24" i="1" s="1"/>
  <c r="M23" i="1"/>
  <c r="K23" i="1"/>
  <c r="J23" i="1" s="1"/>
  <c r="M22" i="1"/>
  <c r="K22" i="1"/>
  <c r="J22" i="1" s="1"/>
  <c r="M21" i="1"/>
  <c r="K21" i="1"/>
  <c r="J21" i="1" s="1"/>
  <c r="M20" i="1"/>
  <c r="K20" i="1"/>
  <c r="J20" i="1" s="1"/>
  <c r="M19" i="1"/>
  <c r="K19" i="1"/>
  <c r="J19" i="1" s="1"/>
  <c r="M18" i="1"/>
  <c r="K18" i="1"/>
  <c r="J18" i="1" s="1"/>
  <c r="J17" i="1"/>
  <c r="K16" i="1"/>
  <c r="J16" i="1" s="1"/>
  <c r="K15" i="1"/>
  <c r="J15" i="1" s="1"/>
  <c r="M13" i="1"/>
  <c r="K13" i="1"/>
  <c r="J13" i="1" s="1"/>
  <c r="M12" i="1"/>
  <c r="K12" i="1"/>
  <c r="J12" i="1" s="1"/>
  <c r="M11" i="1"/>
  <c r="K11" i="1"/>
  <c r="J11" i="1" s="1"/>
  <c r="M10" i="1"/>
  <c r="K9" i="1"/>
  <c r="J9" i="1"/>
  <c r="M8" i="1"/>
  <c r="M7" i="1"/>
  <c r="J7" i="1"/>
  <c r="M6" i="1"/>
  <c r="B117" i="1"/>
  <c r="V117" i="1" s="1"/>
  <c r="X117" i="1"/>
  <c r="AB117" i="1"/>
  <c r="B116" i="1"/>
  <c r="V116" i="1" s="1"/>
  <c r="X116" i="1"/>
  <c r="AB116" i="1"/>
  <c r="B115" i="1"/>
  <c r="V115" i="1" s="1"/>
  <c r="X115" i="1"/>
  <c r="AB115" i="1"/>
  <c r="B114" i="1"/>
  <c r="V114" i="1" s="1"/>
  <c r="B113" i="1"/>
  <c r="V113" i="1" s="1"/>
  <c r="X113" i="1"/>
  <c r="AB113" i="1"/>
  <c r="B112" i="1"/>
  <c r="V112" i="1" s="1"/>
  <c r="X112" i="1"/>
  <c r="AB112" i="1"/>
  <c r="B111" i="1"/>
  <c r="V111" i="1" s="1"/>
  <c r="X111" i="1"/>
  <c r="AB111" i="1"/>
  <c r="B110" i="1"/>
  <c r="V110" i="1" s="1"/>
  <c r="X110" i="1"/>
  <c r="AB110" i="1"/>
  <c r="B109" i="1"/>
  <c r="V109" i="1" s="1"/>
  <c r="X109" i="1"/>
  <c r="AB109" i="1"/>
  <c r="B108" i="1"/>
  <c r="V108" i="1" s="1"/>
  <c r="X108" i="1"/>
  <c r="AB108" i="1"/>
  <c r="B107" i="1"/>
  <c r="V107" i="1" s="1"/>
  <c r="X107" i="1"/>
  <c r="AB107" i="1"/>
  <c r="AB106" i="1"/>
  <c r="B103" i="1"/>
  <c r="V103" i="1" s="1"/>
  <c r="B102" i="1"/>
  <c r="V102" i="1" s="1"/>
  <c r="X102" i="1"/>
  <c r="AB102" i="1"/>
  <c r="B101" i="1"/>
  <c r="V101" i="1" s="1"/>
  <c r="X101" i="1"/>
  <c r="AB101" i="1"/>
  <c r="B100" i="1"/>
  <c r="V100" i="1" s="1"/>
  <c r="X100" i="1"/>
  <c r="AB100" i="1"/>
  <c r="B99" i="1"/>
  <c r="V99" i="1" s="1"/>
  <c r="X99" i="1"/>
  <c r="AB99" i="1"/>
  <c r="B98" i="1"/>
  <c r="V98" i="1" s="1"/>
  <c r="X98" i="1"/>
  <c r="AB98" i="1"/>
  <c r="B97" i="1"/>
  <c r="V97" i="1" s="1"/>
  <c r="X97" i="1"/>
  <c r="AB97" i="1"/>
  <c r="B96" i="1"/>
  <c r="V96" i="1" s="1"/>
  <c r="B95" i="1"/>
  <c r="V95" i="1" s="1"/>
  <c r="B94" i="1"/>
  <c r="V94" i="1" s="1"/>
  <c r="X94" i="1"/>
  <c r="AB94" i="1"/>
  <c r="B93" i="1"/>
  <c r="V93" i="1" s="1"/>
  <c r="X93" i="1"/>
  <c r="AB93" i="1"/>
  <c r="B92" i="1"/>
  <c r="V92" i="1" s="1"/>
  <c r="X92" i="1"/>
  <c r="AB92" i="1"/>
  <c r="B91" i="1"/>
  <c r="V91" i="1" s="1"/>
  <c r="X91" i="1"/>
  <c r="AB91" i="1"/>
  <c r="B90" i="1"/>
  <c r="V90" i="1" s="1"/>
  <c r="X90" i="1"/>
  <c r="AB90" i="1"/>
  <c r="B89" i="1"/>
  <c r="V89" i="1" s="1"/>
  <c r="X89" i="1"/>
  <c r="AB89" i="1"/>
  <c r="B88" i="1"/>
  <c r="V88" i="1" s="1"/>
  <c r="B87" i="1"/>
  <c r="V87" i="1" s="1"/>
  <c r="X87" i="1"/>
  <c r="AB87" i="1"/>
  <c r="B86" i="1"/>
  <c r="V86" i="1" s="1"/>
  <c r="X86" i="1"/>
  <c r="AB86" i="1"/>
  <c r="B85" i="1"/>
  <c r="V85" i="1" s="1"/>
  <c r="X85" i="1"/>
  <c r="AB85" i="1"/>
  <c r="B82" i="1"/>
  <c r="V82" i="1" s="1"/>
  <c r="B81" i="1"/>
  <c r="V81" i="1" s="1"/>
  <c r="X81" i="1"/>
  <c r="AB81" i="1"/>
  <c r="B80" i="1"/>
  <c r="V80" i="1" s="1"/>
  <c r="X80" i="1"/>
  <c r="AB80" i="1"/>
  <c r="B79" i="1"/>
  <c r="V79" i="1" s="1"/>
  <c r="X79" i="1"/>
  <c r="AB79" i="1"/>
  <c r="B78" i="1"/>
  <c r="V78" i="1" s="1"/>
  <c r="B77" i="1"/>
  <c r="V77" i="1" s="1"/>
  <c r="X77" i="1"/>
  <c r="AB77" i="1"/>
  <c r="B76" i="1"/>
  <c r="V76" i="1" s="1"/>
  <c r="X76" i="1"/>
  <c r="AB76" i="1"/>
  <c r="B75" i="1"/>
  <c r="V75" i="1" s="1"/>
  <c r="X75" i="1"/>
  <c r="AB75" i="1"/>
  <c r="B74" i="1"/>
  <c r="V74" i="1" s="1"/>
  <c r="X74" i="1"/>
  <c r="AB74" i="1"/>
  <c r="B73" i="1"/>
  <c r="V73" i="1" s="1"/>
  <c r="X73" i="1"/>
  <c r="AB73" i="1"/>
  <c r="B72" i="1"/>
  <c r="V72" i="1" s="1"/>
  <c r="X72" i="1"/>
  <c r="AB72" i="1"/>
  <c r="B71" i="1"/>
  <c r="V71" i="1" s="1"/>
  <c r="X71" i="1"/>
  <c r="AB71" i="1"/>
  <c r="B70" i="1"/>
  <c r="V70" i="1" s="1"/>
  <c r="X70" i="1"/>
  <c r="AB70" i="1"/>
  <c r="B69" i="1"/>
  <c r="V69" i="1" s="1"/>
  <c r="X69" i="1"/>
  <c r="AB69" i="1"/>
  <c r="B68" i="1"/>
  <c r="V68" i="1" s="1"/>
  <c r="X68" i="1"/>
  <c r="AB68" i="1"/>
  <c r="B67" i="1"/>
  <c r="V67" i="1" s="1"/>
  <c r="X67" i="1"/>
  <c r="AB67" i="1"/>
  <c r="B66" i="1"/>
  <c r="V66" i="1" s="1"/>
  <c r="X66" i="1"/>
  <c r="AB66" i="1"/>
  <c r="B65" i="1"/>
  <c r="V65" i="1" s="1"/>
  <c r="X65" i="1"/>
  <c r="AB65" i="1"/>
  <c r="B64" i="1"/>
  <c r="V64" i="1" s="1"/>
  <c r="X64" i="1"/>
  <c r="AB64" i="1"/>
  <c r="B63" i="1"/>
  <c r="V63" i="1" s="1"/>
  <c r="X63" i="1"/>
  <c r="AB63" i="1"/>
  <c r="B62" i="1"/>
  <c r="V62" i="1" s="1"/>
  <c r="X62" i="1"/>
  <c r="AB62" i="1"/>
  <c r="B61" i="1"/>
  <c r="V61" i="1" s="1"/>
  <c r="X61" i="1"/>
  <c r="AB61" i="1"/>
  <c r="B60" i="1"/>
  <c r="V60" i="1" s="1"/>
  <c r="X60" i="1"/>
  <c r="AB60" i="1"/>
  <c r="B59" i="1"/>
  <c r="V59" i="1" s="1"/>
  <c r="X59" i="1"/>
  <c r="AB59" i="1"/>
  <c r="B58" i="1"/>
  <c r="V58" i="1" s="1"/>
  <c r="X58" i="1"/>
  <c r="AB58" i="1"/>
  <c r="B57" i="1"/>
  <c r="V57" i="1" s="1"/>
  <c r="X57" i="1"/>
  <c r="AB57" i="1"/>
  <c r="B56" i="1"/>
  <c r="V56" i="1" s="1"/>
  <c r="X56" i="1"/>
  <c r="AB56" i="1"/>
  <c r="B55" i="1"/>
  <c r="V55" i="1" s="1"/>
  <c r="X55" i="1"/>
  <c r="AB55" i="1"/>
  <c r="B54" i="1"/>
  <c r="V54" i="1" s="1"/>
  <c r="X54" i="1"/>
  <c r="AB54" i="1"/>
  <c r="B53" i="1"/>
  <c r="V53" i="1" s="1"/>
  <c r="X53" i="1"/>
  <c r="AB53" i="1"/>
  <c r="B52" i="1"/>
  <c r="V52" i="1" s="1"/>
  <c r="X52" i="1"/>
  <c r="AB52" i="1"/>
  <c r="B51" i="1"/>
  <c r="V51" i="1" s="1"/>
  <c r="B50" i="1"/>
  <c r="V50" i="1" s="1"/>
  <c r="X50" i="1"/>
  <c r="AB50" i="1"/>
  <c r="B49" i="1"/>
  <c r="V49" i="1" s="1"/>
  <c r="X49" i="1"/>
  <c r="AB49" i="1"/>
  <c r="B48" i="1"/>
  <c r="V48" i="1" s="1"/>
  <c r="X48" i="1"/>
  <c r="AB48" i="1"/>
  <c r="B47" i="1"/>
  <c r="V47" i="1" s="1"/>
  <c r="X47" i="1"/>
  <c r="AB47" i="1"/>
  <c r="B46" i="1"/>
  <c r="V46" i="1" s="1"/>
  <c r="X46" i="1"/>
  <c r="AB46" i="1"/>
  <c r="B45" i="1"/>
  <c r="V45" i="1" s="1"/>
  <c r="X45" i="1"/>
  <c r="AB45" i="1"/>
  <c r="B44" i="1"/>
  <c r="V44" i="1" s="1"/>
  <c r="X44" i="1"/>
  <c r="AB44" i="1"/>
  <c r="B43" i="1"/>
  <c r="V43" i="1" s="1"/>
  <c r="X43" i="1"/>
  <c r="AB43" i="1"/>
  <c r="B42" i="1"/>
  <c r="V42" i="1" s="1"/>
  <c r="X42" i="1"/>
  <c r="B41" i="1"/>
  <c r="V41" i="1" s="1"/>
  <c r="X41" i="1"/>
  <c r="B40" i="1"/>
  <c r="V40" i="1" s="1"/>
  <c r="X40" i="1"/>
  <c r="B39" i="1"/>
  <c r="V39" i="1" s="1"/>
  <c r="X39" i="1"/>
  <c r="B38" i="1"/>
  <c r="V38" i="1" s="1"/>
  <c r="X38" i="1"/>
  <c r="B37" i="1"/>
  <c r="V37" i="1" s="1"/>
  <c r="X37" i="1"/>
  <c r="B36" i="1"/>
  <c r="V36" i="1" s="1"/>
  <c r="X36" i="1"/>
  <c r="B35" i="1"/>
  <c r="V35" i="1" s="1"/>
  <c r="X35" i="1"/>
  <c r="B34" i="1"/>
  <c r="V34" i="1" s="1"/>
  <c r="X34" i="1"/>
  <c r="B33" i="1"/>
  <c r="V33" i="1" s="1"/>
  <c r="X33" i="1"/>
  <c r="B32" i="1"/>
  <c r="V32" i="1" s="1"/>
  <c r="X32" i="1"/>
  <c r="B31" i="1"/>
  <c r="V31" i="1" s="1"/>
  <c r="X31" i="1"/>
  <c r="B30" i="1"/>
  <c r="V30" i="1"/>
  <c r="B29" i="1"/>
  <c r="V29" i="1" s="1"/>
  <c r="X29" i="1"/>
  <c r="B28" i="1"/>
  <c r="V28" i="1" s="1"/>
  <c r="X28" i="1"/>
  <c r="B27" i="1"/>
  <c r="V27" i="1" s="1"/>
  <c r="X27" i="1"/>
  <c r="B26" i="1"/>
  <c r="V26" i="1" s="1"/>
  <c r="X26" i="1"/>
  <c r="B24" i="1"/>
  <c r="V24" i="1" s="1"/>
  <c r="X24" i="1"/>
  <c r="B23" i="1"/>
  <c r="V23" i="1" s="1"/>
  <c r="X23" i="1"/>
  <c r="B22" i="1"/>
  <c r="V22" i="1" s="1"/>
  <c r="X22" i="1"/>
  <c r="B21" i="1"/>
  <c r="V21" i="1" s="1"/>
  <c r="X21" i="1"/>
  <c r="B20" i="1"/>
  <c r="V20" i="1" s="1"/>
  <c r="X20" i="1"/>
  <c r="B19" i="1"/>
  <c r="V19" i="1" s="1"/>
  <c r="X19" i="1"/>
  <c r="B18" i="1"/>
  <c r="V18" i="1" s="1"/>
  <c r="X18" i="1"/>
  <c r="B17" i="1"/>
  <c r="V17" i="1" s="1"/>
  <c r="P17" i="1" s="1"/>
  <c r="X17" i="1"/>
  <c r="B16" i="1"/>
  <c r="V16" i="1" s="1"/>
  <c r="X16" i="1"/>
  <c r="B15" i="1"/>
  <c r="V15" i="1" s="1"/>
  <c r="X15" i="1"/>
  <c r="B14" i="1"/>
  <c r="V14" i="1" s="1"/>
  <c r="B13" i="1"/>
  <c r="V13" i="1" s="1"/>
  <c r="R13" i="1" s="1"/>
  <c r="X13" i="1"/>
  <c r="AB13" i="1"/>
  <c r="B12" i="1"/>
  <c r="V12" i="1" s="1"/>
  <c r="R12" i="1" s="1"/>
  <c r="X12" i="1"/>
  <c r="AB12" i="1"/>
  <c r="B11" i="1"/>
  <c r="V11" i="1" s="1"/>
  <c r="R11" i="1" s="1"/>
  <c r="X11" i="1"/>
  <c r="AB11" i="1"/>
  <c r="B10" i="1"/>
  <c r="V10" i="1" s="1"/>
  <c r="R10" i="1" s="1"/>
  <c r="X10" i="1"/>
  <c r="AB10" i="1"/>
  <c r="B9" i="1"/>
  <c r="V9" i="1" s="1"/>
  <c r="B8" i="1"/>
  <c r="V8" i="1" s="1"/>
  <c r="R8" i="1" s="1"/>
  <c r="X8" i="1"/>
  <c r="B7" i="1"/>
  <c r="V7" i="1" s="1"/>
  <c r="R7" i="1" s="1"/>
  <c r="X7" i="1"/>
  <c r="B6" i="1"/>
  <c r="V6" i="1" s="1"/>
  <c r="R6" i="1" s="1"/>
  <c r="X6" i="1"/>
  <c r="K16" i="4"/>
  <c r="K15" i="4"/>
  <c r="K14" i="4"/>
  <c r="K13" i="4"/>
  <c r="K12" i="4"/>
  <c r="K11" i="4"/>
  <c r="K10" i="4"/>
  <c r="K6" i="4"/>
  <c r="G42" i="2"/>
  <c r="G41" i="2"/>
  <c r="G40" i="2"/>
  <c r="G39" i="2"/>
  <c r="G38" i="2"/>
  <c r="G37" i="2"/>
  <c r="G36" i="2"/>
  <c r="G35" i="2"/>
  <c r="G34" i="2"/>
  <c r="G33" i="2"/>
  <c r="G32" i="2"/>
  <c r="G31" i="2"/>
  <c r="D42" i="2"/>
  <c r="D41" i="2"/>
  <c r="D40" i="2"/>
  <c r="D39" i="2"/>
  <c r="D38" i="2"/>
  <c r="D37" i="2"/>
  <c r="D36" i="2"/>
  <c r="D35" i="2"/>
  <c r="D34" i="2"/>
  <c r="D33" i="2"/>
  <c r="D32" i="2"/>
  <c r="D31" i="2"/>
  <c r="G20" i="2"/>
  <c r="G19" i="2"/>
  <c r="G18" i="2"/>
  <c r="G17" i="2"/>
  <c r="G16" i="2"/>
  <c r="G15" i="2"/>
  <c r="G14" i="2"/>
  <c r="G13" i="2"/>
  <c r="G12" i="2"/>
  <c r="G11" i="2"/>
  <c r="G10" i="2"/>
  <c r="G9" i="2"/>
  <c r="D19" i="2"/>
  <c r="D18" i="2"/>
  <c r="D17" i="2"/>
  <c r="D16" i="2"/>
  <c r="D15" i="2"/>
  <c r="D14" i="2"/>
  <c r="D13" i="2"/>
  <c r="D12" i="2"/>
  <c r="D11" i="2"/>
  <c r="D10" i="2"/>
  <c r="D9" i="2"/>
  <c r="T43" i="2"/>
  <c r="S43" i="2"/>
  <c r="T42" i="2"/>
  <c r="S42" i="2"/>
  <c r="K42" i="2"/>
  <c r="I42" i="2"/>
  <c r="T41" i="2"/>
  <c r="S41" i="2"/>
  <c r="K41" i="2"/>
  <c r="L41" i="2"/>
  <c r="I41" i="2"/>
  <c r="J41" i="2"/>
  <c r="T40" i="2"/>
  <c r="S40" i="2"/>
  <c r="K40" i="2"/>
  <c r="I40" i="2"/>
  <c r="J40" i="2"/>
  <c r="T39" i="2"/>
  <c r="S39" i="2"/>
  <c r="K39" i="2"/>
  <c r="I39" i="2"/>
  <c r="J39" i="2"/>
  <c r="T38" i="2"/>
  <c r="S38" i="2"/>
  <c r="K38" i="2"/>
  <c r="I38" i="2"/>
  <c r="J38" i="2"/>
  <c r="T37" i="2"/>
  <c r="S37" i="2"/>
  <c r="K37" i="2"/>
  <c r="I37" i="2"/>
  <c r="J37" i="2"/>
  <c r="T36" i="2"/>
  <c r="S36" i="2"/>
  <c r="K36" i="2"/>
  <c r="I36" i="2"/>
  <c r="J36" i="2"/>
  <c r="T35" i="2"/>
  <c r="S35" i="2"/>
  <c r="K35" i="2"/>
  <c r="I35" i="2"/>
  <c r="J35" i="2"/>
  <c r="B35" i="2"/>
  <c r="B36" i="2"/>
  <c r="B37" i="2"/>
  <c r="B38" i="2"/>
  <c r="B39" i="2"/>
  <c r="B40" i="2"/>
  <c r="B41" i="2"/>
  <c r="B42" i="2"/>
  <c r="T34" i="2"/>
  <c r="S34" i="2"/>
  <c r="K34" i="2"/>
  <c r="I34" i="2"/>
  <c r="J34" i="2"/>
  <c r="T33" i="2"/>
  <c r="S33" i="2"/>
  <c r="K33" i="2"/>
  <c r="I33" i="2"/>
  <c r="J33" i="2"/>
  <c r="T32" i="2"/>
  <c r="S32" i="2"/>
  <c r="N32" i="2"/>
  <c r="N33" i="2"/>
  <c r="N34" i="2"/>
  <c r="N35" i="2"/>
  <c r="N36" i="2"/>
  <c r="N37" i="2"/>
  <c r="N38" i="2"/>
  <c r="N39" i="2"/>
  <c r="N40" i="2"/>
  <c r="N41" i="2"/>
  <c r="N42" i="2"/>
  <c r="K32" i="2"/>
  <c r="I32" i="2"/>
  <c r="J32" i="2"/>
  <c r="T31" i="2"/>
  <c r="S31" i="2"/>
  <c r="K31" i="2"/>
  <c r="I31" i="2"/>
  <c r="J31" i="2"/>
  <c r="T30" i="2"/>
  <c r="S30" i="2"/>
  <c r="R30" i="2"/>
  <c r="Q30" i="2"/>
  <c r="P30" i="2"/>
  <c r="O30" i="2"/>
  <c r="K30" i="2"/>
  <c r="I30" i="2"/>
  <c r="T27" i="2"/>
  <c r="S27" i="2"/>
  <c r="Q27" i="2"/>
  <c r="R27" i="2"/>
  <c r="O27" i="2"/>
  <c r="P27" i="2"/>
  <c r="S26" i="2"/>
  <c r="Q26" i="2"/>
  <c r="R26" i="2"/>
  <c r="O26" i="2"/>
  <c r="P26" i="2"/>
  <c r="T21" i="2"/>
  <c r="S21" i="2"/>
  <c r="T20" i="2"/>
  <c r="S20" i="2"/>
  <c r="K20" i="2"/>
  <c r="L20" i="2"/>
  <c r="I20" i="2"/>
  <c r="J20" i="2"/>
  <c r="T19" i="2"/>
  <c r="S19" i="2"/>
  <c r="K19" i="2"/>
  <c r="L19" i="2"/>
  <c r="I19" i="2"/>
  <c r="J19" i="2"/>
  <c r="T18" i="2"/>
  <c r="S18" i="2"/>
  <c r="K18" i="2"/>
  <c r="I18" i="2"/>
  <c r="J18" i="2"/>
  <c r="T17" i="2"/>
  <c r="S17" i="2"/>
  <c r="K17" i="2"/>
  <c r="I17" i="2"/>
  <c r="J17" i="2"/>
  <c r="T16" i="2"/>
  <c r="S16" i="2"/>
  <c r="K16" i="2"/>
  <c r="I16" i="2"/>
  <c r="J16" i="2"/>
  <c r="T15" i="2"/>
  <c r="S15" i="2"/>
  <c r="K15" i="2"/>
  <c r="I15" i="2"/>
  <c r="J15" i="2"/>
  <c r="T14" i="2"/>
  <c r="S14" i="2"/>
  <c r="K14" i="2"/>
  <c r="I14" i="2"/>
  <c r="J14" i="2"/>
  <c r="T13" i="2"/>
  <c r="S13" i="2"/>
  <c r="K13" i="2"/>
  <c r="I13" i="2"/>
  <c r="J13" i="2"/>
  <c r="B13" i="2"/>
  <c r="B14" i="2"/>
  <c r="B15" i="2"/>
  <c r="B16" i="2"/>
  <c r="B17" i="2"/>
  <c r="B18" i="2"/>
  <c r="B19" i="2"/>
  <c r="B20" i="2"/>
  <c r="T12" i="2"/>
  <c r="S12" i="2"/>
  <c r="K12" i="2"/>
  <c r="I12" i="2"/>
  <c r="J12" i="2"/>
  <c r="T11" i="2"/>
  <c r="S11" i="2"/>
  <c r="K11" i="2"/>
  <c r="I11" i="2"/>
  <c r="J11" i="2"/>
  <c r="T10" i="2"/>
  <c r="S10" i="2"/>
  <c r="N10" i="2"/>
  <c r="N11" i="2"/>
  <c r="N12" i="2"/>
  <c r="N13" i="2"/>
  <c r="N14" i="2"/>
  <c r="N15" i="2"/>
  <c r="N16" i="2"/>
  <c r="N17" i="2"/>
  <c r="N18" i="2"/>
  <c r="N19" i="2"/>
  <c r="N20" i="2"/>
  <c r="K10" i="2"/>
  <c r="I10" i="2"/>
  <c r="J10" i="2"/>
  <c r="T9" i="2"/>
  <c r="S9" i="2"/>
  <c r="K9" i="2"/>
  <c r="I9" i="2"/>
  <c r="J9" i="2"/>
  <c r="T8" i="2"/>
  <c r="S8" i="2"/>
  <c r="R8" i="2"/>
  <c r="Q8" i="2"/>
  <c r="P8" i="2"/>
  <c r="O8" i="2"/>
  <c r="K8" i="2"/>
  <c r="I8" i="2"/>
  <c r="T5" i="2"/>
  <c r="S5" i="2"/>
  <c r="Q5" i="2"/>
  <c r="R5" i="2"/>
  <c r="O5" i="2"/>
  <c r="P5" i="2"/>
  <c r="S4" i="2"/>
  <c r="Q4" i="2"/>
  <c r="R4" i="2"/>
  <c r="O4" i="2"/>
  <c r="P4" i="2"/>
  <c r="K7" i="4"/>
  <c r="O126" i="1"/>
  <c r="K3" i="4"/>
  <c r="AF125" i="1"/>
  <c r="AC125" i="1"/>
  <c r="AE125" i="1"/>
  <c r="AB125" i="1"/>
  <c r="X125" i="1"/>
  <c r="AA125" i="1"/>
  <c r="U125" i="1"/>
  <c r="M125" i="1"/>
  <c r="J16" i="4"/>
  <c r="I125" i="1"/>
  <c r="G16" i="4"/>
  <c r="AF124" i="1"/>
  <c r="AC124" i="1"/>
  <c r="AE124" i="1"/>
  <c r="AB124" i="1"/>
  <c r="X124" i="1"/>
  <c r="AA124" i="1"/>
  <c r="U124" i="1"/>
  <c r="M124" i="1"/>
  <c r="J15" i="4"/>
  <c r="I124" i="1"/>
  <c r="G15" i="4"/>
  <c r="AF123" i="1"/>
  <c r="AC123" i="1"/>
  <c r="AE123" i="1"/>
  <c r="AB123" i="1"/>
  <c r="X123" i="1"/>
  <c r="AA123" i="1"/>
  <c r="U123" i="1"/>
  <c r="AF122" i="1"/>
  <c r="AC122" i="1"/>
  <c r="AE122" i="1"/>
  <c r="AB122" i="1"/>
  <c r="X122" i="1"/>
  <c r="AA122" i="1"/>
  <c r="U122" i="1"/>
  <c r="M122" i="1"/>
  <c r="J13" i="4"/>
  <c r="I122" i="1"/>
  <c r="G13" i="4"/>
  <c r="AF121" i="1"/>
  <c r="AC121" i="1"/>
  <c r="AE121" i="1"/>
  <c r="AB121" i="1"/>
  <c r="X121" i="1"/>
  <c r="AA121" i="1"/>
  <c r="U121" i="1"/>
  <c r="AF120" i="1"/>
  <c r="AC120" i="1"/>
  <c r="AE120" i="1"/>
  <c r="AB120" i="1"/>
  <c r="X120" i="1"/>
  <c r="AA120" i="1"/>
  <c r="U120" i="1"/>
  <c r="AF119" i="1"/>
  <c r="AF126" i="1"/>
  <c r="AC119" i="1"/>
  <c r="AB119" i="1"/>
  <c r="AB126" i="1"/>
  <c r="G6" i="4"/>
  <c r="X119" i="1"/>
  <c r="M120" i="1"/>
  <c r="J11" i="4"/>
  <c r="M123" i="1"/>
  <c r="J14" i="4"/>
  <c r="M121" i="1"/>
  <c r="J12" i="4"/>
  <c r="M119" i="1"/>
  <c r="J10" i="4"/>
  <c r="O104" i="1"/>
  <c r="O105" i="1"/>
  <c r="P84" i="1"/>
  <c r="P83" i="1"/>
  <c r="P6" i="1"/>
  <c r="P7" i="1"/>
  <c r="P8" i="1"/>
  <c r="P10" i="1"/>
  <c r="P11" i="1"/>
  <c r="P12" i="1"/>
  <c r="P13" i="1"/>
  <c r="O13" i="1" s="1"/>
  <c r="P15" i="1"/>
  <c r="P16" i="1"/>
  <c r="P18" i="1"/>
  <c r="O18" i="1" s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O6" i="1"/>
  <c r="O7" i="1"/>
  <c r="O8" i="1"/>
  <c r="O10" i="1"/>
  <c r="I4" i="12" s="1"/>
  <c r="O11" i="1"/>
  <c r="I5" i="12" s="1"/>
  <c r="O12" i="1"/>
  <c r="I6" i="12" s="1"/>
  <c r="O15" i="1"/>
  <c r="L4" i="13" s="1"/>
  <c r="O16" i="1"/>
  <c r="L5" i="13" s="1"/>
  <c r="O17" i="1"/>
  <c r="L6" i="13" s="1"/>
  <c r="O19" i="1"/>
  <c r="O20" i="1"/>
  <c r="O21" i="1"/>
  <c r="O22" i="1"/>
  <c r="N4" i="14" s="1"/>
  <c r="O23" i="1"/>
  <c r="N5" i="14" s="1"/>
  <c r="O24" i="1"/>
  <c r="N6" i="14" s="1"/>
  <c r="O25" i="1"/>
  <c r="O26" i="1"/>
  <c r="O27" i="1"/>
  <c r="O28" i="1"/>
  <c r="O29" i="1"/>
  <c r="O31" i="1"/>
  <c r="N4" i="17" s="1"/>
  <c r="O32" i="1"/>
  <c r="N5" i="17" s="1"/>
  <c r="O33" i="1"/>
  <c r="N6" i="17" s="1"/>
  <c r="O34" i="1"/>
  <c r="N4" i="18" s="1"/>
  <c r="O35" i="1"/>
  <c r="N5" i="18" s="1"/>
  <c r="O36" i="1"/>
  <c r="N6" i="18" s="1"/>
  <c r="O37" i="1"/>
  <c r="N7" i="18" s="1"/>
  <c r="O38" i="1"/>
  <c r="N4" i="19" s="1"/>
  <c r="O39" i="1"/>
  <c r="N5" i="19" s="1"/>
  <c r="O40" i="1"/>
  <c r="N6" i="19" s="1"/>
  <c r="O41" i="1"/>
  <c r="O42" i="1"/>
  <c r="O43" i="1"/>
  <c r="N4" i="20" s="1"/>
  <c r="O44" i="1"/>
  <c r="N5" i="20" s="1"/>
  <c r="O45" i="1"/>
  <c r="N6" i="20" s="1"/>
  <c r="O46" i="1"/>
  <c r="N7" i="20" s="1"/>
  <c r="O47" i="1"/>
  <c r="N8" i="20" s="1"/>
  <c r="O48" i="1"/>
  <c r="N9" i="20" s="1"/>
  <c r="O49" i="1"/>
  <c r="O50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9" i="1"/>
  <c r="O80" i="1"/>
  <c r="O81" i="1"/>
  <c r="O85" i="1"/>
  <c r="O86" i="1"/>
  <c r="O87" i="1"/>
  <c r="O89" i="1"/>
  <c r="O90" i="1"/>
  <c r="O91" i="1"/>
  <c r="O92" i="1"/>
  <c r="O93" i="1"/>
  <c r="O94" i="1"/>
  <c r="O97" i="1"/>
  <c r="O98" i="1"/>
  <c r="O99" i="1"/>
  <c r="O100" i="1"/>
  <c r="O101" i="1"/>
  <c r="O102" i="1"/>
  <c r="O106" i="1"/>
  <c r="O107" i="1"/>
  <c r="O108" i="1"/>
  <c r="O109" i="1"/>
  <c r="O110" i="1"/>
  <c r="O111" i="1"/>
  <c r="O112" i="1"/>
  <c r="O113" i="1"/>
  <c r="O115" i="1"/>
  <c r="O116" i="1"/>
  <c r="O117" i="1"/>
  <c r="P9" i="1"/>
  <c r="L42" i="2"/>
  <c r="AB41" i="1"/>
  <c r="AB42" i="1"/>
  <c r="I119" i="1"/>
  <c r="G10" i="4"/>
  <c r="I121" i="1"/>
  <c r="G12" i="4"/>
  <c r="I123" i="1"/>
  <c r="G14" i="4"/>
  <c r="I120" i="1"/>
  <c r="G11" i="4"/>
  <c r="L10" i="2"/>
  <c r="U10" i="2"/>
  <c r="L11" i="2"/>
  <c r="U11" i="2"/>
  <c r="L12" i="2"/>
  <c r="U12" i="2"/>
  <c r="L13" i="2"/>
  <c r="U13" i="2"/>
  <c r="L14" i="2"/>
  <c r="U14" i="2"/>
  <c r="L15" i="2"/>
  <c r="U15" i="2"/>
  <c r="L16" i="2"/>
  <c r="U16" i="2"/>
  <c r="L17" i="2"/>
  <c r="U17" i="2"/>
  <c r="L18" i="2"/>
  <c r="U18" i="2"/>
  <c r="U19" i="2"/>
  <c r="U20" i="2"/>
  <c r="U21" i="2"/>
  <c r="L32" i="2"/>
  <c r="U32" i="2"/>
  <c r="L33" i="2"/>
  <c r="U33" i="2"/>
  <c r="L34" i="2"/>
  <c r="U34" i="2"/>
  <c r="L35" i="2"/>
  <c r="U35" i="2"/>
  <c r="L36" i="2"/>
  <c r="U36" i="2"/>
  <c r="L37" i="2"/>
  <c r="U37" i="2"/>
  <c r="L38" i="2"/>
  <c r="U38" i="2"/>
  <c r="L39" i="2"/>
  <c r="U39" i="2"/>
  <c r="L40" i="2"/>
  <c r="U40" i="2"/>
  <c r="U41" i="2"/>
  <c r="U42" i="2"/>
  <c r="U43" i="2"/>
  <c r="I126" i="1"/>
  <c r="AG119" i="1"/>
  <c r="J119" i="1"/>
  <c r="H10" i="4"/>
  <c r="M126" i="1"/>
  <c r="J3" i="4"/>
  <c r="AH119" i="1"/>
  <c r="Q119" i="1"/>
  <c r="L10" i="4"/>
  <c r="G7" i="4"/>
  <c r="U119" i="1"/>
  <c r="U126" i="1"/>
  <c r="H7" i="4"/>
  <c r="X126" i="1"/>
  <c r="J7" i="4"/>
  <c r="AA119" i="1"/>
  <c r="AC126" i="1"/>
  <c r="J6" i="4"/>
  <c r="AE119" i="1"/>
  <c r="AG120" i="1"/>
  <c r="J120" i="1"/>
  <c r="AH120" i="1"/>
  <c r="Q120" i="1"/>
  <c r="L11" i="4"/>
  <c r="AG121" i="1"/>
  <c r="J121" i="1"/>
  <c r="AH121" i="1"/>
  <c r="Q121" i="1"/>
  <c r="L12" i="4"/>
  <c r="AG122" i="1"/>
  <c r="J122" i="1"/>
  <c r="AH122" i="1"/>
  <c r="Q122" i="1"/>
  <c r="L13" i="4"/>
  <c r="AG123" i="1"/>
  <c r="J123" i="1"/>
  <c r="AH123" i="1"/>
  <c r="Q123" i="1"/>
  <c r="L14" i="4"/>
  <c r="AG124" i="1"/>
  <c r="J124" i="1"/>
  <c r="AH124" i="1"/>
  <c r="Q124" i="1"/>
  <c r="L15" i="4"/>
  <c r="AG125" i="1"/>
  <c r="J125" i="1"/>
  <c r="AH125" i="1"/>
  <c r="Q125" i="1"/>
  <c r="L16" i="4"/>
  <c r="AB8" i="1"/>
  <c r="AB7" i="1"/>
  <c r="AB6" i="1"/>
  <c r="O83" i="1"/>
  <c r="O84" i="1"/>
  <c r="I16" i="4"/>
  <c r="H16" i="4"/>
  <c r="I15" i="4"/>
  <c r="H15" i="4"/>
  <c r="I14" i="4"/>
  <c r="H14" i="4"/>
  <c r="I13" i="4"/>
  <c r="H13" i="4"/>
  <c r="I12" i="4"/>
  <c r="H12" i="4"/>
  <c r="I11" i="4"/>
  <c r="H11" i="4"/>
  <c r="AG126" i="1"/>
  <c r="G3" i="4"/>
  <c r="AE127" i="1"/>
  <c r="AE126" i="1"/>
  <c r="L6" i="4"/>
  <c r="AA126" i="1"/>
  <c r="L7" i="4"/>
  <c r="AH126" i="1"/>
  <c r="Q126" i="1"/>
  <c r="L3" i="4"/>
  <c r="J126" i="1"/>
  <c r="H3" i="4"/>
  <c r="I3" i="4"/>
  <c r="I10" i="4"/>
  <c r="L8" i="14" l="1"/>
  <c r="L10" i="14"/>
  <c r="K10" i="16"/>
  <c r="K9" i="16"/>
  <c r="J10" i="16"/>
  <c r="J9" i="16"/>
  <c r="L7" i="24"/>
  <c r="K7" i="24"/>
  <c r="J7" i="24"/>
  <c r="I7" i="24"/>
  <c r="H7" i="24"/>
  <c r="G7" i="24"/>
  <c r="F7" i="24"/>
  <c r="E7" i="24"/>
  <c r="D7" i="24"/>
  <c r="C7" i="24"/>
  <c r="B7" i="24"/>
  <c r="B10" i="24" s="1"/>
  <c r="Q20" i="1"/>
  <c r="W20" i="1" s="1"/>
  <c r="I10" i="16"/>
  <c r="I9" i="16"/>
  <c r="J8" i="13"/>
  <c r="C10" i="13"/>
  <c r="C8" i="13"/>
  <c r="D10" i="13"/>
  <c r="D8" i="13"/>
  <c r="E10" i="13"/>
  <c r="E8" i="13"/>
  <c r="F10" i="13"/>
  <c r="F8" i="13"/>
  <c r="G10" i="13"/>
  <c r="G8" i="13"/>
  <c r="H10" i="13"/>
  <c r="H8" i="13"/>
  <c r="I10" i="13"/>
  <c r="I8" i="13"/>
  <c r="F10" i="14"/>
  <c r="F8" i="14"/>
  <c r="G10" i="14"/>
  <c r="G8" i="14"/>
  <c r="H10" i="14"/>
  <c r="H8" i="14"/>
  <c r="I8" i="14"/>
  <c r="J8" i="14"/>
  <c r="K8" i="14"/>
  <c r="B10" i="14"/>
  <c r="C10" i="14"/>
  <c r="C8" i="14"/>
  <c r="D10" i="14"/>
  <c r="D8" i="14"/>
  <c r="E10" i="14"/>
  <c r="E8" i="14"/>
  <c r="D10" i="16"/>
  <c r="E10" i="16"/>
  <c r="E9" i="16"/>
  <c r="E8" i="16"/>
  <c r="F10" i="16"/>
  <c r="F9" i="16"/>
  <c r="F8" i="16"/>
  <c r="G10" i="16"/>
  <c r="G9" i="16"/>
  <c r="G8" i="16"/>
  <c r="H10" i="16"/>
  <c r="H9" i="16"/>
  <c r="H8" i="16"/>
  <c r="I8" i="16"/>
  <c r="J8" i="16"/>
  <c r="K8" i="16"/>
  <c r="L8" i="16"/>
  <c r="C11" i="18"/>
  <c r="D11" i="18"/>
  <c r="E11" i="18"/>
  <c r="F11" i="18"/>
  <c r="G11" i="18"/>
  <c r="H11" i="18"/>
  <c r="I11" i="18"/>
  <c r="J11" i="18"/>
  <c r="K11" i="18"/>
  <c r="L11" i="18"/>
  <c r="C13" i="20"/>
  <c r="D13" i="20"/>
  <c r="E13" i="20"/>
  <c r="F13" i="20"/>
  <c r="G13" i="20"/>
  <c r="H13" i="20"/>
  <c r="I13" i="20"/>
  <c r="J13" i="20"/>
  <c r="K13" i="20"/>
  <c r="L13" i="20"/>
  <c r="C12" i="19"/>
  <c r="D10" i="19"/>
  <c r="E10" i="19"/>
  <c r="F10" i="19"/>
  <c r="G10" i="19"/>
  <c r="H10" i="19"/>
  <c r="I10" i="19"/>
  <c r="J10" i="19"/>
  <c r="K10" i="19"/>
  <c r="L10" i="19"/>
  <c r="Q104" i="1"/>
  <c r="W104" i="1" s="1"/>
  <c r="R104" i="1"/>
  <c r="Q105" i="1"/>
  <c r="W105" i="1" s="1"/>
  <c r="R105" i="1"/>
  <c r="Q9" i="1"/>
  <c r="W9" i="1" s="1"/>
  <c r="R9" i="1"/>
  <c r="Q14" i="1"/>
  <c r="W14" i="1" s="1"/>
  <c r="R14" i="1"/>
  <c r="Q30" i="1"/>
  <c r="W30" i="1" s="1"/>
  <c r="R30" i="1"/>
  <c r="Q41" i="1"/>
  <c r="W41" i="1" s="1"/>
  <c r="R41" i="1"/>
  <c r="Q42" i="1"/>
  <c r="W42" i="1" s="1"/>
  <c r="R42" i="1"/>
  <c r="Q43" i="1"/>
  <c r="W43" i="1" s="1"/>
  <c r="R43" i="1"/>
  <c r="Q44" i="1"/>
  <c r="W44" i="1" s="1"/>
  <c r="R44" i="1"/>
  <c r="Q45" i="1"/>
  <c r="W45" i="1" s="1"/>
  <c r="R45" i="1"/>
  <c r="Q46" i="1"/>
  <c r="W46" i="1" s="1"/>
  <c r="R46" i="1"/>
  <c r="Q47" i="1"/>
  <c r="W47" i="1" s="1"/>
  <c r="R47" i="1"/>
  <c r="Q48" i="1"/>
  <c r="W48" i="1" s="1"/>
  <c r="R48" i="1"/>
  <c r="Q49" i="1"/>
  <c r="W49" i="1" s="1"/>
  <c r="R49" i="1"/>
  <c r="Q50" i="1"/>
  <c r="W50" i="1" s="1"/>
  <c r="R50" i="1"/>
  <c r="Q51" i="1"/>
  <c r="W51" i="1" s="1"/>
  <c r="R51" i="1"/>
  <c r="Q52" i="1"/>
  <c r="W52" i="1" s="1"/>
  <c r="R52" i="1"/>
  <c r="Q53" i="1"/>
  <c r="W53" i="1" s="1"/>
  <c r="R53" i="1"/>
  <c r="Q54" i="1"/>
  <c r="W54" i="1" s="1"/>
  <c r="R54" i="1"/>
  <c r="Q55" i="1"/>
  <c r="W55" i="1" s="1"/>
  <c r="R55" i="1"/>
  <c r="Q56" i="1"/>
  <c r="W56" i="1" s="1"/>
  <c r="R56" i="1"/>
  <c r="Q57" i="1"/>
  <c r="W57" i="1" s="1"/>
  <c r="R57" i="1"/>
  <c r="Q58" i="1"/>
  <c r="W58" i="1" s="1"/>
  <c r="R58" i="1"/>
  <c r="Q59" i="1"/>
  <c r="W59" i="1" s="1"/>
  <c r="R59" i="1"/>
  <c r="Q60" i="1"/>
  <c r="W60" i="1" s="1"/>
  <c r="R60" i="1"/>
  <c r="Q61" i="1"/>
  <c r="W61" i="1" s="1"/>
  <c r="R61" i="1"/>
  <c r="Q62" i="1"/>
  <c r="W62" i="1" s="1"/>
  <c r="R62" i="1"/>
  <c r="Q63" i="1"/>
  <c r="W63" i="1" s="1"/>
  <c r="R63" i="1"/>
  <c r="Q64" i="1"/>
  <c r="W64" i="1" s="1"/>
  <c r="R64" i="1"/>
  <c r="Q65" i="1"/>
  <c r="W65" i="1" s="1"/>
  <c r="R65" i="1"/>
  <c r="Q66" i="1"/>
  <c r="W66" i="1" s="1"/>
  <c r="R66" i="1"/>
  <c r="Q67" i="1"/>
  <c r="W67" i="1" s="1"/>
  <c r="R67" i="1"/>
  <c r="Q68" i="1"/>
  <c r="W68" i="1" s="1"/>
  <c r="R68" i="1"/>
  <c r="Q69" i="1"/>
  <c r="W69" i="1" s="1"/>
  <c r="R69" i="1"/>
  <c r="Q70" i="1"/>
  <c r="W70" i="1" s="1"/>
  <c r="R70" i="1"/>
  <c r="Q71" i="1"/>
  <c r="W71" i="1" s="1"/>
  <c r="R71" i="1"/>
  <c r="Q72" i="1"/>
  <c r="W72" i="1" s="1"/>
  <c r="R72" i="1"/>
  <c r="Q73" i="1"/>
  <c r="W73" i="1" s="1"/>
  <c r="R73" i="1"/>
  <c r="Q74" i="1"/>
  <c r="W74" i="1" s="1"/>
  <c r="R74" i="1"/>
  <c r="Q75" i="1"/>
  <c r="W75" i="1" s="1"/>
  <c r="R75" i="1"/>
  <c r="Q76" i="1"/>
  <c r="W76" i="1" s="1"/>
  <c r="R76" i="1"/>
  <c r="Q77" i="1"/>
  <c r="W77" i="1" s="1"/>
  <c r="R77" i="1"/>
  <c r="Q78" i="1"/>
  <c r="W78" i="1" s="1"/>
  <c r="R78" i="1"/>
  <c r="Q79" i="1"/>
  <c r="W79" i="1" s="1"/>
  <c r="R79" i="1"/>
  <c r="Q80" i="1"/>
  <c r="W80" i="1" s="1"/>
  <c r="R80" i="1"/>
  <c r="Q81" i="1"/>
  <c r="W81" i="1" s="1"/>
  <c r="R81" i="1"/>
  <c r="Q82" i="1"/>
  <c r="W82" i="1" s="1"/>
  <c r="R82" i="1"/>
  <c r="Q85" i="1"/>
  <c r="W85" i="1" s="1"/>
  <c r="R85" i="1"/>
  <c r="Q86" i="1"/>
  <c r="W86" i="1" s="1"/>
  <c r="R86" i="1"/>
  <c r="Q87" i="1"/>
  <c r="W87" i="1" s="1"/>
  <c r="R87" i="1"/>
  <c r="Q88" i="1"/>
  <c r="W88" i="1" s="1"/>
  <c r="R88" i="1"/>
  <c r="Q89" i="1"/>
  <c r="W89" i="1" s="1"/>
  <c r="R89" i="1"/>
  <c r="Q90" i="1"/>
  <c r="W90" i="1" s="1"/>
  <c r="R90" i="1"/>
  <c r="Q91" i="1"/>
  <c r="W91" i="1" s="1"/>
  <c r="R91" i="1"/>
  <c r="Q92" i="1"/>
  <c r="W92" i="1" s="1"/>
  <c r="R92" i="1"/>
  <c r="Q93" i="1"/>
  <c r="W93" i="1" s="1"/>
  <c r="R93" i="1"/>
  <c r="Q94" i="1"/>
  <c r="W94" i="1" s="1"/>
  <c r="R94" i="1"/>
  <c r="Q95" i="1"/>
  <c r="W95" i="1" s="1"/>
  <c r="R95" i="1"/>
  <c r="Q96" i="1"/>
  <c r="W96" i="1" s="1"/>
  <c r="R96" i="1"/>
  <c r="Q97" i="1"/>
  <c r="W97" i="1" s="1"/>
  <c r="R97" i="1"/>
  <c r="Q98" i="1"/>
  <c r="W98" i="1" s="1"/>
  <c r="R98" i="1"/>
  <c r="Q99" i="1"/>
  <c r="W99" i="1" s="1"/>
  <c r="R99" i="1"/>
  <c r="Q100" i="1"/>
  <c r="W100" i="1" s="1"/>
  <c r="R100" i="1"/>
  <c r="Q101" i="1"/>
  <c r="W101" i="1" s="1"/>
  <c r="R101" i="1"/>
  <c r="Q102" i="1"/>
  <c r="W102" i="1" s="1"/>
  <c r="R102" i="1"/>
  <c r="Q103" i="1"/>
  <c r="W103" i="1" s="1"/>
  <c r="R103" i="1"/>
  <c r="Q107" i="1"/>
  <c r="W107" i="1" s="1"/>
  <c r="R107" i="1"/>
  <c r="Q108" i="1"/>
  <c r="W108" i="1" s="1"/>
  <c r="R108" i="1"/>
  <c r="Q109" i="1"/>
  <c r="W109" i="1" s="1"/>
  <c r="R109" i="1"/>
  <c r="Q110" i="1"/>
  <c r="W110" i="1" s="1"/>
  <c r="R110" i="1"/>
  <c r="Q111" i="1"/>
  <c r="W111" i="1" s="1"/>
  <c r="R111" i="1"/>
  <c r="Q112" i="1"/>
  <c r="W112" i="1" s="1"/>
  <c r="R112" i="1"/>
  <c r="Q113" i="1"/>
  <c r="W113" i="1" s="1"/>
  <c r="R113" i="1"/>
  <c r="Q114" i="1"/>
  <c r="W114" i="1" s="1"/>
  <c r="R114" i="1"/>
  <c r="Q115" i="1"/>
  <c r="W115" i="1" s="1"/>
  <c r="R115" i="1"/>
  <c r="Q116" i="1"/>
  <c r="W116" i="1" s="1"/>
  <c r="R116" i="1"/>
  <c r="Q117" i="1"/>
  <c r="W117" i="1" s="1"/>
  <c r="R117" i="1"/>
  <c r="Q84" i="1"/>
  <c r="W84" i="1" s="1"/>
  <c r="R84" i="1"/>
  <c r="Q83" i="1"/>
  <c r="W83" i="1" s="1"/>
  <c r="R83" i="1"/>
  <c r="Q106" i="1"/>
  <c r="W106" i="1" s="1"/>
  <c r="R106" i="1"/>
  <c r="Q13" i="1"/>
  <c r="W13" i="1" s="1"/>
  <c r="Q15" i="1"/>
  <c r="Q16" i="1"/>
  <c r="Q17" i="1"/>
  <c r="Q18" i="1"/>
  <c r="Q19" i="1"/>
  <c r="R20" i="1"/>
  <c r="Q21" i="1"/>
  <c r="Q22" i="1"/>
  <c r="Q23" i="1"/>
  <c r="Q24" i="1"/>
  <c r="Q26" i="1"/>
  <c r="Q27" i="1"/>
  <c r="Q28" i="1"/>
  <c r="Q29" i="1"/>
  <c r="Q31" i="1"/>
  <c r="Q32" i="1"/>
  <c r="Q33" i="1"/>
  <c r="Q34" i="1"/>
  <c r="Q35" i="1"/>
  <c r="Q36" i="1"/>
  <c r="Q37" i="1"/>
  <c r="Q38" i="1"/>
  <c r="Q39" i="1"/>
  <c r="Q40" i="1"/>
  <c r="Q25" i="1"/>
  <c r="Q6" i="1"/>
  <c r="W6" i="1" s="1"/>
  <c r="Q7" i="1"/>
  <c r="W7" i="1" s="1"/>
  <c r="Q8" i="1"/>
  <c r="W8" i="1" s="1"/>
  <c r="Q10" i="1"/>
  <c r="W10" i="1" s="1"/>
  <c r="Q11" i="1"/>
  <c r="W11" i="1" s="1"/>
  <c r="Q12" i="1"/>
  <c r="W12" i="1" s="1"/>
  <c r="AB40" i="1"/>
  <c r="AB39" i="1"/>
  <c r="AB38" i="1"/>
  <c r="AB37" i="1"/>
  <c r="AB36" i="1"/>
  <c r="AB35" i="1"/>
  <c r="AB34" i="1"/>
  <c r="AB33" i="1"/>
  <c r="AB32" i="1"/>
  <c r="AB31" i="1"/>
  <c r="AM110" i="1"/>
  <c r="N110" i="1"/>
  <c r="N117" i="1"/>
  <c r="N116" i="1"/>
  <c r="N115" i="1"/>
  <c r="N113" i="1"/>
  <c r="N112" i="1"/>
  <c r="N111" i="1"/>
  <c r="N109" i="1"/>
  <c r="N108" i="1"/>
  <c r="N107" i="1"/>
  <c r="N105" i="1"/>
  <c r="N102" i="1"/>
  <c r="N101" i="1"/>
  <c r="N100" i="1"/>
  <c r="N99" i="1"/>
  <c r="N98" i="1"/>
  <c r="N97" i="1"/>
  <c r="N94" i="1"/>
  <c r="N93" i="1"/>
  <c r="N92" i="1"/>
  <c r="N91" i="1"/>
  <c r="N90" i="1"/>
  <c r="N89" i="1"/>
  <c r="N87" i="1"/>
  <c r="N86" i="1"/>
  <c r="N85" i="1"/>
  <c r="N84" i="1"/>
  <c r="N83" i="1"/>
  <c r="N81" i="1"/>
  <c r="N80" i="1"/>
  <c r="N79" i="1"/>
  <c r="N77" i="1"/>
  <c r="N76" i="1"/>
  <c r="N75" i="1"/>
  <c r="N74" i="1"/>
  <c r="N73" i="1"/>
  <c r="N72" i="1"/>
  <c r="N71" i="1"/>
  <c r="N70" i="1"/>
  <c r="N69" i="1"/>
  <c r="N68" i="1"/>
  <c r="N67" i="1"/>
  <c r="N66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29" i="1"/>
  <c r="N28" i="1"/>
  <c r="N27" i="1"/>
  <c r="N26" i="1"/>
  <c r="N24" i="1"/>
  <c r="N23" i="1"/>
  <c r="N22" i="1"/>
  <c r="N21" i="1"/>
  <c r="N20" i="1"/>
  <c r="N19" i="1"/>
  <c r="N18" i="1"/>
  <c r="N13" i="1"/>
  <c r="N12" i="1"/>
  <c r="N11" i="1"/>
  <c r="N10" i="1"/>
  <c r="N104" i="1"/>
  <c r="N8" i="1"/>
  <c r="AM7" i="1"/>
  <c r="N7" i="1"/>
  <c r="AM6" i="1"/>
  <c r="N6" i="1"/>
  <c r="AB29" i="1"/>
  <c r="E20" i="22"/>
  <c r="L6" i="22"/>
  <c r="L20" i="22" s="1"/>
  <c r="F20" i="22"/>
  <c r="M6" i="22"/>
  <c r="G6" i="22"/>
  <c r="H20" i="22"/>
  <c r="N6" i="22"/>
  <c r="M7" i="22"/>
  <c r="Q7" i="22" s="1"/>
  <c r="G7" i="22"/>
  <c r="M8" i="22"/>
  <c r="Q8" i="22" s="1"/>
  <c r="G8" i="22"/>
  <c r="M9" i="22"/>
  <c r="Q9" i="22" s="1"/>
  <c r="G9" i="22"/>
  <c r="M10" i="22"/>
  <c r="Q10" i="22" s="1"/>
  <c r="G10" i="22"/>
  <c r="M11" i="22"/>
  <c r="Q11" i="22" s="1"/>
  <c r="G11" i="22"/>
  <c r="M12" i="22"/>
  <c r="Q12" i="22" s="1"/>
  <c r="G12" i="22"/>
  <c r="M13" i="22"/>
  <c r="Q13" i="22" s="1"/>
  <c r="G13" i="22"/>
  <c r="M14" i="22"/>
  <c r="Q14" i="22" s="1"/>
  <c r="G14" i="22"/>
  <c r="M15" i="22"/>
  <c r="Q15" i="22" s="1"/>
  <c r="G15" i="22"/>
  <c r="M16" i="22"/>
  <c r="Q16" i="22" s="1"/>
  <c r="G16" i="22"/>
  <c r="M17" i="22"/>
  <c r="Q17" i="22" s="1"/>
  <c r="G17" i="22"/>
  <c r="M18" i="22"/>
  <c r="Q18" i="22" s="1"/>
  <c r="G18" i="22"/>
  <c r="M19" i="22"/>
  <c r="Q19" i="22" s="1"/>
  <c r="G19" i="22"/>
  <c r="E30" i="22"/>
  <c r="L23" i="22"/>
  <c r="L30" i="22" s="1"/>
  <c r="F30" i="22"/>
  <c r="M23" i="22"/>
  <c r="G23" i="22"/>
  <c r="H30" i="22"/>
  <c r="N23" i="22"/>
  <c r="M24" i="22"/>
  <c r="Q24" i="22" s="1"/>
  <c r="G24" i="22"/>
  <c r="M25" i="22"/>
  <c r="Q25" i="22" s="1"/>
  <c r="G25" i="22"/>
  <c r="M26" i="22"/>
  <c r="Q26" i="22" s="1"/>
  <c r="G26" i="22"/>
  <c r="M27" i="22"/>
  <c r="Q27" i="22" s="1"/>
  <c r="G27" i="22"/>
  <c r="M28" i="22"/>
  <c r="Q28" i="22" s="1"/>
  <c r="G28" i="22"/>
  <c r="M29" i="22"/>
  <c r="Q29" i="22" s="1"/>
  <c r="G29" i="22"/>
  <c r="E38" i="22"/>
  <c r="L33" i="22"/>
  <c r="L38" i="22" s="1"/>
  <c r="F38" i="22"/>
  <c r="M33" i="22"/>
  <c r="G33" i="22"/>
  <c r="H38" i="22"/>
  <c r="N33" i="22"/>
  <c r="M34" i="22"/>
  <c r="Q34" i="22" s="1"/>
  <c r="G34" i="22"/>
  <c r="M35" i="22"/>
  <c r="Q35" i="22" s="1"/>
  <c r="G35" i="22"/>
  <c r="M36" i="22"/>
  <c r="Q36" i="22" s="1"/>
  <c r="G36" i="22"/>
  <c r="M37" i="22"/>
  <c r="Q37" i="22" s="1"/>
  <c r="G37" i="22"/>
  <c r="E45" i="22"/>
  <c r="L41" i="22"/>
  <c r="L45" i="22" s="1"/>
  <c r="F45" i="22"/>
  <c r="G45" i="22" s="1"/>
  <c r="M41" i="22"/>
  <c r="G41" i="22"/>
  <c r="H45" i="22"/>
  <c r="N41" i="22"/>
  <c r="I72" i="22"/>
  <c r="J72" i="22"/>
  <c r="K72" i="22"/>
  <c r="M42" i="22"/>
  <c r="Q42" i="22" s="1"/>
  <c r="G42" i="22"/>
  <c r="M43" i="22"/>
  <c r="Q43" i="22" s="1"/>
  <c r="G43" i="22"/>
  <c r="M44" i="22"/>
  <c r="Q44" i="22" s="1"/>
  <c r="G44" i="22"/>
  <c r="E54" i="22"/>
  <c r="L48" i="22"/>
  <c r="L54" i="22" s="1"/>
  <c r="F54" i="22"/>
  <c r="M48" i="22"/>
  <c r="G48" i="22"/>
  <c r="H54" i="22"/>
  <c r="N48" i="22"/>
  <c r="M49" i="22"/>
  <c r="Q49" i="22" s="1"/>
  <c r="G49" i="22"/>
  <c r="M50" i="22"/>
  <c r="Q50" i="22" s="1"/>
  <c r="G50" i="22"/>
  <c r="M51" i="22"/>
  <c r="Q51" i="22" s="1"/>
  <c r="G51" i="22"/>
  <c r="M52" i="22"/>
  <c r="Q52" i="22" s="1"/>
  <c r="G52" i="22"/>
  <c r="M53" i="22"/>
  <c r="Q53" i="22" s="1"/>
  <c r="G53" i="22"/>
  <c r="E61" i="22"/>
  <c r="L57" i="22"/>
  <c r="L61" i="22" s="1"/>
  <c r="F61" i="22"/>
  <c r="M57" i="22"/>
  <c r="G57" i="22"/>
  <c r="H61" i="22"/>
  <c r="N57" i="22"/>
  <c r="M58" i="22"/>
  <c r="Q58" i="22" s="1"/>
  <c r="G58" i="22"/>
  <c r="M59" i="22"/>
  <c r="Q59" i="22" s="1"/>
  <c r="G59" i="22"/>
  <c r="M60" i="22"/>
  <c r="Q60" i="22" s="1"/>
  <c r="G60" i="22"/>
  <c r="E71" i="22"/>
  <c r="E72" i="22" s="1"/>
  <c r="L64" i="22"/>
  <c r="L71" i="22" s="1"/>
  <c r="L72" i="22" s="1"/>
  <c r="F71" i="22"/>
  <c r="F72" i="22" s="1"/>
  <c r="M64" i="22"/>
  <c r="G64" i="22"/>
  <c r="H71" i="22"/>
  <c r="H72" i="22" s="1"/>
  <c r="N64" i="22"/>
  <c r="O72" i="22"/>
  <c r="M65" i="22"/>
  <c r="Q65" i="22" s="1"/>
  <c r="G65" i="22"/>
  <c r="M66" i="22"/>
  <c r="Q66" i="22" s="1"/>
  <c r="G66" i="22"/>
  <c r="M67" i="22"/>
  <c r="Q67" i="22" s="1"/>
  <c r="G67" i="22"/>
  <c r="M68" i="22"/>
  <c r="Q68" i="22" s="1"/>
  <c r="G68" i="22"/>
  <c r="M69" i="22"/>
  <c r="Q69" i="22" s="1"/>
  <c r="G69" i="22"/>
  <c r="M70" i="22"/>
  <c r="Q70" i="22" s="1"/>
  <c r="G70" i="22"/>
  <c r="AB25" i="1"/>
  <c r="L10" i="20"/>
  <c r="K10" i="20"/>
  <c r="J10" i="20"/>
  <c r="I10" i="20"/>
  <c r="H10" i="20"/>
  <c r="G10" i="20"/>
  <c r="F10" i="20"/>
  <c r="E10" i="20"/>
  <c r="D10" i="20"/>
  <c r="C10" i="20"/>
  <c r="B10" i="20"/>
  <c r="B15" i="20" s="1"/>
  <c r="L7" i="19"/>
  <c r="K7" i="19"/>
  <c r="J7" i="19"/>
  <c r="I7" i="19"/>
  <c r="H7" i="19"/>
  <c r="G7" i="19"/>
  <c r="F7" i="19"/>
  <c r="E7" i="19"/>
  <c r="D7" i="19"/>
  <c r="C7" i="19"/>
  <c r="B7" i="19"/>
  <c r="K8" i="18"/>
  <c r="J8" i="18"/>
  <c r="I8" i="18"/>
  <c r="H8" i="18"/>
  <c r="G8" i="18"/>
  <c r="F8" i="18"/>
  <c r="E8" i="18"/>
  <c r="D8" i="18"/>
  <c r="C8" i="18"/>
  <c r="B8" i="18"/>
  <c r="L8" i="18"/>
  <c r="AB28" i="1"/>
  <c r="AB27" i="1"/>
  <c r="AB26" i="1"/>
  <c r="H7" i="12"/>
  <c r="N6" i="16"/>
  <c r="N5" i="16"/>
  <c r="N4" i="16"/>
  <c r="L7" i="17"/>
  <c r="K7" i="17"/>
  <c r="J7" i="17"/>
  <c r="I7" i="17"/>
  <c r="H7" i="17"/>
  <c r="G7" i="17"/>
  <c r="F7" i="17"/>
  <c r="E7" i="17"/>
  <c r="D7" i="17"/>
  <c r="C7" i="17"/>
  <c r="B7" i="17"/>
  <c r="B10" i="17" s="1"/>
  <c r="C7" i="16"/>
  <c r="B7" i="16"/>
  <c r="AB24" i="1"/>
  <c r="AB23" i="1"/>
  <c r="AB22" i="1"/>
  <c r="AB21" i="1"/>
  <c r="AB20" i="1"/>
  <c r="AB19" i="1"/>
  <c r="AB18" i="1"/>
  <c r="AB17" i="1"/>
  <c r="AB16" i="1"/>
  <c r="AB15" i="1"/>
  <c r="H9" i="24" l="1"/>
  <c r="H10" i="24"/>
  <c r="C10" i="24"/>
  <c r="C9" i="24"/>
  <c r="C8" i="24"/>
  <c r="D10" i="24"/>
  <c r="D9" i="24"/>
  <c r="D8" i="24"/>
  <c r="E10" i="24"/>
  <c r="E9" i="24"/>
  <c r="E8" i="24"/>
  <c r="F9" i="24"/>
  <c r="F8" i="24"/>
  <c r="F10" i="24"/>
  <c r="G9" i="24"/>
  <c r="G8" i="24"/>
  <c r="G10" i="24"/>
  <c r="H8" i="24"/>
  <c r="I8" i="24"/>
  <c r="J8" i="24"/>
  <c r="K8" i="24"/>
  <c r="L8" i="24"/>
  <c r="R25" i="1"/>
  <c r="W25" i="1"/>
  <c r="R40" i="1"/>
  <c r="W40" i="1"/>
  <c r="R39" i="1"/>
  <c r="W39" i="1"/>
  <c r="R38" i="1"/>
  <c r="W38" i="1"/>
  <c r="R37" i="1"/>
  <c r="W37" i="1"/>
  <c r="R36" i="1"/>
  <c r="W36" i="1"/>
  <c r="R35" i="1"/>
  <c r="W35" i="1"/>
  <c r="R34" i="1"/>
  <c r="W34" i="1"/>
  <c r="R33" i="1"/>
  <c r="W33" i="1"/>
  <c r="R32" i="1"/>
  <c r="W32" i="1"/>
  <c r="R31" i="1"/>
  <c r="W31" i="1"/>
  <c r="R29" i="1"/>
  <c r="W29" i="1"/>
  <c r="R28" i="1"/>
  <c r="W28" i="1"/>
  <c r="R27" i="1"/>
  <c r="W27" i="1"/>
  <c r="R26" i="1"/>
  <c r="W26" i="1"/>
  <c r="R24" i="1"/>
  <c r="W24" i="1"/>
  <c r="R23" i="1"/>
  <c r="W23" i="1"/>
  <c r="R22" i="1"/>
  <c r="W22" i="1"/>
  <c r="R21" i="1"/>
  <c r="W21" i="1"/>
  <c r="R19" i="1"/>
  <c r="W19" i="1"/>
  <c r="R18" i="1"/>
  <c r="W18" i="1"/>
  <c r="R17" i="1"/>
  <c r="W17" i="1"/>
  <c r="R16" i="1"/>
  <c r="W16" i="1"/>
  <c r="R15" i="1"/>
  <c r="W15" i="1"/>
  <c r="B10" i="16"/>
  <c r="C10" i="16"/>
  <c r="C9" i="16"/>
  <c r="C8" i="16"/>
  <c r="D9" i="16"/>
  <c r="D8" i="16"/>
  <c r="C10" i="17"/>
  <c r="C9" i="17"/>
  <c r="C8" i="17"/>
  <c r="D10" i="17"/>
  <c r="D9" i="17"/>
  <c r="D8" i="17"/>
  <c r="E10" i="17"/>
  <c r="E9" i="17"/>
  <c r="E8" i="17"/>
  <c r="F8" i="17"/>
  <c r="G8" i="17"/>
  <c r="H8" i="17"/>
  <c r="I8" i="17"/>
  <c r="J8" i="17"/>
  <c r="K8" i="17"/>
  <c r="L8" i="17"/>
  <c r="AM118" i="1"/>
  <c r="N71" i="22"/>
  <c r="P64" i="22"/>
  <c r="G71" i="22"/>
  <c r="M71" i="22"/>
  <c r="Q64" i="22"/>
  <c r="N61" i="22"/>
  <c r="P61" i="22" s="1"/>
  <c r="P57" i="22"/>
  <c r="G61" i="22"/>
  <c r="M61" i="22"/>
  <c r="Q61" i="22" s="1"/>
  <c r="Q57" i="22"/>
  <c r="N54" i="22"/>
  <c r="P54" i="22" s="1"/>
  <c r="P48" i="22"/>
  <c r="G54" i="22"/>
  <c r="M54" i="22"/>
  <c r="Q54" i="22" s="1"/>
  <c r="Q48" i="22"/>
  <c r="N45" i="22"/>
  <c r="P45" i="22" s="1"/>
  <c r="P41" i="22"/>
  <c r="M45" i="22"/>
  <c r="Q45" i="22" s="1"/>
  <c r="Q41" i="22"/>
  <c r="N38" i="22"/>
  <c r="P38" i="22" s="1"/>
  <c r="P33" i="22"/>
  <c r="G38" i="22"/>
  <c r="M38" i="22"/>
  <c r="Q38" i="22" s="1"/>
  <c r="Q33" i="22"/>
  <c r="N30" i="22"/>
  <c r="P30" i="22" s="1"/>
  <c r="P23" i="22"/>
  <c r="G30" i="22"/>
  <c r="M30" i="22"/>
  <c r="Q30" i="22" s="1"/>
  <c r="Q23" i="22"/>
  <c r="N20" i="22"/>
  <c r="P20" i="22" s="1"/>
  <c r="P6" i="22"/>
  <c r="Q6" i="22"/>
  <c r="M20" i="22"/>
  <c r="Q20" i="22" s="1"/>
  <c r="G20" i="22"/>
  <c r="F7" i="12"/>
  <c r="F8" i="12" s="1"/>
  <c r="E7" i="12"/>
  <c r="E8" i="12" s="1"/>
  <c r="D7" i="12"/>
  <c r="D8" i="12" s="1"/>
  <c r="C7" i="12"/>
  <c r="C8" i="12" s="1"/>
  <c r="B7" i="12"/>
  <c r="B8" i="12" s="1"/>
  <c r="G7" i="12"/>
  <c r="G8" i="12" s="1"/>
  <c r="M72" i="22" l="1"/>
  <c r="Q71" i="22"/>
  <c r="G72" i="22"/>
  <c r="N72" i="22"/>
  <c r="P72" i="22" s="1"/>
  <c r="P71" i="22"/>
  <c r="Q72" i="22" l="1"/>
</calcChain>
</file>

<file path=xl/sharedStrings.xml><?xml version="1.0" encoding="utf-8"?>
<sst xmlns="http://schemas.openxmlformats.org/spreadsheetml/2006/main" count="1609" uniqueCount="814">
  <si>
    <t>Status:</t>
  </si>
  <si>
    <t>Updated 10/27</t>
  </si>
  <si>
    <t>Denotes Piazza</t>
  </si>
  <si>
    <t>Update all fields in Blue each week</t>
  </si>
  <si>
    <t>We expect 50% of Single Sales 1 Week Prior</t>
  </si>
  <si>
    <t>85%+ occupancy</t>
  </si>
  <si>
    <t>100%+ of Target</t>
  </si>
  <si>
    <t xml:space="preserve"> </t>
  </si>
  <si>
    <t>70-85% occupancy</t>
  </si>
  <si>
    <t>90-99% of Target</t>
  </si>
  <si>
    <t>Week #</t>
  </si>
  <si>
    <t>&lt;70% occupancy</t>
  </si>
  <si>
    <t>&lt;90% of Target</t>
  </si>
  <si>
    <t>TICKET SALES REPORT as of 10/27/2025</t>
  </si>
  <si>
    <t>TOTAL SALES (Singles + Subs)</t>
  </si>
  <si>
    <t>Single Tickets</t>
  </si>
  <si>
    <t>Subscription Tickets</t>
  </si>
  <si>
    <t>Hall Data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</si>
  <si>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</si>
  <si>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</si>
  <si>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</si>
  <si>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</si>
  <si>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</si>
  <si>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</si>
  <si>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</si>
  <si>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</si>
  <si>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</si>
  <si>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% OCC Target</t>
  </si>
  <si>
    <t>Actual OCC SOLD</t>
  </si>
  <si>
    <t>Actual Total Tickets Sold</t>
  </si>
  <si>
    <t>Total Actual Revenue</t>
  </si>
  <si>
    <t>TOTAL BUDGET</t>
  </si>
  <si>
    <t>Actual - Budget</t>
  </si>
  <si>
    <t>Projected Total OCC at Performance</t>
  </si>
  <si>
    <t>Projected Total Tickets Sold</t>
  </si>
  <si>
    <t>Projected Total Revenue</t>
  </si>
  <si>
    <t>Projected- Budget</t>
  </si>
  <si>
    <t>Actual Single Tickets Sold</t>
  </si>
  <si>
    <t>Maximum Single Ticket Capacity</t>
  </si>
  <si>
    <t>Target Single Tickets for % OCC Target</t>
  </si>
  <si>
    <t>Projected Single Tickets</t>
  </si>
  <si>
    <t>Projected Single Ticket Revenue</t>
  </si>
  <si>
    <t>Projected Single Tickets vs % OCC Target</t>
  </si>
  <si>
    <t>Actual Revenue</t>
  </si>
  <si>
    <t>BUDGET</t>
  </si>
  <si>
    <t>Actual/
Budget %</t>
  </si>
  <si>
    <t>Projected/ Budget %</t>
  </si>
  <si>
    <t>Actual Sub Tickets Sold</t>
  </si>
  <si>
    <t>Actual vs Budget %</t>
  </si>
  <si>
    <t>Max CAP</t>
  </si>
  <si>
    <t>Single Ticket ATP</t>
  </si>
  <si>
    <t># New HH</t>
  </si>
  <si>
    <t># Ret HH</t>
  </si>
  <si>
    <t># Total HH</t>
  </si>
  <si>
    <t>26 Morgan Freeman's Symphonic Blues</t>
  </si>
  <si>
    <t>Specials</t>
  </si>
  <si>
    <t>26 La nuit sombre</t>
  </si>
  <si>
    <t>OPEN - Recording Week</t>
  </si>
  <si>
    <t>N/A</t>
  </si>
  <si>
    <t>26 PS1 Music of Journey</t>
  </si>
  <si>
    <t>Pops</t>
  </si>
  <si>
    <t>26 FS1 The Orchestra Games</t>
  </si>
  <si>
    <t>Family</t>
  </si>
  <si>
    <t>OPEN - was Chicken Fried</t>
  </si>
  <si>
    <t>26 CS01 Appalachian Spring</t>
  </si>
  <si>
    <t>Classical</t>
  </si>
  <si>
    <t>26 Top Gun: Maverick in Concert</t>
  </si>
  <si>
    <t>Specials/Film</t>
  </si>
  <si>
    <t>26 The Lodger</t>
  </si>
  <si>
    <t>26 PS2 90s Mixtape</t>
  </si>
  <si>
    <t>26 On-Stage 1 George Li</t>
  </si>
  <si>
    <t>On Stage</t>
  </si>
  <si>
    <t>26 CS02 Rachmaninoff Cele Pt 1</t>
  </si>
  <si>
    <t>26 FS2 Carnival of the Animals</t>
  </si>
  <si>
    <t>OPEN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</si>
  <si>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</si>
  <si>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</si>
  <si>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</si>
  <si>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</si>
  <si>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</si>
  <si>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</si>
  <si>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</si>
  <si>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</si>
  <si>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</si>
  <si>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</si>
  <si>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</si>
  <si>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</si>
  <si>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</si>
  <si>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 Leila Josefowicz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</si>
  <si>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</si>
  <si>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</si>
  <si>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</si>
  <si>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</si>
  <si>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</si>
  <si>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</si>
  <si>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</si>
  <si>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</si>
  <si>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</si>
  <si>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</si>
  <si>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</si>
  <si>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</si>
  <si>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</si>
  <si>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</si>
  <si>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</si>
  <si>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 Gil Shaham</t>
  </si>
  <si>
    <t>26 CS12 Gil Shaham Plays Brahm's 4th</t>
  </si>
  <si>
    <t>27 CS12 Gil Shaham Plays Brahm's 4th</t>
  </si>
  <si>
    <t>28 CS12 Gil Shaham Plays Brahm's 4th</t>
  </si>
  <si>
    <t>26 On-Stage 4 Yefim Bronfman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</si>
  <si>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</si>
  <si>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</si>
  <si>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</si>
  <si>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</si>
  <si>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</si>
  <si>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</si>
  <si>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</si>
  <si>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</si>
  <si>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</si>
  <si>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</si>
  <si>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</si>
  <si>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</si>
  <si>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</si>
  <si>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</si>
  <si>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</si>
  <si>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# weeks out</t>
  </si>
  <si>
    <t>Estimates Only</t>
  </si>
  <si>
    <t>Historical Data</t>
  </si>
  <si>
    <t>PS1 Journey</t>
  </si>
  <si>
    <t># Single Tickets to sell out 100%</t>
  </si>
  <si>
    <t>Projected OCC%</t>
  </si>
  <si>
    <t># Weeks Until Performance</t>
  </si>
  <si>
    <t>9/19/2025 Sales (Fri)</t>
  </si>
  <si>
    <t>9/20/2025 Sales (Sat)</t>
  </si>
  <si>
    <t>9/21/2025 Sales (Sun)</t>
  </si>
  <si>
    <t>Pace for 85% OCC</t>
  </si>
  <si>
    <t>Other</t>
  </si>
  <si>
    <t>Avg/Show vs Target Pace:</t>
  </si>
  <si>
    <t>OCC Target</t>
  </si>
  <si>
    <t>Final Sales:</t>
  </si>
  <si>
    <t>Sep 15-21 Sales</t>
  </si>
  <si>
    <t>% of Total</t>
  </si>
  <si>
    <t>CS1 Appalachian</t>
  </si>
  <si>
    <t>Projected Total OCC%</t>
  </si>
  <si>
    <t>10/10/2025 Sales (Fri)</t>
  </si>
  <si>
    <t>10/11/2025 Sales (Sat)</t>
  </si>
  <si>
    <t>10/12/2025 Sales (Sun)</t>
  </si>
  <si>
    <t>Weekly new sales needed for Target Pace</t>
  </si>
  <si>
    <t>Actual Weekly Sales</t>
  </si>
  <si>
    <t># Weeks Out</t>
  </si>
  <si>
    <t>PS2 90s Mixtape (Name?)</t>
  </si>
  <si>
    <t>10/24/2025 Sales (Fri)</t>
  </si>
  <si>
    <t>10/25/2025 Sales (Sat)</t>
  </si>
  <si>
    <t>10/26/2025 Sales (Sun)</t>
  </si>
  <si>
    <t>MFSB</t>
  </si>
  <si>
    <t>9/2/2025 Sales (Tue)</t>
  </si>
  <si>
    <t>9/3/2025 Sales (Wed)</t>
  </si>
  <si>
    <t>CS2 Rachmaninoff</t>
  </si>
  <si>
    <t>10/31/2025 Sales (Fri, Piazza)</t>
  </si>
  <si>
    <t>11/01/2025 Sales (Sat)</t>
  </si>
  <si>
    <t>11/02/2025 Sales (Sun)</t>
  </si>
  <si>
    <t>CS3 Mahler</t>
  </si>
  <si>
    <t>11/21/2025 Sales (Fri, Piazza)</t>
  </si>
  <si>
    <t>11/22/2025 Sales (Sat)</t>
  </si>
  <si>
    <t>11/23/2025 Sales (Sun)</t>
  </si>
  <si>
    <t>Elf in Concert</t>
  </si>
  <si>
    <t>11/28/2025 (Fri)</t>
  </si>
  <si>
    <t>11/29/2025 (Sat 1)</t>
  </si>
  <si>
    <t>11/29/2025 (Sat 2)</t>
  </si>
  <si>
    <t>11/30/2025 (Sun)</t>
  </si>
  <si>
    <t>Home Alone 2024</t>
  </si>
  <si>
    <t>Target Pace</t>
  </si>
  <si>
    <t>Muppet XMas 2023</t>
  </si>
  <si>
    <t>Home Alone</t>
  </si>
  <si>
    <t>Final Occupancy Sold %</t>
  </si>
  <si>
    <t>11/29/2024 Sales (Friday)</t>
  </si>
  <si>
    <t>11/30/2024, 2pm (Saturday)</t>
  </si>
  <si>
    <t>11/30/2024, 8pm (Saturday)</t>
  </si>
  <si>
    <t>12/01/2024 Sales (Sunday)</t>
  </si>
  <si>
    <t>A Muppet Christmas Carol</t>
  </si>
  <si>
    <t>12/08/2023 Sales (Friday)</t>
  </si>
  <si>
    <t>12/09/2023, 1pm Sales (Saturday)</t>
  </si>
  <si>
    <t>Handel's Messiah</t>
  </si>
  <si>
    <t>12/5/2025 (Fri)</t>
  </si>
  <si>
    <t>12/6/2025 (Sat)</t>
  </si>
  <si>
    <t>12/7/2025 (Sun)</t>
  </si>
  <si>
    <t>Messiah 2024</t>
  </si>
  <si>
    <t>Messiah 2023</t>
  </si>
  <si>
    <r>
      <t xml:space="preserve">Handel's </t>
    </r>
    <r>
      <rPr>
        <b/>
        <i/>
        <sz val="11"/>
        <color rgb="FF007BB3"/>
        <rFont val="Verdana"/>
        <family val="2"/>
      </rPr>
      <t>Messiah</t>
    </r>
  </si>
  <si>
    <t>12/06/2024 Sales (Friday)</t>
  </si>
  <si>
    <t>12/07/2024 Sales (Saturday)</t>
  </si>
  <si>
    <t>12/08/2024 Sales (Sunday)</t>
  </si>
  <si>
    <t>12/01/2023 Sales (Friday)</t>
  </si>
  <si>
    <t>12/02/2023 Sales (Saturday)</t>
  </si>
  <si>
    <t>12/03/2023 Sales (Sunday)</t>
  </si>
  <si>
    <t>Christmas Festival</t>
  </si>
  <si>
    <t>12/18/2025 (Thu)</t>
  </si>
  <si>
    <t>12/19/2025 (Fri)</t>
  </si>
  <si>
    <t>12/20/2025 (Sat 1)</t>
  </si>
  <si>
    <t>12/20/2025 (Sat 2)</t>
  </si>
  <si>
    <t>12/21/2025 (Sun 1)</t>
  </si>
  <si>
    <t>12/21/2025 (Sun 2)</t>
  </si>
  <si>
    <t>XMas 2024</t>
  </si>
  <si>
    <t>XMas 2023</t>
  </si>
  <si>
    <t>12/19/2024 Sales (Thursday)</t>
  </si>
  <si>
    <t>12/20/2024 Sales (Friday)</t>
  </si>
  <si>
    <t>12/21/2024, 1pm Sales (Saturday)</t>
  </si>
  <si>
    <t>12/21/2024, 7pm Sales (Saturday)</t>
  </si>
  <si>
    <t>12/22/2024, 2pm Sales (Sunday)</t>
  </si>
  <si>
    <t>12/22/2024, 7pm Sales (Sunday)</t>
  </si>
  <si>
    <t>12/14/2023 Sales (Thursday)</t>
  </si>
  <si>
    <t>12/15/2023 Sales (Friday)</t>
  </si>
  <si>
    <t>12/16/2023, 1pm Sales (Saturday)</t>
  </si>
  <si>
    <t>12/16/2023, 7pm Sales (Saturday)</t>
  </si>
  <si>
    <t>12/17/2023, 2pm Sales (Sunday)</t>
  </si>
  <si>
    <t>12/17/2023, 7pm Sales (Sunday)</t>
  </si>
  <si>
    <t>KANSAS CITY SYMPHONY</t>
  </si>
  <si>
    <t>100%+ of FY26 Goal</t>
  </si>
  <si>
    <t>2025-26 Subscriptions</t>
  </si>
  <si>
    <t>We expect 50% of Total by Week 5</t>
  </si>
  <si>
    <t>90-99% of FY26 Goal</t>
  </si>
  <si>
    <t>FY26 Budget - Classical</t>
  </si>
  <si>
    <t>We expect 90% of Total by Week 10/11</t>
  </si>
  <si>
    <t>&lt;90% of FY26 Goal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</si>
  <si>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</si>
  <si>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</si>
  <si>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</si>
  <si>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</si>
  <si>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</si>
  <si>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</si>
  <si>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</si>
  <si>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</si>
  <si>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</si>
  <si>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</si>
  <si>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</si>
  <si>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</si>
  <si>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</si>
  <si>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</si>
  <si>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</si>
  <si>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</si>
  <si>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</si>
  <si>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</si>
  <si>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</si>
  <si>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</si>
  <si>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</si>
  <si>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</si>
  <si>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</si>
  <si>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</si>
  <si>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</si>
  <si>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</si>
  <si>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Churn</t>
  </si>
  <si>
    <t>#</t>
  </si>
  <si>
    <t>3rd Classical mailer drops 22nd/23rd of August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</si>
  <si>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</si>
  <si>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</si>
  <si>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</si>
  <si>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</si>
  <si>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</si>
  <si>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</si>
  <si>
    <t>Overall Season</t>
  </si>
  <si>
    <t># Tickets Sold</t>
  </si>
  <si>
    <t>Projected Tickets Sold</t>
  </si>
  <si>
    <t>Projected Occupancy (% +GYR)</t>
  </si>
  <si>
    <t>Projected Revenue vs Budget (% +GYR)</t>
  </si>
  <si>
    <t>Season Attendance By Ticket Type</t>
  </si>
  <si>
    <t>All Subscriptions</t>
  </si>
  <si>
    <t>All Single Tickets</t>
  </si>
  <si>
    <t>Concert Attendance By Performance Type</t>
  </si>
  <si>
    <t>CLASSICAL TRADITIONAL TOTAL</t>
  </si>
  <si>
    <t>SYMPHONIC PIAZZA TOTAL</t>
  </si>
  <si>
    <t>POPS  TOTAL</t>
  </si>
  <si>
    <t>FAMILY SERIES TOTAL</t>
  </si>
  <si>
    <t>FILM  TOTAL</t>
  </si>
  <si>
    <t>ON STAGE CONCERTS TOTAL</t>
  </si>
  <si>
    <t>OTHER CONCERT TOTAL</t>
  </si>
  <si>
    <t>Notes:</t>
  </si>
  <si>
    <t>FY19 was pre-COVID</t>
  </si>
  <si>
    <t>FY24 was -35% vs FY19, but also Michael Stern's final season so perhaps a one-time boost</t>
  </si>
  <si>
    <t>FY25 was -47% vs FY19 and -19% vs FY24</t>
  </si>
  <si>
    <t>FY26 is -4% vs FY25</t>
  </si>
  <si>
    <t>For FY27, it is important to start sales no later than Week 5 (coordinate with season anouncement) and understand how to boost renewal rate</t>
  </si>
  <si>
    <t>FY24 was -19% vs FY19, but also Michael Stern's final season so perhaps a one-time boost</t>
  </si>
  <si>
    <t>FY25 was -29% vs FY19 and -12% vs FY24</t>
  </si>
  <si>
    <t>FY26 is +7% vs FY25, driven by growth in new subs</t>
  </si>
  <si>
    <t>For FY27, it is important to start sales no later than Week 5 and understand how to continue new sub growth</t>
  </si>
  <si>
    <t>MARKETING CHANNEL PERFORMANCE</t>
  </si>
  <si>
    <t> </t>
  </si>
  <si>
    <t>Owned Marketing Channels </t>
  </si>
  <si>
    <t>Paid Channels </t>
  </si>
  <si>
    <t>To start, let’s pull last 12 months of data. </t>
  </si>
  <si>
    <t>Phone </t>
  </si>
  <si>
    <t>Direct Mail </t>
  </si>
  <si>
    <t>Email </t>
  </si>
  <si>
    <t>Social </t>
  </si>
  <si>
    <t>In-hall </t>
  </si>
  <si>
    <t>SEO </t>
  </si>
  <si>
    <t>SEM </t>
  </si>
  <si>
    <t>Media </t>
  </si>
  <si>
    <t>Total </t>
  </si>
  <si>
    <t>(Box Office) </t>
  </si>
  <si>
    <t>(FB, IG, X, other) </t>
  </si>
  <si>
    <t>(book, posters) </t>
  </si>
  <si>
    <t>(TV, radio, OOH) </t>
  </si>
  <si>
    <t>(Bennett) </t>
  </si>
  <si>
    <t># Impressions: </t>
  </si>
  <si>
    <t>13.7M </t>
  </si>
  <si>
    <t>calls made, e/mails delivered, etc. </t>
  </si>
  <si>
    <t># Engagement: </t>
  </si>
  <si>
    <t>4.7M </t>
  </si>
  <si>
    <t>calls answered, opens, etc. </t>
  </si>
  <si>
    <t>Engagement rate </t>
  </si>
  <si>
    <t>34% </t>
  </si>
  <si>
    <t># Actions (Success): </t>
  </si>
  <si>
    <t>89k </t>
  </si>
  <si>
    <t>conversations, clicks, etc. </t>
  </si>
  <si>
    <t>Action rate </t>
  </si>
  <si>
    <t>0.6% </t>
  </si>
  <si>
    <t>% of total Actions </t>
  </si>
  <si>
    <t>Channel cost ($, time) </t>
  </si>
  <si>
    <t>ROI: $/Action </t>
  </si>
  <si>
    <t>Attributed revenue ($) </t>
  </si>
  <si>
    <t>~$220k </t>
  </si>
  <si>
    <t>ROI: $/channel cost </t>
  </si>
  <si>
    <t>SALES CHANNEL PERFORMANCE</t>
  </si>
  <si>
    <t>Website </t>
  </si>
  <si>
    <t>KCPA </t>
  </si>
  <si>
    <t># Traffic: </t>
  </si>
  <si>
    <t>471,563 </t>
  </si>
  <si>
    <t>calls received, visits </t>
  </si>
  <si>
    <t>% Traffic by Marketing Channel </t>
  </si>
  <si>
    <t>#, $ Conversions (Success): </t>
  </si>
  <si>
    <t>4,547 </t>
  </si>
  <si>
    <t>Conversion rate </t>
  </si>
  <si>
    <t>0.94% </t>
  </si>
  <si>
    <t>% of total Conversions </t>
  </si>
  <si>
    <t>15%? </t>
  </si>
  <si>
    <t>Total Sales Revenue </t>
  </si>
  <si>
    <t>~$6,500k? </t>
  </si>
  <si>
    <t>$877k </t>
  </si>
  <si>
    <t>ROI: $/Conversion </t>
  </si>
  <si>
    <t>EXPERIENCE CHANNEL PERFORMANCE</t>
  </si>
  <si>
    <t># total attendance </t>
  </si>
  <si>
    <t>% Repeat: </t>
  </si>
  <si>
    <t>% returning from prior season </t>
  </si>
  <si>
    <t># Frequency: </t>
  </si>
  <si>
    <t>avg. attendance/customer </t>
  </si>
  <si>
    <t>Total Revenue, ROI? </t>
  </si>
  <si>
    <t>Avg. CSAT, NPS </t>
  </si>
  <si>
    <t>Avg. CLV/attendee </t>
  </si>
  <si>
    <t># high CLV VIPs </t>
  </si>
  <si>
    <t>New Subs</t>
  </si>
  <si>
    <t>Renewal Subs</t>
  </si>
  <si>
    <t># Weeks On Sale</t>
  </si>
  <si>
    <t>Film</t>
  </si>
  <si>
    <t>CS (Chuck)</t>
  </si>
  <si>
    <t>CS2</t>
  </si>
  <si>
    <t>CS3</t>
  </si>
  <si>
    <t>Extend data for single ticket sales beyond 6 weeks</t>
  </si>
  <si>
    <t>Differentiate single ticket sales by performance type</t>
  </si>
  <si>
    <t>Improve pacing data (always)</t>
  </si>
  <si>
    <t>EMAILS SENT</t>
  </si>
  <si>
    <t>DELIVERIES</t>
  </si>
  <si>
    <t>OPENS</t>
  </si>
  <si>
    <t>CLICK RATE</t>
  </si>
  <si>
    <t>9/21 Journey KBYG SUN</t>
  </si>
  <si>
    <t>258 (74.1%)</t>
  </si>
  <si>
    <t>103 (29.6%)</t>
  </si>
  <si>
    <t>AVERAGE OPEN RATE:</t>
  </si>
  <si>
    <t>9/20 Journey KBYG SAT</t>
  </si>
  <si>
    <t>287 (72.1%)</t>
  </si>
  <si>
    <t>104 (26.1%)</t>
  </si>
  <si>
    <t>AVERAGE CLICK RATE:</t>
  </si>
  <si>
    <t>9/19 Journey KBYG FRI</t>
  </si>
  <si>
    <t>289 (69.3%)</t>
  </si>
  <si>
    <t>101 (24.2%)</t>
  </si>
  <si>
    <t>9/18 90s Standalone Email</t>
  </si>
  <si>
    <t>33,599 (35.3%)</t>
  </si>
  <si>
    <t>341 (0.4%)</t>
  </si>
  <si>
    <t>9/16 Weekly Concert Promo</t>
  </si>
  <si>
    <t>34,837 (37.2%)</t>
  </si>
  <si>
    <t>729 (0.8%)</t>
  </si>
  <si>
    <t>9/15 CS2 Standalone Email</t>
  </si>
  <si>
    <t>34,769 (37.1%)</t>
  </si>
  <si>
    <t>342 (0.4%)</t>
  </si>
  <si>
    <t>9/10 Journey Giveaway</t>
  </si>
  <si>
    <t>34,249 (35.9%)</t>
  </si>
  <si>
    <t>751 (1%)</t>
  </si>
  <si>
    <t>9/9 Weekly Concert Promo</t>
  </si>
  <si>
    <t>35,513 (37.8%)</t>
  </si>
  <si>
    <t>780 (1%)</t>
  </si>
  <si>
    <t>9/5 CS1 BOGO Pops Buyers</t>
  </si>
  <si>
    <t>2,377 (53%)</t>
  </si>
  <si>
    <t>100 (2.2%) - 33 respond (98 tickets)</t>
  </si>
  <si>
    <t>9/5 CS1 Morgan Freeman Buyers</t>
  </si>
  <si>
    <t>588 (58.3%)</t>
  </si>
  <si>
    <t>33 (3.3%) - 33 respond (98 tickets)</t>
  </si>
  <si>
    <t>9/4 CS1 Matthias Video</t>
  </si>
  <si>
    <t>35,461 (37.1%)</t>
  </si>
  <si>
    <t>1,460 (1.5%)</t>
  </si>
  <si>
    <t>9/4 Journey BOGO Promo</t>
  </si>
  <si>
    <t>1,164 (42.8%)</t>
  </si>
  <si>
    <t>54 (2%) - 15 respond (41 tickets)</t>
  </si>
  <si>
    <t>9/3 Morgan Freeman KBYG</t>
  </si>
  <si>
    <t>306 (81.4%)</t>
  </si>
  <si>
    <t>129 (34.3%)</t>
  </si>
  <si>
    <t>9/2 Morgan Freeman KBYG</t>
  </si>
  <si>
    <t>354 (83.1%)</t>
  </si>
  <si>
    <t>152 (35.7%)</t>
  </si>
  <si>
    <t>8/29 La nuit sombre KBYG</t>
  </si>
  <si>
    <t>207 (82.8%)</t>
  </si>
  <si>
    <t>37 (14.8%)</t>
  </si>
  <si>
    <t>8/27 Chicken Fried Promo</t>
  </si>
  <si>
    <t>35,437 (37.8%)</t>
  </si>
  <si>
    <t>536 (0.6%)</t>
  </si>
  <si>
    <t>8/20 Bi-weekly Merchandise Email</t>
  </si>
  <si>
    <t>35,125 (37%)</t>
  </si>
  <si>
    <t>754 (1%)</t>
  </si>
  <si>
    <t>8/12 Music of Journey Promo</t>
  </si>
  <si>
    <t>35,743 (37.9%)</t>
  </si>
  <si>
    <t xml:space="preserve">577 0.6% </t>
  </si>
  <si>
    <t>https://conta.cc/4mdHLVC</t>
  </si>
  <si>
    <t>8/6 Bi-weekly Merchandise Email</t>
  </si>
  <si>
    <t>36,401 (38.6%)</t>
  </si>
  <si>
    <t>937 (1%)</t>
  </si>
  <si>
    <t>https://conta.cc/3Hoy3k2</t>
  </si>
  <si>
    <t>7/21 La Nuit Sombre Matthias Video</t>
  </si>
  <si>
    <t>35,531 (37.1%)</t>
  </si>
  <si>
    <t>491 (0.5%)</t>
  </si>
  <si>
    <t>7/23 Morgan Freeman Promo</t>
  </si>
  <si>
    <t>35,064 (36.5%)</t>
  </si>
  <si>
    <t>769 (0.8%)</t>
  </si>
  <si>
    <t>7/15 Single Ticket On Sale Announcement</t>
  </si>
  <si>
    <t>35,285 (37.2%)</t>
  </si>
  <si>
    <t>1,708 (2%)</t>
  </si>
  <si>
    <t>7/8 Leslie Odom Jr. Promo</t>
  </si>
  <si>
    <t>35, 660 (37.6%)</t>
  </si>
  <si>
    <t>550 (0.6%)</t>
  </si>
  <si>
    <r>
      <rPr>
        <sz val="10"/>
        <color rgb="FF000000"/>
        <rFont val="Arial"/>
        <family val="2"/>
      </rPr>
      <t xml:space="preserve">Tuesday 7/1 </t>
    </r>
    <r>
      <rPr>
        <b/>
        <sz val="10"/>
        <color rgb="FF000000"/>
        <rFont val="Arial"/>
        <family val="2"/>
      </rPr>
      <t>Holiday Presentations On Sale</t>
    </r>
  </si>
  <si>
    <t>35039 (36.9%)</t>
  </si>
  <si>
    <t>822 (0.9%)</t>
  </si>
  <si>
    <t>Header: 64, Elf in Concert: 473, Handel's Messiah: 390, LOJ: 110, Christmas Festival: 144, Wonderful Life: 129</t>
  </si>
  <si>
    <r>
      <rPr>
        <sz val="10"/>
        <color rgb="FF000000"/>
        <rFont val="Arial"/>
        <family val="2"/>
      </rPr>
      <t xml:space="preserve">Tuesday 6/25 </t>
    </r>
    <r>
      <rPr>
        <b/>
        <sz val="10"/>
        <color rgb="FF000000"/>
        <rFont val="Arial"/>
        <family val="2"/>
      </rPr>
      <t>Special Presentations On Sale</t>
    </r>
  </si>
  <si>
    <t>35,617 (37%)</t>
  </si>
  <si>
    <t>1,469 (2%)</t>
  </si>
  <si>
    <t>Full lineup: 248, Morgan Freeman: 438, Chicken Fried: 456, Top Gun: 559, Lodger: 100, Indiana Jones: 204, Chris Thile: 134, Harry Potter: 139, Final Symphony: 74, Ben Rector: 108, On Stage George: 45, On Stage Leila: 53, On Stage Gil: 37, On Stage 38</t>
  </si>
  <si>
    <r>
      <rPr>
        <sz val="10"/>
        <color rgb="FF000000"/>
        <rFont val="Arial"/>
        <family val="2"/>
      </rPr>
      <t xml:space="preserve">Tuesday 6/17 </t>
    </r>
    <r>
      <rPr>
        <b/>
        <sz val="10"/>
        <color rgb="FF000000"/>
        <rFont val="Arial"/>
        <family val="2"/>
      </rPr>
      <t>Mark Your Calendar</t>
    </r>
  </si>
  <si>
    <t>37,343 (39%)</t>
  </si>
  <si>
    <t>1,999 (2%)</t>
  </si>
  <si>
    <r>
      <rPr>
        <sz val="10"/>
        <color rgb="FF000000"/>
        <rFont val="Arial"/>
        <family val="2"/>
      </rPr>
      <t xml:space="preserve">Monday 6/9 </t>
    </r>
    <r>
      <rPr>
        <b/>
        <sz val="10"/>
        <color rgb="FF000000"/>
        <rFont val="Arial"/>
        <family val="2"/>
      </rPr>
      <t>Mobile Music Box June Concert</t>
    </r>
  </si>
  <si>
    <t xml:space="preserve">
95,460</t>
  </si>
  <si>
    <t>36,052 (38%)</t>
  </si>
  <si>
    <t>594 (1%)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</si>
  <si>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Rush Promo</t>
    </r>
  </si>
  <si>
    <t>77 (44%)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</si>
  <si>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Pass Promo</t>
    </r>
  </si>
  <si>
    <t>38 (47%)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</si>
  <si>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BOGO Promo</t>
    </r>
  </si>
  <si>
    <t>2,165 (44%)</t>
  </si>
  <si>
    <t>65 (1%)</t>
  </si>
  <si>
    <r>
      <rPr>
        <sz val="10"/>
        <color rgb="FF000000"/>
        <rFont val="Arial"/>
        <family val="2"/>
      </rPr>
      <t>Wednesday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6/4</t>
    </r>
    <r>
      <rPr>
        <b/>
        <sz val="10"/>
        <color rgb="FF000000"/>
        <rFont val="Arial"/>
        <family val="2"/>
      </rPr>
      <t xml:space="preserve"> Four Larks Subscriber Early Access</t>
    </r>
  </si>
  <si>
    <t>1,452 (66.5%)</t>
  </si>
  <si>
    <t>135 (6.2%)</t>
  </si>
  <si>
    <r>
      <rPr>
        <sz val="10"/>
        <color rgb="FF000000"/>
        <rFont val="Arial"/>
        <family val="2"/>
      </rPr>
      <t>Friday 6/6</t>
    </r>
    <r>
      <rPr>
        <b/>
        <sz val="10"/>
        <color rgb="FF000000"/>
        <rFont val="Arial"/>
        <family val="2"/>
      </rPr>
      <t xml:space="preserve"> Four Lark Public On-Sale</t>
    </r>
  </si>
  <si>
    <t>35,136 (36%)</t>
  </si>
  <si>
    <t>616 (0.6%)</t>
  </si>
  <si>
    <t>DATE</t>
  </si>
  <si>
    <t>Social Post</t>
  </si>
  <si>
    <t>Views</t>
  </si>
  <si>
    <t>Engagement</t>
  </si>
  <si>
    <t>CS2 Graphic FB</t>
  </si>
  <si>
    <t>1.6K reach</t>
  </si>
  <si>
    <t>13 interactions</t>
  </si>
  <si>
    <t>CS2 Graphic IG</t>
  </si>
  <si>
    <t>682 reach</t>
  </si>
  <si>
    <t>Orchestra Games Reel FB</t>
  </si>
  <si>
    <t>1.2K reach</t>
  </si>
  <si>
    <t>16 interactions</t>
  </si>
  <si>
    <t>Orchestra Games Reel IG</t>
  </si>
  <si>
    <t>707 reach</t>
  </si>
  <si>
    <t>31 interactions</t>
  </si>
  <si>
    <t>CS1 Graphic FB</t>
  </si>
  <si>
    <t>1.7K reach</t>
  </si>
  <si>
    <t>CS1 Graphic IG</t>
  </si>
  <si>
    <t>611 reach</t>
  </si>
  <si>
    <t>22 interactions</t>
  </si>
  <si>
    <t>Journey musician feature IG</t>
  </si>
  <si>
    <t>779 reach</t>
  </si>
  <si>
    <t>17 interactions</t>
  </si>
  <si>
    <t>Journey musician feature FB</t>
  </si>
  <si>
    <t>763 reach</t>
  </si>
  <si>
    <t>12 interactions</t>
  </si>
  <si>
    <t>90s Graphic FB</t>
  </si>
  <si>
    <t>1.5K reach</t>
  </si>
  <si>
    <t>7 interactions</t>
  </si>
  <si>
    <t>90s Graphic IG</t>
  </si>
  <si>
    <t>1.1K reach</t>
  </si>
  <si>
    <t>18 interactions</t>
  </si>
  <si>
    <t>CS1 Mike G reel FB</t>
  </si>
  <si>
    <t>2.7K reach</t>
  </si>
  <si>
    <t>60 interactions</t>
  </si>
  <si>
    <t>CS1 Mike G reel IG</t>
  </si>
  <si>
    <t>51 interactions</t>
  </si>
  <si>
    <t>La nuit sombre video recap FB</t>
  </si>
  <si>
    <t>1.4K reach</t>
  </si>
  <si>
    <t>28 interactions</t>
  </si>
  <si>
    <t>La nuit sombre video recap IG</t>
  </si>
  <si>
    <t>1K reach</t>
  </si>
  <si>
    <t>19 interactions</t>
  </si>
  <si>
    <t>Journey IG Giveaway</t>
  </si>
  <si>
    <t>2.8K reach</t>
  </si>
  <si>
    <t>122 interactions</t>
  </si>
  <si>
    <t>MF Recap FB</t>
  </si>
  <si>
    <t>1.9K reach</t>
  </si>
  <si>
    <t>40 interactions</t>
  </si>
  <si>
    <t>MF Recap IG</t>
  </si>
  <si>
    <t>65 interactions</t>
  </si>
  <si>
    <t>La nuit sombre recap photos FB</t>
  </si>
  <si>
    <t>2.2K reach</t>
  </si>
  <si>
    <t>36 interactions</t>
  </si>
  <si>
    <t>La nuit sombre recap photos IG</t>
  </si>
  <si>
    <t>3.5K reach</t>
  </si>
  <si>
    <t>127 interactions</t>
  </si>
  <si>
    <t>CS1 Matthias Video FB</t>
  </si>
  <si>
    <t>974 reach</t>
  </si>
  <si>
    <t>24 interactions</t>
  </si>
  <si>
    <t>CS1 Matthias Video IG</t>
  </si>
  <si>
    <t>950 reach</t>
  </si>
  <si>
    <t>34 interactions</t>
  </si>
  <si>
    <t>MF Performance Photos FB</t>
  </si>
  <si>
    <t>8.9K reach</t>
  </si>
  <si>
    <t>204 interactions</t>
  </si>
  <si>
    <t>MF Performance Photos IG</t>
  </si>
  <si>
    <t>149 interactions</t>
  </si>
  <si>
    <t>KC Star Matthias article reshare FB</t>
  </si>
  <si>
    <t>42 interactions</t>
  </si>
  <si>
    <t>Meta Ads</t>
  </si>
  <si>
    <t>9/12-9/25</t>
  </si>
  <si>
    <t>Top Gun Ad</t>
  </si>
  <si>
    <t>83,913 reach, 154,220 impressions</t>
  </si>
  <si>
    <t>3,352 link clicks</t>
  </si>
  <si>
    <t>9/18-10/2</t>
  </si>
  <si>
    <t>90s Mixtape Ad</t>
  </si>
  <si>
    <t>31,593 reach, 53,149 impressions</t>
  </si>
  <si>
    <t>718 link clicks</t>
  </si>
  <si>
    <t>9/4 -  9/18</t>
  </si>
  <si>
    <t>CS1 Video Ad</t>
  </si>
  <si>
    <t>33,438 reach, 63,806 impressions</t>
  </si>
  <si>
    <t>2,410 link clicks</t>
  </si>
  <si>
    <t>Chicken Fried Rock FB Reel</t>
  </si>
  <si>
    <t>13 interactions, 2 shares</t>
  </si>
  <si>
    <t>Chicken Fried Rock IG Reel</t>
  </si>
  <si>
    <t>42 interactions, 3 shares</t>
  </si>
  <si>
    <t>ProAm post FB</t>
  </si>
  <si>
    <t>3.7K reach</t>
  </si>
  <si>
    <t>24 interactions, 13 shares</t>
  </si>
  <si>
    <t>ProAm post IG</t>
  </si>
  <si>
    <t>1.3K reach</t>
  </si>
  <si>
    <t>35 interactions, 6 shares</t>
  </si>
  <si>
    <t>MMB FB Reel</t>
  </si>
  <si>
    <t>MMB IG Reel</t>
  </si>
  <si>
    <t>32 interactions</t>
  </si>
  <si>
    <t>New musician welcome FB</t>
  </si>
  <si>
    <t>14.9K reach</t>
  </si>
  <si>
    <t>223 interactions, 26 comments, 10 shares</t>
  </si>
  <si>
    <t>New musician welcome IG</t>
  </si>
  <si>
    <t>9.1K reach</t>
  </si>
  <si>
    <t>515 interactions, 7 comments, 64 shares</t>
  </si>
  <si>
    <t>Chicken Fried IG</t>
  </si>
  <si>
    <t>11 interactions</t>
  </si>
  <si>
    <t>Chicken Fried FB</t>
  </si>
  <si>
    <t>15 interactions, 6 link clicks</t>
  </si>
  <si>
    <t>Journey Reel IG</t>
  </si>
  <si>
    <t>Journey Reel FB</t>
  </si>
  <si>
    <t>KC Blues Society Video IG</t>
  </si>
  <si>
    <t>KC Blues Society Video FB</t>
  </si>
  <si>
    <t>19 interactions, 61 link clicks</t>
  </si>
  <si>
    <t>CS1 Nora Video IG</t>
  </si>
  <si>
    <t>CS1 Nora Video FB</t>
  </si>
  <si>
    <t>Orchestra Games IG</t>
  </si>
  <si>
    <t>54 interactions</t>
  </si>
  <si>
    <t>Orchestra Games FB</t>
  </si>
  <si>
    <t>15 interactions, 2 link clicks</t>
  </si>
  <si>
    <t>Morgan Freeman interview reshare FB</t>
  </si>
  <si>
    <t>52 interactions, 53 link clicks</t>
  </si>
  <si>
    <t>Nora Intro IG</t>
  </si>
  <si>
    <t>Nora Intro FB</t>
  </si>
  <si>
    <t>Journey Graphic IG</t>
  </si>
  <si>
    <t>29 interactions</t>
  </si>
  <si>
    <t>Journey Graphic FB</t>
  </si>
  <si>
    <t>28 interactions, 22 link clicks</t>
  </si>
  <si>
    <t>La Nuit Sombre video IG Reel</t>
  </si>
  <si>
    <t>46 interactions</t>
  </si>
  <si>
    <t>La Nuit Sombre video FB Reel</t>
  </si>
  <si>
    <t>14 interactions</t>
  </si>
  <si>
    <t xml:space="preserve">La Nuit Sombre Price Increase FB </t>
  </si>
  <si>
    <t>19 interactions, 9 link clicks</t>
  </si>
  <si>
    <t>La Nuit Sombre Price Increase IG</t>
  </si>
  <si>
    <t>19 interactions, 11 link clicks</t>
  </si>
  <si>
    <t xml:space="preserve"> Music is for Everyone FB Reel</t>
  </si>
  <si>
    <t xml:space="preserve"> Music is for Everyone IG Reel</t>
  </si>
  <si>
    <t xml:space="preserve"> Music is for Everyone TikTok</t>
  </si>
  <si>
    <t>Are you single? FB Reel</t>
  </si>
  <si>
    <t>Are you single? IG Reel</t>
  </si>
  <si>
    <t>170 interactions</t>
  </si>
  <si>
    <t xml:space="preserve">Are you single? TikTok </t>
  </si>
  <si>
    <t>45 interactions</t>
  </si>
  <si>
    <t>Are you single? YT</t>
  </si>
  <si>
    <t>Single Tickets Graphic FB</t>
  </si>
  <si>
    <t>26 interactions</t>
  </si>
  <si>
    <t>Single Tickets Graphic IG</t>
  </si>
  <si>
    <t>53 interactions</t>
  </si>
  <si>
    <t>Sara Lohe announcement FB</t>
  </si>
  <si>
    <t>123 interactions</t>
  </si>
  <si>
    <t>Musician single ticket FB Reel</t>
  </si>
  <si>
    <t>Musician single ticket IG Reel</t>
  </si>
  <si>
    <t>37 interactions</t>
  </si>
  <si>
    <t>Musician single ticket TikTok</t>
  </si>
  <si>
    <t>Musician single ticket YT</t>
  </si>
  <si>
    <t>1 interaction</t>
  </si>
  <si>
    <t>Music is for Everyone FB Reel</t>
  </si>
  <si>
    <t>23 interactions</t>
  </si>
  <si>
    <t>Music is for Everyone IG Reel</t>
  </si>
  <si>
    <t>47 interactions</t>
  </si>
  <si>
    <t>Music is for Everyone TikTok</t>
  </si>
  <si>
    <t>Music is for Everyone YT</t>
  </si>
  <si>
    <t>Specials/Films ad</t>
  </si>
  <si>
    <t>1k impressions</t>
  </si>
  <si>
    <t xml:space="preserve">18 clicks </t>
  </si>
  <si>
    <t>Morgan Freeman video</t>
  </si>
  <si>
    <t>22k impressions</t>
  </si>
  <si>
    <t>1234 link clicks</t>
  </si>
  <si>
    <t>Holiday concerts ad</t>
  </si>
  <si>
    <t>68k impressions</t>
  </si>
  <si>
    <t>1011 link clicks</t>
  </si>
  <si>
    <t>Timeframe: August 11-18</t>
  </si>
  <si>
    <t>ECOMMERCE PURCHASES: 877</t>
  </si>
  <si>
    <t>WEBSITE REVENUE: $74,429</t>
  </si>
  <si>
    <t># OF ITEMS</t>
  </si>
  <si>
    <t>Morgan Freeman</t>
  </si>
  <si>
    <t>Music of Journey</t>
  </si>
  <si>
    <t>Top Gun</t>
  </si>
  <si>
    <t>Leslie Odom Jr.</t>
  </si>
  <si>
    <t>Indiana Jones</t>
  </si>
  <si>
    <t>Harry Potter</t>
  </si>
  <si>
    <t>It's a wonderful life</t>
  </si>
  <si>
    <t>Timeframe: July 20-July 28</t>
  </si>
  <si>
    <t>ECOMMERCE PURCHASES: 973</t>
  </si>
  <si>
    <t>WEBSITE REVENUE: $67,220</t>
  </si>
  <si>
    <t>2025/26 COY Package</t>
  </si>
  <si>
    <t>La nuit sombre</t>
  </si>
  <si>
    <t>Harry Potter 2</t>
  </si>
  <si>
    <t>ECOMMERCE PURCHASES: 1,718</t>
  </si>
  <si>
    <t>WEBSITE REVENUE: $115,644</t>
  </si>
  <si>
    <t>2025/26 Sunday Masterworks</t>
  </si>
  <si>
    <t>Timeframe: July 14-July 20</t>
  </si>
  <si>
    <t>ECOMMERCE PURCHASES: 3,027</t>
  </si>
  <si>
    <t>WEBSITE REVENUE: $188,688</t>
  </si>
  <si>
    <t>Billy Joel + Elton John</t>
  </si>
  <si>
    <t>Elf</t>
  </si>
  <si>
    <t>Traffic Acquistion</t>
  </si>
  <si>
    <t>SOURCE</t>
  </si>
  <si>
    <t>SESSIONS</t>
  </si>
  <si>
    <t>Organic Search</t>
  </si>
  <si>
    <t>Direct</t>
  </si>
  <si>
    <t>Paid Social</t>
  </si>
  <si>
    <t>Referral</t>
  </si>
  <si>
    <t>Organic Social</t>
  </si>
  <si>
    <t>MF Location</t>
  </si>
  <si>
    <t>MF Staff Member</t>
  </si>
  <si>
    <t>Date Posted</t>
  </si>
  <si>
    <t>CF Location</t>
  </si>
  <si>
    <t>CF Staff Member</t>
  </si>
  <si>
    <t>Fam Location</t>
  </si>
  <si>
    <t>Fam Staff Member</t>
  </si>
  <si>
    <t>Mildreds (NO CORKBOARD)</t>
  </si>
  <si>
    <t>Pizza Shuttle</t>
  </si>
  <si>
    <t>Stephen, Sarah and Adeca</t>
  </si>
  <si>
    <t>The Bauer Gallery</t>
  </si>
  <si>
    <t>Bizz and Weezy's</t>
  </si>
  <si>
    <t>The Sewing Labs</t>
  </si>
  <si>
    <t>Sarah</t>
  </si>
  <si>
    <t>Filling Station - Midtown</t>
  </si>
  <si>
    <t>Hannah</t>
  </si>
  <si>
    <t>Good Karma Coffee Shop</t>
  </si>
  <si>
    <t>Revised 9.17.25</t>
  </si>
  <si>
    <t>TICKET SALES REPORT as of 9/17/2025</t>
  </si>
  <si>
    <t>SINGLE TICKETS</t>
  </si>
  <si>
    <t>SUBSCRIPTION TICKETS</t>
  </si>
  <si>
    <t>SERIES</t>
  </si>
  <si>
    <t>DATE(S)</t>
  </si>
  <si>
    <t>ACTUAL</t>
  </si>
  <si>
    <t xml:space="preserve">VS. BUDGET </t>
  </si>
  <si>
    <t># SOLD</t>
  </si>
  <si>
    <t xml:space="preserve"> BUDGET </t>
  </si>
  <si>
    <t xml:space="preserve"> ACTUAL </t>
  </si>
  <si>
    <t>CAP</t>
  </si>
  <si>
    <t>CAP SOLD</t>
  </si>
  <si>
    <t>ATP</t>
  </si>
  <si>
    <t>CLASSICAL TRADITIONAL</t>
  </si>
  <si>
    <t xml:space="preserve">CS1 </t>
  </si>
  <si>
    <t>Appalachian Spring</t>
  </si>
  <si>
    <t>Oct 10-12</t>
  </si>
  <si>
    <t xml:space="preserve">CS2 </t>
  </si>
  <si>
    <t>Rachmaninoff Cele Pt 1 (SP)</t>
  </si>
  <si>
    <t>Oct 31-Nov 2</t>
  </si>
  <si>
    <t xml:space="preserve">CS3 </t>
  </si>
  <si>
    <t>Matthias and Mahler (SP)</t>
  </si>
  <si>
    <t>Nov 21-23</t>
  </si>
  <si>
    <t>CS4</t>
  </si>
  <si>
    <t>Brahms' Fourth Symphony</t>
  </si>
  <si>
    <t>Jan 9-11</t>
  </si>
  <si>
    <t>CS5</t>
  </si>
  <si>
    <t>Pines of Rome &amp; Bruch (SP)</t>
  </si>
  <si>
    <t>Jan 16-18</t>
  </si>
  <si>
    <t>CS6</t>
  </si>
  <si>
    <t>Beethoven+ (SP)</t>
  </si>
  <si>
    <t>Jan 30-Feb 1</t>
  </si>
  <si>
    <t xml:space="preserve">CS7 </t>
  </si>
  <si>
    <t>Prokofiev's Fifth Symphony</t>
  </si>
  <si>
    <t>Feb 6-8</t>
  </si>
  <si>
    <t xml:space="preserve">CS8 </t>
  </si>
  <si>
    <t>Saint-Saëns &amp; Strauss</t>
  </si>
  <si>
    <t>Mar 13-15</t>
  </si>
  <si>
    <t>CS9</t>
  </si>
  <si>
    <t>Midsummer Night's Dream (SP)</t>
  </si>
  <si>
    <t>Apr 10-12</t>
  </si>
  <si>
    <t xml:space="preserve">CS10 </t>
  </si>
  <si>
    <t>Farrenc/Dvorak/Schuman</t>
  </si>
  <si>
    <t>Apr 17-19</t>
  </si>
  <si>
    <t>CS11</t>
  </si>
  <si>
    <t>Grieg's Piano Concerto (SP)</t>
  </si>
  <si>
    <t>May 8-10</t>
  </si>
  <si>
    <t>CS12</t>
  </si>
  <si>
    <t>Gil Shaham Plays Brahm's 4th</t>
  </si>
  <si>
    <t>May 29-31</t>
  </si>
  <si>
    <t xml:space="preserve">CS13 </t>
  </si>
  <si>
    <t>Rachmaninoff Cele Pt 2</t>
  </si>
  <si>
    <t>Jun 5-7</t>
  </si>
  <si>
    <t>CS14</t>
  </si>
  <si>
    <t>Rhapsody in Blue (SP)</t>
  </si>
  <si>
    <t>Jun 19-21</t>
  </si>
  <si>
    <t>SYMPHONIC PIAZZA</t>
  </si>
  <si>
    <t>Piazza CS2</t>
  </si>
  <si>
    <t>Oct 31</t>
  </si>
  <si>
    <t>Piazza CS3</t>
  </si>
  <si>
    <t>Nov 21</t>
  </si>
  <si>
    <t>Piazza CS5</t>
  </si>
  <si>
    <t>Jan 16</t>
  </si>
  <si>
    <t>Piazza CS6</t>
  </si>
  <si>
    <t>Jan 30</t>
  </si>
  <si>
    <t>Piazza CS9</t>
  </si>
  <si>
    <t>Apr 10</t>
  </si>
  <si>
    <t>Piazza CS11</t>
  </si>
  <si>
    <t>May 8</t>
  </si>
  <si>
    <t>Piazza CS14</t>
  </si>
  <si>
    <t>Jun 19</t>
  </si>
  <si>
    <t>PS1</t>
  </si>
  <si>
    <t>Sep 19-21</t>
  </si>
  <si>
    <t>PS2</t>
  </si>
  <si>
    <t>90s Mixtape</t>
  </si>
  <si>
    <t>Oct 24-26</t>
  </si>
  <si>
    <t>PS3</t>
  </si>
  <si>
    <t>She's Got Soul</t>
  </si>
  <si>
    <t>Feb 13-15</t>
  </si>
  <si>
    <t>PS4</t>
  </si>
  <si>
    <t>Billy Joel &amp; Elton John</t>
  </si>
  <si>
    <t>Mar 27-29</t>
  </si>
  <si>
    <t>PS5</t>
  </si>
  <si>
    <t>Dolly Parton's Threads</t>
  </si>
  <si>
    <t>May 15-17</t>
  </si>
  <si>
    <t xml:space="preserve">FAMILY </t>
  </si>
  <si>
    <t>FS1</t>
  </si>
  <si>
    <t>The Orchestra Games</t>
  </si>
  <si>
    <t>Sep 28</t>
  </si>
  <si>
    <t>FS2</t>
  </si>
  <si>
    <t>Carnival of the Animals</t>
  </si>
  <si>
    <t>Nov 9</t>
  </si>
  <si>
    <t>Dec 18-21</t>
  </si>
  <si>
    <t>FS3</t>
  </si>
  <si>
    <t>Philharmonia Fantastique</t>
  </si>
  <si>
    <t>Mar 1</t>
  </si>
  <si>
    <t>Top Gun: Maverick in Concert</t>
  </si>
  <si>
    <t>Oct 17-19</t>
  </si>
  <si>
    <t xml:space="preserve"> $              -  </t>
  </si>
  <si>
    <t xml:space="preserve">          -  </t>
  </si>
  <si>
    <t>The Lodger</t>
  </si>
  <si>
    <t>Oct 22</t>
  </si>
  <si>
    <t>Elf™ in Concert</t>
  </si>
  <si>
    <t>Nov 28-30</t>
  </si>
  <si>
    <t>It's a Wonderful Life</t>
  </si>
  <si>
    <t>Dec 23-24</t>
  </si>
  <si>
    <t>Indiana Jones: Raiders Lost</t>
  </si>
  <si>
    <t>Jan 22-25</t>
  </si>
  <si>
    <t>Harry Potter 2: Chamber</t>
  </si>
  <si>
    <t>Feb 19-22</t>
  </si>
  <si>
    <t>George Li</t>
  </si>
  <si>
    <t>Oct 29</t>
  </si>
  <si>
    <t>Leila Josefowicz</t>
  </si>
  <si>
    <t>Feb 5</t>
  </si>
  <si>
    <t>Gil Shaham</t>
  </si>
  <si>
    <t>May 28</t>
  </si>
  <si>
    <t>Yefim Bronfman</t>
  </si>
  <si>
    <t>Jun 4</t>
  </si>
  <si>
    <t>OTHER CONCERTS</t>
  </si>
  <si>
    <t>Morgan Freeman Symphonic Blues</t>
  </si>
  <si>
    <t>Sep 2-3</t>
  </si>
  <si>
    <t>La Nuit Sombre (Four Larks)</t>
  </si>
  <si>
    <t>Sep 5</t>
  </si>
  <si>
    <t>Dec 5-7</t>
  </si>
  <si>
    <t>Leslie Odom Jr.: Christmas</t>
  </si>
  <si>
    <t>Dec 12-13</t>
  </si>
  <si>
    <t>Chris Thile</t>
  </si>
  <si>
    <t>Feb 12</t>
  </si>
  <si>
    <t>Mar 25-26</t>
  </si>
  <si>
    <t>May 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</si>
</sst>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0.0%"/>
    <numFmt numFmtId="168" formatCode="_([$$-409]* #,##0_);_([$$-409]* \(#,##0\);_([$$-409]* &quot;-&quot;??_);_(@_)"/>
    <numFmt numFmtId="169" formatCode="_(&quot;$&quot;* #,##0.0_);_(&quot;$&quot;* \(#,##0.0\);_(&quot;$&quot;* &quot;-&quot;?_);_(@_)"/>
    <numFmt numFmtId="170" formatCode="&quot;$&quot;#,##0.00"/>
  </numFmts>
  <fonts count="50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TT Norms Pro"/>
      <family val="2"/>
    </font>
    <font>
      <sz val="12"/>
      <name val="Aptos"/>
    </font>
    <font>
      <b/>
      <sz val="11"/>
      <color theme="1"/>
      <name val="Aptos Narrow"/>
      <family val="2"/>
      <scheme val="minor"/>
    </font>
    <font>
      <sz val="12"/>
      <name val="Arial Narrow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TT Norms Pro"/>
    </font>
    <font>
      <sz val="11"/>
      <color rgb="FF000000"/>
      <name val="Aptos Display"/>
      <scheme val="major"/>
    </font>
    <font>
      <b/>
      <u/>
      <sz val="11"/>
      <color rgb="FF000000"/>
      <name val="Aptos Narrow"/>
    </font>
    <font>
      <u/>
      <sz val="11"/>
      <color theme="10"/>
      <name val="Aptos Narrow"/>
      <family val="2"/>
      <scheme val="minor"/>
    </font>
    <font>
      <sz val="11"/>
      <color rgb="FF202124"/>
      <name val="Roboto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007BB3"/>
      <name val="Verdana"/>
      <family val="2"/>
    </font>
    <font>
      <sz val="11"/>
      <color theme="9"/>
      <name val="Verdana"/>
      <family val="2"/>
    </font>
    <font>
      <sz val="11"/>
      <name val="Verdana"/>
      <family val="2"/>
    </font>
    <font>
      <b/>
      <i/>
      <sz val="11"/>
      <color rgb="FF007BB3"/>
      <name val="Verdana"/>
      <family val="2"/>
    </font>
    <font>
      <sz val="11"/>
      <color rgb="FFFFC000"/>
      <name val="Verdana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0000"/>
      <name val="Arial Narrow"/>
      <family val="2"/>
    </font>
    <font>
      <sz val="10"/>
      <color theme="9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2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49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CB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B7E2CF"/>
        <bgColor rgb="FF000000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56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3" fillId="3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4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4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9" fontId="1" fillId="0" borderId="0" xfId="3" applyFont="1" applyFill="1" applyBorder="1"/>
    <xf numFmtId="165" fontId="1" fillId="0" borderId="0" xfId="2" applyNumberFormat="1" applyFont="1" applyFill="1" applyBorder="1" applyAlignment="1">
      <alignment horizontal="center"/>
    </xf>
    <xf numFmtId="164" fontId="1" fillId="0" borderId="7" xfId="1" applyNumberFormat="1" applyFont="1" applyFill="1" applyBorder="1"/>
    <xf numFmtId="9" fontId="1" fillId="0" borderId="7" xfId="3" applyFont="1" applyFill="1" applyBorder="1"/>
    <xf numFmtId="165" fontId="1" fillId="0" borderId="7" xfId="2" applyNumberFormat="1" applyFont="1" applyFill="1" applyBorder="1" applyAlignment="1">
      <alignment horizontal="right"/>
    </xf>
    <xf numFmtId="165" fontId="1" fillId="0" borderId="7" xfId="2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2" applyNumberFormat="1" applyFont="1" applyFill="1" applyBorder="1" applyAlignment="1">
      <alignment horizontal="right"/>
    </xf>
    <xf numFmtId="0" fontId="2" fillId="10" borderId="8" xfId="0" applyFont="1" applyFill="1" applyBorder="1"/>
    <xf numFmtId="0" fontId="1" fillId="10" borderId="9" xfId="0" applyFont="1" applyFill="1" applyBorder="1"/>
    <xf numFmtId="164" fontId="2" fillId="11" borderId="10" xfId="1" applyNumberFormat="1" applyFont="1" applyFill="1" applyBorder="1" applyAlignment="1">
      <alignment horizontal="center"/>
    </xf>
    <xf numFmtId="164" fontId="2" fillId="11" borderId="9" xfId="1" applyNumberFormat="1" applyFont="1" applyFill="1" applyBorder="1" applyAlignment="1">
      <alignment horizontal="center"/>
    </xf>
    <xf numFmtId="165" fontId="2" fillId="11" borderId="9" xfId="2" applyNumberFormat="1" applyFont="1" applyFill="1" applyBorder="1" applyAlignment="1">
      <alignment horizontal="center"/>
    </xf>
    <xf numFmtId="165" fontId="2" fillId="11" borderId="10" xfId="2" applyNumberFormat="1" applyFont="1" applyFill="1" applyBorder="1" applyAlignment="1">
      <alignment horizontal="center"/>
    </xf>
    <xf numFmtId="9" fontId="2" fillId="11" borderId="9" xfId="3" applyFont="1" applyFill="1" applyBorder="1" applyAlignment="1">
      <alignment horizontal="center"/>
    </xf>
    <xf numFmtId="165" fontId="2" fillId="11" borderId="9" xfId="2" applyNumberFormat="1" applyFont="1" applyFill="1" applyBorder="1"/>
    <xf numFmtId="1" fontId="2" fillId="11" borderId="10" xfId="1" applyNumberFormat="1" applyFont="1" applyFill="1" applyBorder="1" applyAlignment="1">
      <alignment horizontal="right"/>
    </xf>
    <xf numFmtId="1" fontId="2" fillId="11" borderId="9" xfId="1" applyNumberFormat="1" applyFont="1" applyFill="1" applyBorder="1" applyAlignment="1">
      <alignment horizontal="right"/>
    </xf>
    <xf numFmtId="1" fontId="2" fillId="11" borderId="11" xfId="1" applyNumberFormat="1" applyFont="1" applyFill="1" applyBorder="1" applyAlignment="1">
      <alignment horizontal="right"/>
    </xf>
    <xf numFmtId="165" fontId="2" fillId="11" borderId="12" xfId="2" applyNumberFormat="1" applyFont="1" applyFill="1" applyBorder="1"/>
    <xf numFmtId="165" fontId="2" fillId="11" borderId="9" xfId="2" applyNumberFormat="1" applyFont="1" applyFill="1" applyBorder="1" applyAlignment="1">
      <alignment horizontal="right"/>
    </xf>
    <xf numFmtId="9" fontId="2" fillId="11" borderId="12" xfId="3" applyFont="1" applyFill="1" applyBorder="1" applyAlignment="1">
      <alignment horizontal="center"/>
    </xf>
    <xf numFmtId="0" fontId="2" fillId="10" borderId="12" xfId="0" applyFont="1" applyFill="1" applyBorder="1"/>
    <xf numFmtId="0" fontId="1" fillId="10" borderId="12" xfId="0" applyFont="1" applyFill="1" applyBorder="1"/>
    <xf numFmtId="165" fontId="2" fillId="11" borderId="12" xfId="2" applyNumberFormat="1" applyFont="1" applyFill="1" applyBorder="1" applyAlignment="1">
      <alignment horizontal="right"/>
    </xf>
    <xf numFmtId="165" fontId="2" fillId="11" borderId="6" xfId="2" applyNumberFormat="1" applyFont="1" applyFill="1" applyBorder="1" applyAlignment="1">
      <alignment horizontal="center"/>
    </xf>
    <xf numFmtId="1" fontId="2" fillId="11" borderId="6" xfId="1" applyNumberFormat="1" applyFont="1" applyFill="1" applyBorder="1" applyAlignment="1">
      <alignment horizontal="right"/>
    </xf>
    <xf numFmtId="1" fontId="2" fillId="11" borderId="12" xfId="1" applyNumberFormat="1" applyFont="1" applyFill="1" applyBorder="1" applyAlignment="1">
      <alignment horizontal="right"/>
    </xf>
    <xf numFmtId="1" fontId="2" fillId="11" borderId="13" xfId="1" applyNumberFormat="1" applyFont="1" applyFill="1" applyBorder="1" applyAlignment="1">
      <alignment horizontal="right"/>
    </xf>
    <xf numFmtId="165" fontId="2" fillId="11" borderId="12" xfId="2" applyNumberFormat="1" applyFont="1" applyFill="1" applyBorder="1" applyAlignment="1">
      <alignment horizontal="center"/>
    </xf>
    <xf numFmtId="0" fontId="2" fillId="10" borderId="9" xfId="0" applyFont="1" applyFill="1" applyBorder="1"/>
    <xf numFmtId="1" fontId="2" fillId="11" borderId="14" xfId="1" applyNumberFormat="1" applyFont="1" applyFill="1" applyBorder="1" applyAlignment="1">
      <alignment horizontal="right"/>
    </xf>
    <xf numFmtId="0" fontId="16" fillId="0" borderId="0" xfId="0" applyFont="1"/>
    <xf numFmtId="0" fontId="17" fillId="12" borderId="8" xfId="0" applyFont="1" applyFill="1" applyBorder="1"/>
    <xf numFmtId="0" fontId="17" fillId="12" borderId="9" xfId="0" applyFont="1" applyFill="1" applyBorder="1"/>
    <xf numFmtId="164" fontId="17" fillId="12" borderId="10" xfId="1" applyNumberFormat="1" applyFont="1" applyFill="1" applyBorder="1"/>
    <xf numFmtId="165" fontId="17" fillId="12" borderId="10" xfId="2" applyNumberFormat="1" applyFont="1" applyFill="1" applyBorder="1"/>
    <xf numFmtId="165" fontId="17" fillId="12" borderId="10" xfId="2" applyNumberFormat="1" applyFont="1" applyFill="1" applyBorder="1" applyAlignment="1">
      <alignment horizontal="center"/>
    </xf>
    <xf numFmtId="165" fontId="17" fillId="12" borderId="9" xfId="2" applyNumberFormat="1" applyFont="1" applyFill="1" applyBorder="1" applyAlignment="1">
      <alignment horizontal="right"/>
    </xf>
    <xf numFmtId="3" fontId="17" fillId="12" borderId="10" xfId="1" applyNumberFormat="1" applyFont="1" applyFill="1" applyBorder="1" applyAlignment="1">
      <alignment horizontal="center"/>
    </xf>
    <xf numFmtId="9" fontId="17" fillId="12" borderId="9" xfId="3" applyFont="1" applyFill="1" applyBorder="1" applyAlignment="1">
      <alignment horizontal="center"/>
    </xf>
    <xf numFmtId="165" fontId="17" fillId="12" borderId="9" xfId="2" applyNumberFormat="1" applyFont="1" applyFill="1" applyBorder="1"/>
    <xf numFmtId="1" fontId="17" fillId="12" borderId="10" xfId="1" applyNumberFormat="1" applyFont="1" applyFill="1" applyBorder="1" applyAlignment="1">
      <alignment horizontal="right"/>
    </xf>
    <xf numFmtId="1" fontId="17" fillId="12" borderId="9" xfId="1" applyNumberFormat="1" applyFont="1" applyFill="1" applyBorder="1" applyAlignment="1">
      <alignment horizontal="right"/>
    </xf>
    <xf numFmtId="1" fontId="17" fillId="12" borderId="14" xfId="1" applyNumberFormat="1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0" xfId="0" applyNumberFormat="1" applyFont="1"/>
    <xf numFmtId="9" fontId="1" fillId="0" borderId="0" xfId="3" applyFont="1" applyBorder="1"/>
    <xf numFmtId="166" fontId="1" fillId="0" borderId="0" xfId="0" applyNumberFormat="1" applyFont="1"/>
    <xf numFmtId="165" fontId="1" fillId="0" borderId="0" xfId="0" applyNumberFormat="1" applyFont="1"/>
    <xf numFmtId="167" fontId="13" fillId="0" borderId="0" xfId="0" applyNumberFormat="1" applyFont="1"/>
    <xf numFmtId="0" fontId="18" fillId="0" borderId="0" xfId="4"/>
    <xf numFmtId="0" fontId="18" fillId="9" borderId="0" xfId="4" applyFill="1"/>
    <xf numFmtId="9" fontId="18" fillId="8" borderId="0" xfId="4" applyNumberFormat="1" applyFill="1"/>
    <xf numFmtId="0" fontId="18" fillId="8" borderId="0" xfId="4" applyFill="1"/>
    <xf numFmtId="0" fontId="18" fillId="13" borderId="0" xfId="4" applyFill="1"/>
    <xf numFmtId="9" fontId="18" fillId="14" borderId="0" xfId="4" applyNumberFormat="1" applyFill="1"/>
    <xf numFmtId="0" fontId="18" fillId="14" borderId="0" xfId="4" applyFill="1"/>
    <xf numFmtId="0" fontId="18" fillId="15" borderId="0" xfId="4" applyFill="1"/>
    <xf numFmtId="9" fontId="18" fillId="0" borderId="0" xfId="4" applyNumberFormat="1"/>
    <xf numFmtId="164" fontId="18" fillId="0" borderId="0" xfId="4" applyNumberFormat="1"/>
    <xf numFmtId="168" fontId="18" fillId="0" borderId="0" xfId="4" applyNumberFormat="1"/>
    <xf numFmtId="165" fontId="18" fillId="0" borderId="0" xfId="4" applyNumberFormat="1"/>
    <xf numFmtId="0" fontId="18" fillId="0" borderId="16" xfId="4" applyBorder="1" applyAlignment="1">
      <alignment horizontal="center"/>
    </xf>
    <xf numFmtId="0" fontId="20" fillId="0" borderId="0" xfId="4" applyFont="1"/>
    <xf numFmtId="0" fontId="18" fillId="0" borderId="15" xfId="4" applyBorder="1"/>
    <xf numFmtId="164" fontId="18" fillId="0" borderId="15" xfId="4" applyNumberFormat="1" applyBorder="1"/>
    <xf numFmtId="165" fontId="18" fillId="0" borderId="15" xfId="4" applyNumberFormat="1" applyBorder="1"/>
    <xf numFmtId="0" fontId="20" fillId="0" borderId="15" xfId="4" applyFont="1" applyBorder="1"/>
    <xf numFmtId="164" fontId="0" fillId="0" borderId="15" xfId="5" applyNumberFormat="1" applyFont="1" applyBorder="1"/>
    <xf numFmtId="168" fontId="0" fillId="0" borderId="15" xfId="5" applyNumberFormat="1" applyFont="1" applyBorder="1"/>
    <xf numFmtId="165" fontId="20" fillId="0" borderId="15" xfId="4" applyNumberFormat="1" applyFont="1" applyBorder="1"/>
    <xf numFmtId="14" fontId="18" fillId="0" borderId="0" xfId="4" applyNumberFormat="1"/>
    <xf numFmtId="164" fontId="0" fillId="9" borderId="0" xfId="5" applyNumberFormat="1" applyFont="1" applyFill="1"/>
    <xf numFmtId="164" fontId="13" fillId="0" borderId="0" xfId="1" applyNumberFormat="1" applyFont="1" applyFill="1" applyBorder="1"/>
    <xf numFmtId="168" fontId="0" fillId="9" borderId="0" xfId="6" applyNumberFormat="1" applyFont="1" applyFill="1"/>
    <xf numFmtId="164" fontId="0" fillId="0" borderId="0" xfId="5" applyNumberFormat="1" applyFont="1"/>
    <xf numFmtId="165" fontId="0" fillId="0" borderId="0" xfId="6" applyNumberFormat="1" applyFont="1"/>
    <xf numFmtId="165" fontId="20" fillId="0" borderId="0" xfId="6" applyNumberFormat="1" applyFont="1"/>
    <xf numFmtId="169" fontId="18" fillId="0" borderId="0" xfId="4" applyNumberFormat="1"/>
    <xf numFmtId="164" fontId="0" fillId="8" borderId="0" xfId="5" applyNumberFormat="1" applyFont="1" applyFill="1"/>
    <xf numFmtId="164" fontId="0" fillId="0" borderId="0" xfId="5" applyNumberFormat="1" applyFont="1" applyFill="1"/>
    <xf numFmtId="165" fontId="0" fillId="0" borderId="0" xfId="6" applyNumberFormat="1" applyFont="1" applyFill="1"/>
    <xf numFmtId="168" fontId="18" fillId="9" borderId="0" xfId="4" applyNumberFormat="1" applyFill="1"/>
    <xf numFmtId="164" fontId="18" fillId="9" borderId="0" xfId="4" applyNumberFormat="1" applyFill="1"/>
    <xf numFmtId="164" fontId="0" fillId="14" borderId="0" xfId="5" applyNumberFormat="1" applyFont="1" applyFill="1"/>
    <xf numFmtId="0" fontId="18" fillId="0" borderId="0" xfId="4" applyAlignment="1">
      <alignment horizontal="right"/>
    </xf>
    <xf numFmtId="14" fontId="18" fillId="0" borderId="0" xfId="4" applyNumberFormat="1" applyAlignment="1">
      <alignment horizontal="right"/>
    </xf>
    <xf numFmtId="9" fontId="0" fillId="0" borderId="0" xfId="7" applyFont="1"/>
    <xf numFmtId="165" fontId="0" fillId="0" borderId="0" xfId="6" applyNumberFormat="1" applyFont="1" applyBorder="1"/>
    <xf numFmtId="164" fontId="0" fillId="0" borderId="0" xfId="5" applyNumberFormat="1" applyFont="1" applyBorder="1"/>
    <xf numFmtId="165" fontId="18" fillId="0" borderId="0" xfId="2" applyNumberFormat="1" applyFont="1"/>
    <xf numFmtId="164" fontId="18" fillId="0" borderId="0" xfId="1" applyNumberFormat="1" applyFont="1"/>
    <xf numFmtId="0" fontId="0" fillId="0" borderId="16" xfId="0" applyBorder="1"/>
    <xf numFmtId="9" fontId="13" fillId="0" borderId="16" xfId="3" applyFont="1" applyBorder="1"/>
    <xf numFmtId="9" fontId="13" fillId="0" borderId="16" xfId="0" applyNumberFormat="1" applyFont="1" applyBorder="1"/>
    <xf numFmtId="9" fontId="0" fillId="0" borderId="0" xfId="0" applyNumberFormat="1"/>
    <xf numFmtId="9" fontId="0" fillId="8" borderId="0" xfId="7" applyFont="1" applyFill="1"/>
    <xf numFmtId="9" fontId="0" fillId="8" borderId="0" xfId="0" applyNumberFormat="1" applyFill="1"/>
    <xf numFmtId="9" fontId="0" fillId="14" borderId="0" xfId="7" applyFont="1" applyFill="1"/>
    <xf numFmtId="9" fontId="0" fillId="14" borderId="0" xfId="0" applyNumberFormat="1" applyFill="1"/>
    <xf numFmtId="9" fontId="13" fillId="0" borderId="16" xfId="7" applyFont="1" applyBorder="1"/>
    <xf numFmtId="9" fontId="0" fillId="0" borderId="0" xfId="3" applyFont="1" applyFill="1" applyBorder="1"/>
    <xf numFmtId="9" fontId="0" fillId="8" borderId="0" xfId="3" applyFont="1" applyFill="1"/>
    <xf numFmtId="9" fontId="0" fillId="0" borderId="0" xfId="3" applyFont="1"/>
    <xf numFmtId="0" fontId="19" fillId="0" borderId="0" xfId="4" applyFont="1"/>
    <xf numFmtId="165" fontId="11" fillId="0" borderId="0" xfId="0" applyNumberFormat="1" applyFont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0" fillId="0" borderId="0" xfId="1" applyNumberFormat="1" applyFont="1"/>
    <xf numFmtId="0" fontId="0" fillId="11" borderId="0" xfId="0" applyFill="1"/>
    <xf numFmtId="165" fontId="0" fillId="0" borderId="0" xfId="2" applyNumberFormat="1" applyFont="1"/>
    <xf numFmtId="0" fontId="21" fillId="0" borderId="0" xfId="0" applyFont="1"/>
    <xf numFmtId="14" fontId="21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21" fillId="0" borderId="7" xfId="0" applyFont="1" applyBorder="1"/>
    <xf numFmtId="14" fontId="21" fillId="0" borderId="7" xfId="0" applyNumberFormat="1" applyFont="1" applyBorder="1"/>
    <xf numFmtId="164" fontId="1" fillId="0" borderId="17" xfId="1" applyNumberFormat="1" applyFont="1" applyFill="1" applyBorder="1"/>
    <xf numFmtId="0" fontId="22" fillId="0" borderId="18" xfId="0" applyFont="1" applyBorder="1" applyAlignment="1">
      <alignment wrapText="1" readingOrder="1"/>
    </xf>
    <xf numFmtId="0" fontId="22" fillId="0" borderId="19" xfId="0" applyFont="1" applyBorder="1" applyAlignment="1">
      <alignment wrapText="1" readingOrder="1"/>
    </xf>
    <xf numFmtId="0" fontId="22" fillId="0" borderId="23" xfId="0" applyFont="1" applyBorder="1" applyAlignment="1">
      <alignment wrapText="1" readingOrder="1"/>
    </xf>
    <xf numFmtId="0" fontId="22" fillId="0" borderId="24" xfId="0" applyFont="1" applyBorder="1" applyAlignment="1">
      <alignment wrapText="1" readingOrder="1"/>
    </xf>
    <xf numFmtId="0" fontId="22" fillId="0" borderId="25" xfId="0" applyFont="1" applyBorder="1"/>
    <xf numFmtId="0" fontId="22" fillId="0" borderId="25" xfId="0" applyFont="1" applyBorder="1" applyAlignment="1">
      <alignment wrapText="1" readingOrder="1"/>
    </xf>
    <xf numFmtId="0" fontId="22" fillId="0" borderId="26" xfId="0" applyFont="1" applyBorder="1" applyAlignment="1">
      <alignment wrapText="1" readingOrder="1"/>
    </xf>
    <xf numFmtId="0" fontId="0" fillId="0" borderId="27" xfId="0" applyBorder="1"/>
    <xf numFmtId="0" fontId="22" fillId="0" borderId="28" xfId="0" applyFont="1" applyBorder="1"/>
    <xf numFmtId="0" fontId="0" fillId="0" borderId="28" xfId="0" applyBorder="1"/>
    <xf numFmtId="0" fontId="0" fillId="0" borderId="29" xfId="0" applyBorder="1"/>
    <xf numFmtId="0" fontId="22" fillId="0" borderId="24" xfId="0" applyFont="1" applyBorder="1"/>
    <xf numFmtId="0" fontId="22" fillId="0" borderId="27" xfId="0" applyFont="1" applyBorder="1"/>
    <xf numFmtId="0" fontId="22" fillId="0" borderId="30" xfId="0" applyFont="1" applyBorder="1" applyAlignment="1">
      <alignment wrapText="1" readingOrder="1"/>
    </xf>
    <xf numFmtId="0" fontId="22" fillId="0" borderId="16" xfId="0" applyFont="1" applyBorder="1" applyAlignment="1">
      <alignment wrapText="1" readingOrder="1"/>
    </xf>
    <xf numFmtId="0" fontId="22" fillId="0" borderId="31" xfId="0" applyFont="1" applyBorder="1" applyAlignment="1">
      <alignment wrapText="1" readingOrder="1"/>
    </xf>
    <xf numFmtId="0" fontId="22" fillId="17" borderId="30" xfId="0" applyFont="1" applyFill="1" applyBorder="1" applyAlignment="1">
      <alignment wrapText="1" readingOrder="1"/>
    </xf>
    <xf numFmtId="0" fontId="22" fillId="17" borderId="16" xfId="0" applyFont="1" applyFill="1" applyBorder="1" applyAlignment="1">
      <alignment wrapText="1" readingOrder="1"/>
    </xf>
    <xf numFmtId="0" fontId="22" fillId="17" borderId="31" xfId="0" applyFont="1" applyFill="1" applyBorder="1" applyAlignment="1">
      <alignment wrapText="1" readingOrder="1"/>
    </xf>
    <xf numFmtId="0" fontId="22" fillId="0" borderId="32" xfId="0" applyFont="1" applyBorder="1" applyAlignment="1">
      <alignment wrapText="1" readingOrder="1"/>
    </xf>
    <xf numFmtId="0" fontId="22" fillId="0" borderId="33" xfId="0" applyFont="1" applyBorder="1" applyAlignment="1">
      <alignment wrapText="1" readingOrder="1"/>
    </xf>
    <xf numFmtId="0" fontId="22" fillId="0" borderId="34" xfId="0" applyFont="1" applyBorder="1" applyAlignment="1">
      <alignment wrapText="1" readingOrder="1"/>
    </xf>
    <xf numFmtId="0" fontId="22" fillId="0" borderId="35" xfId="0" applyFont="1" applyBorder="1" applyAlignment="1">
      <alignment wrapText="1" readingOrder="1"/>
    </xf>
    <xf numFmtId="0" fontId="22" fillId="0" borderId="36" xfId="0" applyFont="1" applyBorder="1"/>
    <xf numFmtId="0" fontId="22" fillId="0" borderId="36" xfId="0" applyFont="1" applyBorder="1" applyAlignment="1">
      <alignment wrapText="1" readingOrder="1"/>
    </xf>
    <xf numFmtId="0" fontId="22" fillId="0" borderId="37" xfId="0" applyFont="1" applyBorder="1" applyAlignment="1">
      <alignment wrapText="1" readingOrder="1"/>
    </xf>
    <xf numFmtId="0" fontId="23" fillId="0" borderId="0" xfId="0" applyFont="1"/>
    <xf numFmtId="14" fontId="21" fillId="18" borderId="0" xfId="0" applyNumberFormat="1" applyFont="1" applyFill="1"/>
    <xf numFmtId="0" fontId="21" fillId="18" borderId="0" xfId="0" applyFont="1" applyFill="1"/>
    <xf numFmtId="0" fontId="21" fillId="0" borderId="38" xfId="0" applyFont="1" applyBorder="1"/>
    <xf numFmtId="14" fontId="21" fillId="0" borderId="38" xfId="0" applyNumberFormat="1" applyFont="1" applyBorder="1"/>
    <xf numFmtId="164" fontId="1" fillId="0" borderId="39" xfId="1" applyNumberFormat="1" applyFont="1" applyFill="1" applyBorder="1"/>
    <xf numFmtId="164" fontId="1" fillId="0" borderId="38" xfId="1" applyNumberFormat="1" applyFont="1" applyFill="1" applyBorder="1"/>
    <xf numFmtId="9" fontId="1" fillId="0" borderId="38" xfId="3" applyFont="1" applyFill="1" applyBorder="1"/>
    <xf numFmtId="165" fontId="1" fillId="0" borderId="38" xfId="2" applyNumberFormat="1" applyFont="1" applyFill="1" applyBorder="1" applyAlignment="1">
      <alignment horizontal="right"/>
    </xf>
    <xf numFmtId="165" fontId="1" fillId="0" borderId="38" xfId="2" applyNumberFormat="1" applyFont="1" applyFill="1" applyBorder="1" applyAlignment="1">
      <alignment horizontal="center"/>
    </xf>
    <xf numFmtId="0" fontId="21" fillId="19" borderId="7" xfId="0" applyFont="1" applyFill="1" applyBorder="1"/>
    <xf numFmtId="14" fontId="21" fillId="19" borderId="7" xfId="0" applyNumberFormat="1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2" fillId="11" borderId="0" xfId="2" applyNumberFormat="1" applyFont="1" applyFill="1" applyBorder="1" applyAlignment="1">
      <alignment horizontal="center"/>
    </xf>
    <xf numFmtId="165" fontId="2" fillId="11" borderId="0" xfId="2" applyNumberFormat="1" applyFont="1" applyFill="1" applyBorder="1" applyAlignment="1">
      <alignment horizontal="right"/>
    </xf>
    <xf numFmtId="164" fontId="17" fillId="12" borderId="0" xfId="1" applyNumberFormat="1" applyFont="1" applyFill="1" applyBorder="1"/>
    <xf numFmtId="9" fontId="1" fillId="0" borderId="0" xfId="2" applyNumberFormat="1" applyFont="1" applyFill="1" applyBorder="1" applyAlignment="1">
      <alignment horizontal="center"/>
    </xf>
    <xf numFmtId="14" fontId="21" fillId="20" borderId="7" xfId="0" applyNumberFormat="1" applyFont="1" applyFill="1" applyBorder="1"/>
    <xf numFmtId="0" fontId="21" fillId="20" borderId="7" xfId="0" applyFont="1" applyFill="1" applyBorder="1"/>
    <xf numFmtId="164" fontId="1" fillId="20" borderId="17" xfId="1" applyNumberFormat="1" applyFont="1" applyFill="1" applyBorder="1"/>
    <xf numFmtId="164" fontId="1" fillId="20" borderId="7" xfId="1" applyNumberFormat="1" applyFont="1" applyFill="1" applyBorder="1"/>
    <xf numFmtId="9" fontId="1" fillId="20" borderId="7" xfId="3" applyFont="1" applyFill="1" applyBorder="1"/>
    <xf numFmtId="165" fontId="1" fillId="20" borderId="7" xfId="2" applyNumberFormat="1" applyFont="1" applyFill="1" applyBorder="1" applyAlignment="1">
      <alignment horizontal="right"/>
    </xf>
    <xf numFmtId="165" fontId="1" fillId="20" borderId="7" xfId="2" applyNumberFormat="1" applyFont="1" applyFill="1" applyBorder="1" applyAlignment="1">
      <alignment horizontal="center"/>
    </xf>
    <xf numFmtId="165" fontId="17" fillId="12" borderId="0" xfId="2" applyNumberFormat="1" applyFont="1" applyFill="1" applyBorder="1" applyAlignment="1">
      <alignment horizontal="center"/>
    </xf>
    <xf numFmtId="0" fontId="24" fillId="18" borderId="0" xfId="0" applyFont="1" applyFill="1" applyAlignment="1">
      <alignment wrapText="1"/>
    </xf>
    <xf numFmtId="9" fontId="0" fillId="0" borderId="0" xfId="6" applyNumberFormat="1" applyFont="1"/>
    <xf numFmtId="0" fontId="0" fillId="25" borderId="41" xfId="0" applyFill="1" applyBorder="1" applyAlignment="1">
      <alignment horizontal="left"/>
    </xf>
    <xf numFmtId="0" fontId="27" fillId="23" borderId="43" xfId="0" applyFont="1" applyFill="1" applyBorder="1" applyAlignment="1">
      <alignment vertical="center"/>
    </xf>
    <xf numFmtId="0" fontId="0" fillId="21" borderId="41" xfId="0" applyFill="1" applyBorder="1" applyAlignment="1">
      <alignment horizontal="left"/>
    </xf>
    <xf numFmtId="0" fontId="0" fillId="24" borderId="45" xfId="0" applyFill="1" applyBorder="1"/>
    <xf numFmtId="0" fontId="27" fillId="23" borderId="46" xfId="0" applyFont="1" applyFill="1" applyBorder="1" applyAlignment="1">
      <alignment vertical="center"/>
    </xf>
    <xf numFmtId="0" fontId="0" fillId="24" borderId="42" xfId="0" applyFill="1" applyBorder="1"/>
    <xf numFmtId="0" fontId="0" fillId="21" borderId="42" xfId="0" applyFill="1" applyBorder="1" applyAlignment="1">
      <alignment horizontal="left"/>
    </xf>
    <xf numFmtId="0" fontId="27" fillId="23" borderId="47" xfId="0" applyFont="1" applyFill="1" applyBorder="1" applyAlignment="1">
      <alignment vertical="center"/>
    </xf>
    <xf numFmtId="0" fontId="0" fillId="21" borderId="46" xfId="0" applyFill="1" applyBorder="1" applyAlignment="1">
      <alignment horizontal="left"/>
    </xf>
    <xf numFmtId="0" fontId="0" fillId="24" borderId="48" xfId="0" applyFill="1" applyBorder="1"/>
    <xf numFmtId="0" fontId="0" fillId="21" borderId="49" xfId="0" applyFill="1" applyBorder="1" applyAlignment="1">
      <alignment horizontal="left"/>
    </xf>
    <xf numFmtId="0" fontId="26" fillId="26" borderId="50" xfId="0" applyFont="1" applyFill="1" applyBorder="1" applyAlignment="1">
      <alignment horizontal="center" vertical="center"/>
    </xf>
    <xf numFmtId="9" fontId="0" fillId="23" borderId="40" xfId="0" applyNumberFormat="1" applyFill="1" applyBorder="1" applyAlignment="1">
      <alignment horizontal="center" vertical="center"/>
    </xf>
    <xf numFmtId="3" fontId="0" fillId="21" borderId="47" xfId="0" applyNumberFormat="1" applyFill="1" applyBorder="1" applyAlignment="1">
      <alignment horizontal="left"/>
    </xf>
    <xf numFmtId="0" fontId="0" fillId="25" borderId="49" xfId="0" applyFill="1" applyBorder="1" applyAlignment="1">
      <alignment horizontal="left"/>
    </xf>
    <xf numFmtId="0" fontId="0" fillId="24" borderId="49" xfId="0" applyFill="1" applyBorder="1" applyAlignment="1">
      <alignment horizontal="left"/>
    </xf>
    <xf numFmtId="3" fontId="0" fillId="21" borderId="43" xfId="0" applyNumberFormat="1" applyFill="1" applyBorder="1" applyAlignment="1">
      <alignment horizontal="left"/>
    </xf>
    <xf numFmtId="0" fontId="0" fillId="25" borderId="44" xfId="0" applyFill="1" applyBorder="1"/>
    <xf numFmtId="0" fontId="27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6" fillId="21" borderId="0" xfId="0" applyFont="1" applyFill="1" applyAlignment="1">
      <alignment horizontal="center" vertical="center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7" fillId="23" borderId="52" xfId="0" applyFont="1" applyFill="1" applyBorder="1" applyAlignment="1">
      <alignment vertical="center"/>
    </xf>
    <xf numFmtId="3" fontId="0" fillId="21" borderId="53" xfId="0" applyNumberFormat="1" applyFill="1" applyBorder="1" applyAlignment="1">
      <alignment horizontal="left"/>
    </xf>
    <xf numFmtId="0" fontId="0" fillId="21" borderId="44" xfId="0" applyFill="1" applyBorder="1" applyAlignment="1">
      <alignment horizontal="left" wrapText="1"/>
    </xf>
    <xf numFmtId="3" fontId="0" fillId="0" borderId="0" xfId="0" applyNumberFormat="1"/>
    <xf numFmtId="164" fontId="29" fillId="0" borderId="0" xfId="4" applyNumberFormat="1" applyFont="1"/>
    <xf numFmtId="168" fontId="29" fillId="0" borderId="0" xfId="4" applyNumberFormat="1" applyFont="1"/>
    <xf numFmtId="0" fontId="29" fillId="0" borderId="0" xfId="4" applyFont="1"/>
    <xf numFmtId="0" fontId="26" fillId="22" borderId="44" xfId="0" applyFont="1" applyFill="1" applyBorder="1" applyAlignment="1">
      <alignment horizontal="center" vertical="center"/>
    </xf>
    <xf numFmtId="3" fontId="0" fillId="21" borderId="52" xfId="0" applyNumberFormat="1" applyFill="1" applyBorder="1" applyAlignment="1">
      <alignment horizontal="left"/>
    </xf>
    <xf numFmtId="0" fontId="0" fillId="27" borderId="0" xfId="0" applyFill="1"/>
    <xf numFmtId="0" fontId="0" fillId="27" borderId="53" xfId="0" applyFill="1" applyBorder="1" applyAlignment="1">
      <alignment horizontal="left"/>
    </xf>
    <xf numFmtId="0" fontId="0" fillId="27" borderId="44" xfId="0" applyFill="1" applyBorder="1" applyAlignment="1">
      <alignment horizontal="left"/>
    </xf>
    <xf numFmtId="0" fontId="0" fillId="27" borderId="41" xfId="0" applyFill="1" applyBorder="1" applyAlignment="1">
      <alignment horizontal="left"/>
    </xf>
    <xf numFmtId="0" fontId="0" fillId="27" borderId="54" xfId="0" applyFill="1" applyBorder="1" applyAlignment="1">
      <alignment horizontal="left"/>
    </xf>
    <xf numFmtId="3" fontId="0" fillId="25" borderId="41" xfId="0" applyNumberFormat="1" applyFill="1" applyBorder="1" applyAlignment="1">
      <alignment horizontal="left"/>
    </xf>
    <xf numFmtId="0" fontId="0" fillId="28" borderId="51" xfId="0" applyFill="1" applyBorder="1"/>
    <xf numFmtId="10" fontId="0" fillId="28" borderId="54" xfId="0" applyNumberFormat="1" applyFill="1" applyBorder="1" applyAlignment="1">
      <alignment horizontal="left"/>
    </xf>
    <xf numFmtId="6" fontId="0" fillId="0" borderId="0" xfId="0" applyNumberFormat="1"/>
    <xf numFmtId="0" fontId="26" fillId="22" borderId="52" xfId="0" applyFont="1" applyFill="1" applyBorder="1" applyAlignment="1">
      <alignment horizontal="center" vertical="center"/>
    </xf>
    <xf numFmtId="0" fontId="21" fillId="19" borderId="0" xfId="0" applyFont="1" applyFill="1"/>
    <xf numFmtId="0" fontId="26" fillId="22" borderId="38" xfId="0" applyFont="1" applyFill="1" applyBorder="1" applyAlignment="1">
      <alignment horizontal="center" vertical="center"/>
    </xf>
    <xf numFmtId="0" fontId="30" fillId="0" borderId="0" xfId="0" applyFont="1"/>
    <xf numFmtId="0" fontId="0" fillId="29" borderId="0" xfId="0" applyFill="1"/>
    <xf numFmtId="0" fontId="26" fillId="29" borderId="52" xfId="0" applyFont="1" applyFill="1" applyBorder="1" applyAlignment="1">
      <alignment horizontal="center" vertical="center"/>
    </xf>
    <xf numFmtId="0" fontId="26" fillId="29" borderId="41" xfId="0" applyFont="1" applyFill="1" applyBorder="1" applyAlignment="1">
      <alignment horizontal="center" vertical="center"/>
    </xf>
    <xf numFmtId="3" fontId="0" fillId="29" borderId="0" xfId="0" applyNumberFormat="1" applyFill="1"/>
    <xf numFmtId="3" fontId="0" fillId="27" borderId="41" xfId="0" applyNumberFormat="1" applyFill="1" applyBorder="1" applyAlignment="1">
      <alignment horizontal="left"/>
    </xf>
    <xf numFmtId="16" fontId="0" fillId="0" borderId="0" xfId="0" applyNumberFormat="1"/>
    <xf numFmtId="3" fontId="32" fillId="0" borderId="0" xfId="0" applyNumberFormat="1" applyFont="1"/>
    <xf numFmtId="10" fontId="0" fillId="24" borderId="54" xfId="0" applyNumberFormat="1" applyFill="1" applyBorder="1" applyAlignment="1">
      <alignment horizontal="left"/>
    </xf>
    <xf numFmtId="164" fontId="1" fillId="0" borderId="1" xfId="1" applyNumberFormat="1" applyFont="1" applyFill="1" applyBorder="1" applyAlignment="1">
      <alignment horizontal="right"/>
    </xf>
    <xf numFmtId="164" fontId="1" fillId="0" borderId="17" xfId="1" applyNumberFormat="1" applyFont="1" applyFill="1" applyBorder="1" applyAlignment="1">
      <alignment horizontal="right"/>
    </xf>
    <xf numFmtId="3" fontId="0" fillId="21" borderId="44" xfId="0" applyNumberFormat="1" applyFill="1" applyBorder="1" applyAlignment="1">
      <alignment horizontal="left"/>
    </xf>
    <xf numFmtId="3" fontId="0" fillId="27" borderId="51" xfId="0" applyNumberFormat="1" applyFill="1" applyBorder="1" applyAlignment="1">
      <alignment horizontal="left"/>
    </xf>
    <xf numFmtId="0" fontId="2" fillId="10" borderId="50" xfId="0" applyFont="1" applyFill="1" applyBorder="1"/>
    <xf numFmtId="0" fontId="1" fillId="10" borderId="55" xfId="0" applyFont="1" applyFill="1" applyBorder="1"/>
    <xf numFmtId="164" fontId="2" fillId="11" borderId="56" xfId="1" applyNumberFormat="1" applyFont="1" applyFill="1" applyBorder="1" applyAlignment="1">
      <alignment horizontal="center"/>
    </xf>
    <xf numFmtId="164" fontId="2" fillId="11" borderId="57" xfId="1" applyNumberFormat="1" applyFont="1" applyFill="1" applyBorder="1" applyAlignment="1">
      <alignment horizontal="center"/>
    </xf>
    <xf numFmtId="0" fontId="2" fillId="10" borderId="58" xfId="0" applyFont="1" applyFill="1" applyBorder="1"/>
    <xf numFmtId="0" fontId="1" fillId="10" borderId="59" xfId="0" applyFont="1" applyFill="1" applyBorder="1"/>
    <xf numFmtId="164" fontId="2" fillId="11" borderId="60" xfId="1" applyNumberFormat="1" applyFont="1" applyFill="1" applyBorder="1" applyAlignment="1">
      <alignment horizontal="center"/>
    </xf>
    <xf numFmtId="164" fontId="2" fillId="11" borderId="61" xfId="1" applyNumberFormat="1" applyFont="1" applyFill="1" applyBorder="1" applyAlignment="1">
      <alignment horizontal="center"/>
    </xf>
    <xf numFmtId="0" fontId="2" fillId="10" borderId="62" xfId="0" applyFont="1" applyFill="1" applyBorder="1"/>
    <xf numFmtId="0" fontId="1" fillId="10" borderId="0" xfId="0" applyFont="1" applyFill="1"/>
    <xf numFmtId="164" fontId="2" fillId="11" borderId="1" xfId="1" applyNumberFormat="1" applyFont="1" applyFill="1" applyBorder="1" applyAlignment="1">
      <alignment horizontal="center"/>
    </xf>
    <xf numFmtId="164" fontId="2" fillId="11" borderId="63" xfId="1" applyNumberFormat="1" applyFont="1" applyFill="1" applyBorder="1" applyAlignment="1">
      <alignment horizontal="center"/>
    </xf>
    <xf numFmtId="0" fontId="2" fillId="10" borderId="64" xfId="0" applyFont="1" applyFill="1" applyBorder="1"/>
    <xf numFmtId="0" fontId="1" fillId="10" borderId="65" xfId="0" applyFont="1" applyFill="1" applyBorder="1"/>
    <xf numFmtId="164" fontId="2" fillId="11" borderId="66" xfId="1" applyNumberFormat="1" applyFont="1" applyFill="1" applyBorder="1" applyAlignment="1">
      <alignment horizontal="center"/>
    </xf>
    <xf numFmtId="164" fontId="2" fillId="11" borderId="67" xfId="1" applyNumberFormat="1" applyFont="1" applyFill="1" applyBorder="1" applyAlignment="1">
      <alignment horizontal="center"/>
    </xf>
    <xf numFmtId="0" fontId="17" fillId="12" borderId="50" xfId="0" applyFont="1" applyFill="1" applyBorder="1"/>
    <xf numFmtId="0" fontId="17" fillId="12" borderId="55" xfId="0" applyFont="1" applyFill="1" applyBorder="1"/>
    <xf numFmtId="164" fontId="17" fillId="12" borderId="56" xfId="1" applyNumberFormat="1" applyFont="1" applyFill="1" applyBorder="1"/>
    <xf numFmtId="164" fontId="17" fillId="12" borderId="68" xfId="1" applyNumberFormat="1" applyFont="1" applyFill="1" applyBorder="1"/>
    <xf numFmtId="0" fontId="2" fillId="10" borderId="59" xfId="0" applyFont="1" applyFill="1" applyBorder="1"/>
    <xf numFmtId="3" fontId="0" fillId="27" borderId="54" xfId="0" applyNumberFormat="1" applyFill="1" applyBorder="1" applyAlignment="1">
      <alignment horizontal="left"/>
    </xf>
    <xf numFmtId="3" fontId="0" fillId="21" borderId="41" xfId="0" applyNumberFormat="1" applyFill="1" applyBorder="1" applyAlignment="1">
      <alignment horizontal="left"/>
    </xf>
    <xf numFmtId="0" fontId="23" fillId="30" borderId="50" xfId="0" applyFont="1" applyFill="1" applyBorder="1" applyAlignment="1">
      <alignment horizontal="center" vertical="center"/>
    </xf>
    <xf numFmtId="0" fontId="23" fillId="16" borderId="40" xfId="0" applyFont="1" applyFill="1" applyBorder="1" applyAlignment="1">
      <alignment horizontal="center" vertical="center"/>
    </xf>
    <xf numFmtId="0" fontId="23" fillId="16" borderId="50" xfId="0" applyFont="1" applyFill="1" applyBorder="1" applyAlignment="1">
      <alignment horizontal="center" vertical="center"/>
    </xf>
    <xf numFmtId="14" fontId="0" fillId="0" borderId="0" xfId="0" applyNumberFormat="1"/>
    <xf numFmtId="0" fontId="0" fillId="9" borderId="0" xfId="0" applyFill="1"/>
    <xf numFmtId="0" fontId="10" fillId="6" borderId="0" xfId="0" applyFont="1" applyFill="1" applyAlignment="1">
      <alignment wrapText="1"/>
    </xf>
    <xf numFmtId="0" fontId="10" fillId="0" borderId="0" xfId="0" applyFont="1" applyAlignment="1">
      <alignment wrapText="1"/>
    </xf>
    <xf numFmtId="170" fontId="21" fillId="19" borderId="7" xfId="0" applyNumberFormat="1" applyFont="1" applyFill="1" applyBorder="1"/>
    <xf numFmtId="170" fontId="0" fillId="0" borderId="0" xfId="0" applyNumberFormat="1"/>
    <xf numFmtId="164" fontId="1" fillId="20" borderId="1" xfId="1" applyNumberFormat="1" applyFont="1" applyFill="1" applyBorder="1"/>
    <xf numFmtId="164" fontId="1" fillId="20" borderId="0" xfId="1" applyNumberFormat="1" applyFont="1" applyFill="1" applyBorder="1"/>
    <xf numFmtId="9" fontId="1" fillId="20" borderId="0" xfId="3" applyFont="1" applyFill="1" applyBorder="1"/>
    <xf numFmtId="165" fontId="1" fillId="20" borderId="0" xfId="2" applyNumberFormat="1" applyFont="1" applyFill="1" applyBorder="1" applyAlignment="1">
      <alignment horizontal="right"/>
    </xf>
    <xf numFmtId="165" fontId="1" fillId="20" borderId="0" xfId="2" applyNumberFormat="1" applyFont="1" applyFill="1" applyBorder="1" applyAlignment="1">
      <alignment horizontal="center"/>
    </xf>
    <xf numFmtId="9" fontId="0" fillId="0" borderId="0" xfId="5" applyNumberFormat="1" applyFont="1"/>
    <xf numFmtId="14" fontId="18" fillId="16" borderId="0" xfId="4" applyNumberFormat="1" applyFill="1"/>
    <xf numFmtId="165" fontId="0" fillId="13" borderId="0" xfId="6" applyNumberFormat="1" applyFont="1" applyFill="1"/>
    <xf numFmtId="0" fontId="18" fillId="31" borderId="0" xfId="4" applyFill="1"/>
    <xf numFmtId="165" fontId="0" fillId="31" borderId="0" xfId="6" applyNumberFormat="1" applyFont="1" applyFill="1"/>
    <xf numFmtId="0" fontId="27" fillId="23" borderId="52" xfId="0" applyFont="1" applyFill="1" applyBorder="1" applyAlignment="1">
      <alignment vertical="center" wrapText="1"/>
    </xf>
    <xf numFmtId="0" fontId="34" fillId="0" borderId="0" xfId="8" applyAlignment="1">
      <alignment wrapText="1"/>
    </xf>
    <xf numFmtId="3" fontId="35" fillId="0" borderId="0" xfId="0" applyNumberFormat="1" applyFont="1"/>
    <xf numFmtId="16" fontId="27" fillId="23" borderId="52" xfId="0" applyNumberFormat="1" applyFont="1" applyFill="1" applyBorder="1" applyAlignment="1">
      <alignment vertical="center"/>
    </xf>
    <xf numFmtId="3" fontId="0" fillId="27" borderId="44" xfId="0" applyNumberFormat="1" applyFill="1" applyBorder="1" applyAlignment="1">
      <alignment horizontal="left"/>
    </xf>
    <xf numFmtId="0" fontId="31" fillId="0" borderId="7" xfId="0" applyFont="1" applyBorder="1"/>
    <xf numFmtId="0" fontId="36" fillId="0" borderId="0" xfId="0" applyFont="1"/>
    <xf numFmtId="0" fontId="3" fillId="32" borderId="0" xfId="0" applyFont="1" applyFill="1"/>
    <xf numFmtId="0" fontId="37" fillId="0" borderId="0" xfId="0" applyFont="1"/>
    <xf numFmtId="1" fontId="0" fillId="0" borderId="0" xfId="0" applyNumberFormat="1"/>
    <xf numFmtId="9" fontId="37" fillId="0" borderId="0" xfId="0" applyNumberFormat="1" applyFont="1"/>
    <xf numFmtId="9" fontId="37" fillId="33" borderId="0" xfId="0" applyNumberFormat="1" applyFont="1" applyFill="1"/>
    <xf numFmtId="0" fontId="0" fillId="13" borderId="0" xfId="0" applyFill="1"/>
    <xf numFmtId="0" fontId="13" fillId="0" borderId="16" xfId="0" applyFont="1" applyBorder="1" applyAlignment="1">
      <alignment wrapText="1"/>
    </xf>
    <xf numFmtId="0" fontId="37" fillId="0" borderId="16" xfId="0" applyFont="1" applyBorder="1"/>
    <xf numFmtId="0" fontId="33" fillId="13" borderId="44" xfId="0" applyFont="1" applyFill="1" applyBorder="1"/>
    <xf numFmtId="16" fontId="23" fillId="13" borderId="43" xfId="0" applyNumberFormat="1" applyFont="1" applyFill="1" applyBorder="1" applyAlignment="1">
      <alignment horizontal="left"/>
    </xf>
    <xf numFmtId="3" fontId="23" fillId="13" borderId="45" xfId="0" applyNumberFormat="1" applyFont="1" applyFill="1" applyBorder="1"/>
    <xf numFmtId="0" fontId="23" fillId="13" borderId="44" xfId="0" applyFont="1" applyFill="1" applyBorder="1"/>
    <xf numFmtId="0" fontId="26" fillId="9" borderId="44" xfId="0" applyFont="1" applyFill="1" applyBorder="1" applyAlignment="1">
      <alignment horizontal="center" vertical="center"/>
    </xf>
    <xf numFmtId="0" fontId="26" fillId="9" borderId="43" xfId="0" applyFont="1" applyFill="1" applyBorder="1" applyAlignment="1">
      <alignment horizontal="center" vertical="center"/>
    </xf>
    <xf numFmtId="3" fontId="0" fillId="27" borderId="48" xfId="0" applyNumberFormat="1" applyFill="1" applyBorder="1" applyAlignment="1">
      <alignment horizontal="left"/>
    </xf>
    <xf numFmtId="10" fontId="0" fillId="27" borderId="54" xfId="0" applyNumberFormat="1" applyFill="1" applyBorder="1" applyAlignment="1">
      <alignment horizontal="left"/>
    </xf>
    <xf numFmtId="0" fontId="25" fillId="22" borderId="43" xfId="0" applyFont="1" applyFill="1" applyBorder="1" applyAlignment="1">
      <alignment horizontal="left" vertical="center"/>
    </xf>
    <xf numFmtId="10" fontId="0" fillId="34" borderId="54" xfId="0" applyNumberFormat="1" applyFill="1" applyBorder="1" applyAlignment="1">
      <alignment horizontal="left"/>
    </xf>
    <xf numFmtId="0" fontId="13" fillId="13" borderId="16" xfId="0" applyFont="1" applyFill="1" applyBorder="1" applyAlignment="1">
      <alignment wrapText="1"/>
    </xf>
    <xf numFmtId="9" fontId="13" fillId="13" borderId="0" xfId="0" applyNumberFormat="1" applyFont="1" applyFill="1"/>
    <xf numFmtId="10" fontId="37" fillId="28" borderId="54" xfId="0" applyNumberFormat="1" applyFont="1" applyFill="1" applyBorder="1" applyAlignment="1">
      <alignment horizontal="left"/>
    </xf>
    <xf numFmtId="0" fontId="39" fillId="0" borderId="0" xfId="0" applyFont="1"/>
    <xf numFmtId="10" fontId="39" fillId="0" borderId="0" xfId="0" applyNumberFormat="1" applyFont="1"/>
    <xf numFmtId="0" fontId="40" fillId="0" borderId="0" xfId="0" applyFont="1"/>
    <xf numFmtId="16" fontId="39" fillId="0" borderId="0" xfId="0" applyNumberFormat="1" applyFont="1"/>
    <xf numFmtId="0" fontId="39" fillId="0" borderId="0" xfId="0" applyFont="1" applyAlignment="1">
      <alignment wrapText="1"/>
    </xf>
    <xf numFmtId="10" fontId="39" fillId="0" borderId="0" xfId="0" applyNumberFormat="1" applyFont="1" applyAlignment="1">
      <alignment wrapText="1"/>
    </xf>
    <xf numFmtId="3" fontId="39" fillId="0" borderId="0" xfId="0" applyNumberFormat="1" applyFont="1"/>
    <xf numFmtId="10" fontId="41" fillId="0" borderId="0" xfId="0" applyNumberFormat="1" applyFont="1"/>
    <xf numFmtId="9" fontId="39" fillId="0" borderId="0" xfId="0" applyNumberFormat="1" applyFont="1"/>
    <xf numFmtId="10" fontId="42" fillId="0" borderId="0" xfId="0" applyNumberFormat="1" applyFont="1"/>
    <xf numFmtId="10" fontId="42" fillId="0" borderId="0" xfId="0" applyNumberFormat="1" applyFont="1" applyAlignment="1">
      <alignment wrapText="1"/>
    </xf>
    <xf numFmtId="3" fontId="39" fillId="0" borderId="0" xfId="0" applyNumberFormat="1" applyFont="1" applyAlignment="1">
      <alignment wrapText="1"/>
    </xf>
    <xf numFmtId="10" fontId="41" fillId="0" borderId="0" xfId="0" applyNumberFormat="1" applyFont="1" applyAlignment="1">
      <alignment wrapText="1"/>
    </xf>
    <xf numFmtId="10" fontId="44" fillId="0" borderId="0" xfId="0" applyNumberFormat="1" applyFont="1"/>
    <xf numFmtId="1" fontId="0" fillId="18" borderId="0" xfId="0" applyNumberFormat="1" applyFill="1"/>
    <xf numFmtId="164" fontId="0" fillId="16" borderId="0" xfId="0" applyNumberFormat="1" applyFill="1"/>
    <xf numFmtId="0" fontId="0" fillId="16" borderId="0" xfId="0" applyFill="1"/>
    <xf numFmtId="0" fontId="8" fillId="0" borderId="0" xfId="0" applyFont="1"/>
    <xf numFmtId="0" fontId="11" fillId="0" borderId="0" xfId="0" applyFont="1"/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45" fillId="0" borderId="0" xfId="0" applyFont="1"/>
    <xf numFmtId="0" fontId="45" fillId="0" borderId="1" xfId="0" applyFont="1" applyBorder="1" applyAlignment="1">
      <alignment wrapText="1"/>
    </xf>
    <xf numFmtId="0" fontId="46" fillId="0" borderId="0" xfId="0" applyFont="1"/>
    <xf numFmtId="0" fontId="45" fillId="0" borderId="1" xfId="0" applyFont="1" applyBorder="1"/>
    <xf numFmtId="0" fontId="45" fillId="0" borderId="2" xfId="0" applyFont="1" applyBorder="1"/>
    <xf numFmtId="3" fontId="1" fillId="0" borderId="0" xfId="0" applyNumberFormat="1" applyFont="1"/>
    <xf numFmtId="3" fontId="1" fillId="0" borderId="1" xfId="0" applyNumberFormat="1" applyFont="1" applyBorder="1"/>
    <xf numFmtId="9" fontId="1" fillId="0" borderId="0" xfId="0" applyNumberFormat="1" applyFont="1"/>
    <xf numFmtId="0" fontId="1" fillId="0" borderId="2" xfId="0" applyFont="1" applyBorder="1"/>
    <xf numFmtId="6" fontId="1" fillId="0" borderId="2" xfId="0" applyNumberFormat="1" applyFont="1" applyBorder="1"/>
    <xf numFmtId="0" fontId="2" fillId="35" borderId="0" xfId="0" applyFont="1" applyFill="1"/>
    <xf numFmtId="168" fontId="1" fillId="0" borderId="1" xfId="0" applyNumberFormat="1" applyFont="1" applyBorder="1"/>
    <xf numFmtId="168" fontId="1" fillId="0" borderId="0" xfId="0" applyNumberFormat="1" applyFont="1"/>
    <xf numFmtId="164" fontId="1" fillId="0" borderId="1" xfId="0" applyNumberFormat="1" applyFont="1" applyBorder="1"/>
    <xf numFmtId="0" fontId="5" fillId="0" borderId="0" xfId="0" applyFont="1"/>
    <xf numFmtId="168" fontId="45" fillId="0" borderId="1" xfId="0" applyNumberFormat="1" applyFont="1" applyBorder="1" applyAlignment="1">
      <alignment wrapText="1"/>
    </xf>
    <xf numFmtId="168" fontId="45" fillId="0" borderId="0" xfId="0" applyNumberFormat="1" applyFont="1"/>
    <xf numFmtId="168" fontId="9" fillId="0" borderId="0" xfId="0" applyNumberFormat="1" applyFont="1"/>
    <xf numFmtId="0" fontId="1" fillId="0" borderId="65" xfId="0" applyFont="1" applyBorder="1"/>
    <xf numFmtId="168" fontId="1" fillId="0" borderId="66" xfId="0" applyNumberFormat="1" applyFont="1" applyBorder="1"/>
    <xf numFmtId="168" fontId="1" fillId="0" borderId="65" xfId="0" applyNumberFormat="1" applyFont="1" applyBorder="1"/>
    <xf numFmtId="168" fontId="9" fillId="0" borderId="65" xfId="0" applyNumberFormat="1" applyFont="1" applyBorder="1"/>
    <xf numFmtId="164" fontId="1" fillId="0" borderId="65" xfId="0" applyNumberFormat="1" applyFont="1" applyBorder="1"/>
    <xf numFmtId="3" fontId="1" fillId="0" borderId="65" xfId="0" applyNumberFormat="1" applyFont="1" applyBorder="1"/>
    <xf numFmtId="9" fontId="1" fillId="0" borderId="65" xfId="0" applyNumberFormat="1" applyFont="1" applyBorder="1"/>
    <xf numFmtId="6" fontId="1" fillId="0" borderId="73" xfId="0" applyNumberFormat="1" applyFont="1" applyBorder="1"/>
    <xf numFmtId="0" fontId="2" fillId="35" borderId="74" xfId="0" applyFont="1" applyFill="1" applyBorder="1"/>
    <xf numFmtId="0" fontId="2" fillId="35" borderId="65" xfId="0" applyFont="1" applyFill="1" applyBorder="1"/>
    <xf numFmtId="0" fontId="1" fillId="35" borderId="65" xfId="0" applyFont="1" applyFill="1" applyBorder="1"/>
    <xf numFmtId="168" fontId="2" fillId="36" borderId="66" xfId="0" applyNumberFormat="1" applyFont="1" applyFill="1" applyBorder="1"/>
    <xf numFmtId="168" fontId="47" fillId="36" borderId="65" xfId="0" applyNumberFormat="1" applyFont="1" applyFill="1" applyBorder="1"/>
    <xf numFmtId="164" fontId="2" fillId="36" borderId="66" xfId="0" applyNumberFormat="1" applyFont="1" applyFill="1" applyBorder="1"/>
    <xf numFmtId="168" fontId="2" fillId="36" borderId="65" xfId="0" applyNumberFormat="1" applyFont="1" applyFill="1" applyBorder="1"/>
    <xf numFmtId="3" fontId="2" fillId="36" borderId="65" xfId="0" applyNumberFormat="1" applyFont="1" applyFill="1" applyBorder="1"/>
    <xf numFmtId="9" fontId="2" fillId="36" borderId="65" xfId="0" applyNumberFormat="1" applyFont="1" applyFill="1" applyBorder="1"/>
    <xf numFmtId="6" fontId="2" fillId="36" borderId="73" xfId="0" applyNumberFormat="1" applyFont="1" applyFill="1" applyBorder="1"/>
    <xf numFmtId="168" fontId="2" fillId="0" borderId="0" xfId="0" applyNumberFormat="1" applyFont="1"/>
    <xf numFmtId="16" fontId="1" fillId="0" borderId="0" xfId="0" quotePrefix="1" applyNumberFormat="1" applyFont="1"/>
    <xf numFmtId="0" fontId="1" fillId="0" borderId="0" xfId="0" quotePrefix="1" applyFont="1"/>
    <xf numFmtId="0" fontId="1" fillId="0" borderId="65" xfId="0" quotePrefix="1" applyFont="1" applyBorder="1"/>
    <xf numFmtId="3" fontId="1" fillId="0" borderId="66" xfId="0" applyNumberFormat="1" applyFont="1" applyBorder="1"/>
    <xf numFmtId="168" fontId="0" fillId="0" borderId="0" xfId="0" applyNumberFormat="1"/>
    <xf numFmtId="168" fontId="1" fillId="0" borderId="75" xfId="0" applyNumberFormat="1" applyFont="1" applyBorder="1"/>
    <xf numFmtId="164" fontId="1" fillId="0" borderId="66" xfId="0" applyNumberFormat="1" applyFont="1" applyBorder="1"/>
    <xf numFmtId="168" fontId="1" fillId="0" borderId="76" xfId="0" applyNumberFormat="1" applyFont="1" applyBorder="1"/>
    <xf numFmtId="168" fontId="2" fillId="0" borderId="1" xfId="0" applyNumberFormat="1" applyFont="1" applyBorder="1"/>
    <xf numFmtId="168" fontId="47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7" fillId="0" borderId="0" xfId="0" applyFont="1"/>
    <xf numFmtId="168" fontId="47" fillId="36" borderId="66" xfId="0" applyNumberFormat="1" applyFont="1" applyFill="1" applyBorder="1"/>
    <xf numFmtId="0" fontId="2" fillId="36" borderId="65" xfId="0" applyFont="1" applyFill="1" applyBorder="1"/>
    <xf numFmtId="168" fontId="48" fillId="0" borderId="0" xfId="0" applyNumberFormat="1" applyFont="1"/>
    <xf numFmtId="0" fontId="2" fillId="0" borderId="65" xfId="0" applyFont="1" applyBorder="1"/>
    <xf numFmtId="0" fontId="1" fillId="0" borderId="66" xfId="0" applyFont="1" applyBorder="1"/>
    <xf numFmtId="0" fontId="2" fillId="35" borderId="77" xfId="0" applyFont="1" applyFill="1" applyBorder="1"/>
    <xf numFmtId="168" fontId="2" fillId="36" borderId="1" xfId="0" applyNumberFormat="1" applyFont="1" applyFill="1" applyBorder="1"/>
    <xf numFmtId="164" fontId="2" fillId="36" borderId="1" xfId="0" applyNumberFormat="1" applyFont="1" applyFill="1" applyBorder="1"/>
    <xf numFmtId="168" fontId="2" fillId="36" borderId="0" xfId="0" applyNumberFormat="1" applyFont="1" applyFill="1"/>
    <xf numFmtId="0" fontId="2" fillId="36" borderId="0" xfId="0" applyFont="1" applyFill="1"/>
    <xf numFmtId="9" fontId="2" fillId="36" borderId="0" xfId="0" applyNumberFormat="1" applyFont="1" applyFill="1"/>
    <xf numFmtId="6" fontId="2" fillId="36" borderId="2" xfId="0" applyNumberFormat="1" applyFont="1" applyFill="1" applyBorder="1"/>
    <xf numFmtId="0" fontId="47" fillId="37" borderId="69" xfId="0" applyFont="1" applyFill="1" applyBorder="1"/>
    <xf numFmtId="0" fontId="47" fillId="37" borderId="70" xfId="0" applyFont="1" applyFill="1" applyBorder="1"/>
    <xf numFmtId="168" fontId="47" fillId="37" borderId="71" xfId="0" applyNumberFormat="1" applyFont="1" applyFill="1" applyBorder="1"/>
    <xf numFmtId="164" fontId="47" fillId="37" borderId="71" xfId="0" applyNumberFormat="1" applyFont="1" applyFill="1" applyBorder="1"/>
    <xf numFmtId="9" fontId="47" fillId="37" borderId="70" xfId="0" applyNumberFormat="1" applyFont="1" applyFill="1" applyBorder="1"/>
    <xf numFmtId="6" fontId="47" fillId="37" borderId="72" xfId="0" applyNumberFormat="1" applyFont="1" applyFill="1" applyBorder="1"/>
    <xf numFmtId="164" fontId="0" fillId="0" borderId="0" xfId="5" applyNumberFormat="1" applyFont="1" applyAlignment="1">
      <alignment horizontal="right"/>
    </xf>
    <xf numFmtId="0" fontId="26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0" fillId="13" borderId="48" xfId="0" applyNumberFormat="1" applyFill="1" applyBorder="1" applyAlignment="1">
      <alignment horizontal="left"/>
    </xf>
    <xf numFmtId="168" fontId="1" fillId="0" borderId="0" xfId="2" applyNumberFormat="1" applyFont="1" applyFill="1" applyBorder="1" applyAlignment="1">
      <alignment horizontal="center"/>
    </xf>
    <xf numFmtId="168" fontId="1" fillId="20" borderId="7" xfId="2" applyNumberFormat="1" applyFont="1" applyFill="1" applyBorder="1" applyAlignment="1">
      <alignment horizontal="center"/>
    </xf>
    <xf numFmtId="168" fontId="1" fillId="0" borderId="7" xfId="2" applyNumberFormat="1" applyFont="1" applyFill="1" applyBorder="1" applyAlignment="1">
      <alignment horizontal="center"/>
    </xf>
    <xf numFmtId="168" fontId="1" fillId="20" borderId="0" xfId="2" applyNumberFormat="1" applyFont="1" applyFill="1" applyBorder="1" applyAlignment="1">
      <alignment horizontal="center"/>
    </xf>
    <xf numFmtId="168" fontId="1" fillId="0" borderId="38" xfId="2" applyNumberFormat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3" fillId="0" borderId="0" xfId="0" applyFont="1"/>
    <xf numFmtId="0" fontId="3" fillId="3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9" fontId="1" fillId="0" borderId="0" xfId="3" applyFont="1" applyFill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9" fontId="1" fillId="20" borderId="0" xfId="3" applyFont="1" applyFill="1" applyBorder="1" applyAlignment="1">
      <alignment horizontal="right"/>
    </xf>
    <xf numFmtId="168" fontId="1" fillId="0" borderId="0" xfId="3" applyNumberFormat="1" applyFont="1" applyFill="1" applyBorder="1" applyAlignment="1">
      <alignment horizontal="right"/>
    </xf>
    <xf numFmtId="168" fontId="1" fillId="0" borderId="7" xfId="3" applyNumberFormat="1" applyFont="1" applyFill="1" applyBorder="1" applyAlignment="1">
      <alignment horizontal="right"/>
    </xf>
    <xf numFmtId="168" fontId="1" fillId="20" borderId="7" xfId="3" applyNumberFormat="1" applyFont="1" applyFill="1" applyBorder="1" applyAlignment="1">
      <alignment horizontal="right"/>
    </xf>
    <xf numFmtId="168" fontId="1" fillId="0" borderId="38" xfId="3" applyNumberFormat="1" applyFont="1" applyFill="1" applyBorder="1" applyAlignment="1">
      <alignment horizontal="right"/>
    </xf>
    <xf numFmtId="168" fontId="1" fillId="20" borderId="0" xfId="3" applyNumberFormat="1" applyFont="1" applyFill="1" applyBorder="1" applyAlignment="1">
      <alignment horizontal="right"/>
    </xf>
    <xf numFmtId="168" fontId="6" fillId="0" borderId="0" xfId="2" applyNumberFormat="1" applyFont="1" applyFill="1" applyBorder="1" applyAlignment="1">
      <alignment horizontal="center"/>
    </xf>
    <xf numFmtId="168" fontId="6" fillId="0" borderId="7" xfId="2" applyNumberFormat="1" applyFont="1" applyFill="1" applyBorder="1" applyAlignment="1">
      <alignment horizontal="center"/>
    </xf>
    <xf numFmtId="9" fontId="1" fillId="32" borderId="0" xfId="3" applyFont="1" applyFill="1" applyBorder="1"/>
    <xf numFmtId="9" fontId="1" fillId="32" borderId="7" xfId="3" applyFont="1" applyFill="1" applyBorder="1"/>
    <xf numFmtId="9" fontId="1" fillId="13" borderId="0" xfId="3" applyFont="1" applyFill="1" applyBorder="1"/>
    <xf numFmtId="9" fontId="1" fillId="0" borderId="7" xfId="3" applyFont="1" applyFill="1" applyBorder="1" applyAlignment="1">
      <alignment horizontal="right"/>
    </xf>
    <xf numFmtId="168" fontId="49" fillId="0" borderId="7" xfId="2" applyNumberFormat="1" applyFont="1" applyFill="1" applyBorder="1" applyAlignment="1">
      <alignment horizontal="center"/>
    </xf>
    <xf numFmtId="0" fontId="1" fillId="0" borderId="42" xfId="0" applyFont="1" applyBorder="1"/>
    <xf numFmtId="9" fontId="13" fillId="0" borderId="0" xfId="0" applyNumberFormat="1" applyFont="1"/>
    <xf numFmtId="16" fontId="0" fillId="18" borderId="0" xfId="0" applyNumberFormat="1" applyFill="1"/>
    <xf numFmtId="1" fontId="23" fillId="0" borderId="0" xfId="0" applyNumberFormat="1" applyFont="1"/>
    <xf numFmtId="9" fontId="49" fillId="0" borderId="0" xfId="3" applyFont="1" applyFill="1" applyBorder="1"/>
    <xf numFmtId="164" fontId="16" fillId="16" borderId="0" xfId="0" applyNumberFormat="1" applyFont="1" applyFill="1" applyAlignment="1">
      <alignment horizontal="right"/>
    </xf>
    <xf numFmtId="164" fontId="16" fillId="0" borderId="0" xfId="0" applyNumberFormat="1" applyFont="1" applyAlignment="1">
      <alignment horizontal="right"/>
    </xf>
    <xf numFmtId="164" fontId="1" fillId="0" borderId="0" xfId="1" applyNumberFormat="1" applyFont="1" applyFill="1" applyBorder="1" applyAlignment="1">
      <alignment horizontal="center" vertical="center"/>
    </xf>
    <xf numFmtId="9" fontId="1" fillId="0" borderId="0" xfId="1" applyNumberFormat="1" applyFont="1" applyFill="1" applyBorder="1" applyAlignment="1">
      <alignment horizontal="center" vertical="center"/>
    </xf>
    <xf numFmtId="168" fontId="16" fillId="16" borderId="0" xfId="0" applyNumberFormat="1" applyFont="1" applyFill="1" applyAlignment="1">
      <alignment horizontal="right"/>
    </xf>
    <xf numFmtId="168" fontId="16" fillId="0" borderId="0" xfId="0" applyNumberFormat="1" applyFont="1"/>
    <xf numFmtId="164" fontId="16" fillId="16" borderId="0" xfId="0" applyNumberFormat="1" applyFont="1" applyFill="1"/>
    <xf numFmtId="168" fontId="16" fillId="16" borderId="0" xfId="0" applyNumberFormat="1" applyFont="1" applyFill="1"/>
    <xf numFmtId="164" fontId="16" fillId="0" borderId="0" xfId="0" applyNumberFormat="1" applyFont="1"/>
    <xf numFmtId="0" fontId="16" fillId="16" borderId="0" xfId="0" applyFont="1" applyFill="1"/>
    <xf numFmtId="8" fontId="16" fillId="0" borderId="0" xfId="0" applyNumberFormat="1" applyFont="1"/>
    <xf numFmtId="170" fontId="16" fillId="0" borderId="0" xfId="0" applyNumberFormat="1" applyFont="1"/>
    <xf numFmtId="168" fontId="9" fillId="16" borderId="0" xfId="0" applyNumberFormat="1" applyFont="1" applyFill="1" applyAlignment="1">
      <alignment horizontal="right"/>
    </xf>
    <xf numFmtId="9" fontId="16" fillId="0" borderId="0" xfId="0" applyNumberFormat="1" applyFont="1" applyAlignment="1">
      <alignment horizontal="center"/>
    </xf>
    <xf numFmtId="164" fontId="16" fillId="16" borderId="7" xfId="0" applyNumberFormat="1" applyFont="1" applyFill="1" applyBorder="1" applyAlignment="1">
      <alignment horizontal="right"/>
    </xf>
    <xf numFmtId="168" fontId="16" fillId="16" borderId="7" xfId="0" applyNumberFormat="1" applyFont="1" applyFill="1" applyBorder="1" applyAlignment="1">
      <alignment horizontal="right"/>
    </xf>
    <xf numFmtId="168" fontId="16" fillId="0" borderId="7" xfId="0" applyNumberFormat="1" applyFont="1" applyBorder="1"/>
    <xf numFmtId="9" fontId="16" fillId="0" borderId="7" xfId="0" applyNumberFormat="1" applyFont="1" applyBorder="1" applyAlignment="1">
      <alignment horizontal="center"/>
    </xf>
    <xf numFmtId="164" fontId="16" fillId="16" borderId="7" xfId="0" applyNumberFormat="1" applyFont="1" applyFill="1" applyBorder="1"/>
    <xf numFmtId="168" fontId="16" fillId="16" borderId="7" xfId="0" applyNumberFormat="1" applyFont="1" applyFill="1" applyBorder="1"/>
    <xf numFmtId="164" fontId="16" fillId="0" borderId="7" xfId="0" applyNumberFormat="1" applyFont="1" applyBorder="1"/>
    <xf numFmtId="0" fontId="16" fillId="16" borderId="7" xfId="0" applyFont="1" applyFill="1" applyBorder="1"/>
    <xf numFmtId="164" fontId="16" fillId="20" borderId="7" xfId="0" applyNumberFormat="1" applyFont="1" applyFill="1" applyBorder="1"/>
    <xf numFmtId="164" fontId="1" fillId="20" borderId="7" xfId="1" applyNumberFormat="1" applyFont="1" applyFill="1" applyBorder="1" applyAlignment="1">
      <alignment horizontal="center" vertical="center"/>
    </xf>
    <xf numFmtId="168" fontId="16" fillId="20" borderId="7" xfId="0" applyNumberFormat="1" applyFont="1" applyFill="1" applyBorder="1"/>
    <xf numFmtId="9" fontId="16" fillId="20" borderId="7" xfId="0" applyNumberFormat="1" applyFont="1" applyFill="1" applyBorder="1" applyAlignment="1">
      <alignment horizontal="center"/>
    </xf>
    <xf numFmtId="0" fontId="16" fillId="20" borderId="7" xfId="0" applyFont="1" applyFill="1" applyBorder="1"/>
    <xf numFmtId="0" fontId="16" fillId="19" borderId="7" xfId="0" applyFont="1" applyFill="1" applyBorder="1"/>
    <xf numFmtId="9" fontId="6" fillId="0" borderId="0" xfId="3" applyFont="1" applyFill="1" applyBorder="1"/>
    <xf numFmtId="9" fontId="6" fillId="0" borderId="7" xfId="3" applyFont="1" applyFill="1" applyBorder="1"/>
    <xf numFmtId="164" fontId="16" fillId="0" borderId="7" xfId="0" applyNumberFormat="1" applyFont="1" applyBorder="1" applyAlignment="1">
      <alignment horizontal="right"/>
    </xf>
    <xf numFmtId="164" fontId="1" fillId="0" borderId="7" xfId="1" applyNumberFormat="1" applyFont="1" applyFill="1" applyBorder="1" applyAlignment="1">
      <alignment horizontal="center" vertical="center"/>
    </xf>
    <xf numFmtId="9" fontId="1" fillId="0" borderId="7" xfId="1" applyNumberFormat="1" applyFont="1" applyFill="1" applyBorder="1" applyAlignment="1">
      <alignment horizontal="center" vertical="center"/>
    </xf>
    <xf numFmtId="8" fontId="16" fillId="0" borderId="7" xfId="0" applyNumberFormat="1" applyFont="1" applyBorder="1"/>
    <xf numFmtId="9" fontId="9" fillId="0" borderId="0" xfId="3" applyFont="1" applyFill="1" applyBorder="1"/>
    <xf numFmtId="164" fontId="16" fillId="20" borderId="7" xfId="0" applyNumberFormat="1" applyFont="1" applyFill="1" applyBorder="1" applyAlignment="1">
      <alignment horizontal="right"/>
    </xf>
    <xf numFmtId="164" fontId="16" fillId="16" borderId="38" xfId="0" applyNumberFormat="1" applyFont="1" applyFill="1" applyBorder="1" applyAlignment="1">
      <alignment horizontal="right"/>
    </xf>
    <xf numFmtId="164" fontId="1" fillId="0" borderId="38" xfId="1" applyNumberFormat="1" applyFont="1" applyFill="1" applyBorder="1" applyAlignment="1">
      <alignment horizontal="center" vertical="center"/>
    </xf>
    <xf numFmtId="168" fontId="16" fillId="16" borderId="38" xfId="0" applyNumberFormat="1" applyFont="1" applyFill="1" applyBorder="1"/>
    <xf numFmtId="168" fontId="16" fillId="0" borderId="38" xfId="0" applyNumberFormat="1" applyFont="1" applyBorder="1"/>
    <xf numFmtId="9" fontId="16" fillId="0" borderId="38" xfId="0" applyNumberFormat="1" applyFont="1" applyBorder="1" applyAlignment="1">
      <alignment horizontal="center"/>
    </xf>
    <xf numFmtId="164" fontId="16" fillId="16" borderId="38" xfId="0" applyNumberFormat="1" applyFont="1" applyFill="1" applyBorder="1"/>
    <xf numFmtId="164" fontId="16" fillId="0" borderId="38" xfId="0" applyNumberFormat="1" applyFont="1" applyBorder="1"/>
    <xf numFmtId="0" fontId="16" fillId="16" borderId="38" xfId="0" applyFont="1" applyFill="1" applyBorder="1"/>
    <xf numFmtId="8" fontId="16" fillId="0" borderId="38" xfId="0" applyNumberFormat="1" applyFont="1" applyBorder="1"/>
    <xf numFmtId="168" fontId="9" fillId="16" borderId="0" xfId="0" applyNumberFormat="1" applyFont="1" applyFill="1"/>
    <xf numFmtId="164" fontId="16" fillId="20" borderId="0" xfId="0" applyNumberFormat="1" applyFont="1" applyFill="1"/>
    <xf numFmtId="164" fontId="1" fillId="20" borderId="0" xfId="1" applyNumberFormat="1" applyFont="1" applyFill="1" applyBorder="1" applyAlignment="1">
      <alignment horizontal="center" vertical="center"/>
    </xf>
    <xf numFmtId="168" fontId="16" fillId="20" borderId="0" xfId="0" applyNumberFormat="1" applyFont="1" applyFill="1"/>
    <xf numFmtId="9" fontId="16" fillId="20" borderId="0" xfId="0" applyNumberFormat="1" applyFont="1" applyFill="1" applyAlignment="1">
      <alignment horizontal="center"/>
    </xf>
    <xf numFmtId="9" fontId="1" fillId="0" borderId="42" xfId="3" applyFont="1" applyFill="1" applyBorder="1"/>
    <xf numFmtId="164" fontId="1" fillId="0" borderId="0" xfId="1" applyNumberFormat="1" applyFont="1" applyBorder="1"/>
    <xf numFmtId="165" fontId="1" fillId="0" borderId="0" xfId="2" applyNumberFormat="1" applyFont="1" applyBorder="1" applyAlignment="1">
      <alignment horizontal="right"/>
    </xf>
    <xf numFmtId="165" fontId="1" fillId="0" borderId="0" xfId="2" applyNumberFormat="1" applyFont="1" applyBorder="1" applyAlignment="1">
      <alignment horizontal="center"/>
    </xf>
    <xf numFmtId="168" fontId="1" fillId="0" borderId="0" xfId="2" applyNumberFormat="1" applyFont="1" applyBorder="1" applyAlignment="1">
      <alignment horizontal="center"/>
    </xf>
    <xf numFmtId="9" fontId="1" fillId="0" borderId="54" xfId="3" applyFont="1" applyFill="1" applyBorder="1"/>
    <xf numFmtId="164" fontId="1" fillId="0" borderId="7" xfId="1" applyNumberFormat="1" applyFont="1" applyBorder="1"/>
    <xf numFmtId="165" fontId="1" fillId="0" borderId="7" xfId="2" applyNumberFormat="1" applyFont="1" applyBorder="1" applyAlignment="1">
      <alignment horizontal="right"/>
    </xf>
    <xf numFmtId="165" fontId="1" fillId="0" borderId="7" xfId="2" applyNumberFormat="1" applyFont="1" applyBorder="1" applyAlignment="1">
      <alignment horizontal="center"/>
    </xf>
    <xf numFmtId="168" fontId="1" fillId="0" borderId="7" xfId="2" applyNumberFormat="1" applyFont="1" applyBorder="1" applyAlignment="1">
      <alignment horizontal="center"/>
    </xf>
    <xf numFmtId="170" fontId="16" fillId="0" borderId="7" xfId="0" applyNumberFormat="1" applyFont="1" applyBorder="1"/>
    <xf numFmtId="164" fontId="1" fillId="0" borderId="1" xfId="1" applyNumberFormat="1" applyFont="1" applyBorder="1"/>
    <xf numFmtId="168" fontId="1" fillId="0" borderId="0" xfId="1" applyNumberFormat="1" applyFont="1" applyFill="1" applyBorder="1" applyAlignment="1">
      <alignment horizontal="center" vertical="center"/>
    </xf>
    <xf numFmtId="168" fontId="1" fillId="20" borderId="7" xfId="1" applyNumberFormat="1" applyFont="1" applyFill="1" applyBorder="1" applyAlignment="1">
      <alignment horizontal="center" vertical="center"/>
    </xf>
    <xf numFmtId="168" fontId="1" fillId="0" borderId="7" xfId="1" applyNumberFormat="1" applyFont="1" applyFill="1" applyBorder="1" applyAlignment="1">
      <alignment horizontal="center" vertical="center"/>
    </xf>
    <xf numFmtId="168" fontId="1" fillId="20" borderId="0" xfId="1" applyNumberFormat="1" applyFont="1" applyFill="1" applyBorder="1" applyAlignment="1">
      <alignment horizontal="center" vertical="center"/>
    </xf>
    <xf numFmtId="168" fontId="49" fillId="0" borderId="0" xfId="2" applyNumberFormat="1" applyFont="1" applyFill="1" applyBorder="1" applyAlignment="1">
      <alignment horizontal="center"/>
    </xf>
    <xf numFmtId="9" fontId="49" fillId="0" borderId="7" xfId="3" applyFont="1" applyFill="1" applyBorder="1"/>
    <xf numFmtId="164" fontId="0" fillId="23" borderId="0" xfId="0" applyNumberFormat="1" applyFill="1"/>
    <xf numFmtId="0" fontId="0" fillId="23" borderId="0" xfId="0" applyFill="1"/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 wrapText="1"/>
    </xf>
    <xf numFmtId="0" fontId="10" fillId="7" borderId="0" xfId="0" applyFont="1" applyFill="1" applyAlignment="1">
      <alignment horizontal="center"/>
    </xf>
    <xf numFmtId="0" fontId="11" fillId="0" borderId="15" xfId="0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" fontId="0" fillId="0" borderId="0" xfId="0" applyNumberFormat="1" applyAlignment="1">
      <alignment horizontal="left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9" fillId="0" borderId="0" xfId="4" applyFont="1" applyAlignment="1">
      <alignment horizontal="center"/>
    </xf>
    <xf numFmtId="0" fontId="18" fillId="0" borderId="16" xfId="4" applyBorder="1" applyAlignment="1">
      <alignment horizontal="center"/>
    </xf>
    <xf numFmtId="0" fontId="22" fillId="0" borderId="20" xfId="0" applyFont="1" applyBorder="1" applyAlignment="1">
      <alignment wrapText="1" readingOrder="1"/>
    </xf>
    <xf numFmtId="0" fontId="22" fillId="0" borderId="21" xfId="0" applyFont="1" applyBorder="1" applyAlignment="1">
      <alignment wrapText="1" readingOrder="1"/>
    </xf>
    <xf numFmtId="0" fontId="22" fillId="0" borderId="22" xfId="0" applyFont="1" applyBorder="1" applyAlignment="1">
      <alignment wrapText="1" readingOrder="1"/>
    </xf>
    <xf numFmtId="9" fontId="13" fillId="0" borderId="16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29" borderId="43" xfId="0" applyFill="1" applyBorder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1" fillId="0" borderId="0" xfId="0" applyFont="1" applyAlignment="1"/>
    <xf numFmtId="0" fontId="5" fillId="7" borderId="0" xfId="0" applyFont="1" applyFill="1" applyAlignment="1"/>
    <xf numFmtId="0" fontId="10" fillId="6" borderId="0" xfId="0" applyFont="1" applyFill="1" applyAlignment="1"/>
    <xf numFmtId="0" fontId="10" fillId="7" borderId="0" xfId="0" applyFont="1" applyFill="1" applyAlignment="1"/>
    <xf numFmtId="0" fontId="10" fillId="5" borderId="0" xfId="0" applyFont="1" applyFill="1" applyAlignment="1"/>
    <xf numFmtId="0" fontId="10" fillId="6" borderId="42" xfId="0" applyFont="1" applyFill="1" applyBorder="1" applyAlignment="1"/>
    <xf numFmtId="0" fontId="11" fillId="0" borderId="0" xfId="0" applyFont="1" applyAlignment="1"/>
  </cellXfs>
  <cellStyles count="9">
    <cellStyle name="Comma" xfId="1" builtinId="3"/>
    <cellStyle name="Comma 2" xfId="5" xr:uid="{99A94C92-21F5-429C-A9FD-E445B09A06EA}"/>
    <cellStyle name="Currency" xfId="2" builtinId="4"/>
    <cellStyle name="Currency 2" xfId="6" xr:uid="{B393435F-F0B9-4BD7-85FF-E0A8560ADAD7}"/>
    <cellStyle name="Hyperlink" xfId="8" builtinId="8"/>
    <cellStyle name="Normal" xfId="0" builtinId="0"/>
    <cellStyle name="Normal 2" xfId="4" xr:uid="{5D47700F-7E58-4DF0-802E-5D8BCC5D6F3E}"/>
    <cellStyle name="Percent" xfId="3" builtinId="5"/>
    <cellStyle name="Percent 2" xfId="7" xr:uid="{76F2B184-27B8-40F1-8F86-983DBB47196C}"/>
  </cellStyles>
  <dxfs count="167"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theme="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</dxfs>
  <tableStyles count="0" defaultTableStyle="TableStyleMedium2" defaultPivotStyle="PivotStyleLight16"/>
  <colors>
    <mruColors>
      <color rgb="FFF7C7AC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PS1 Journey (Sep</a:t>
            </a:r>
            <a:r>
              <a:rPr lang="en-US" baseline="0"/>
              <a:t> </a:t>
            </a:r>
            <a:r>
              <a:rPr lang="en-US"/>
              <a:t>19-21)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'PS1 Journey'!$A$4</c:f>
              <c:strCache>
                <c:ptCount val="1"/>
                <c:pt idx="0">
                  <c:v>9/19/2025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Journey'!$B$4:$G$4</c:f>
              <c:numCache>
                <c:formatCode>General</c:formatCode>
                <c:ptCount val="6"/>
                <c:pt idx="0">
                  <c:v>60</c:v>
                </c:pt>
                <c:pt idx="1">
                  <c:v>160</c:v>
                </c:pt>
                <c:pt idx="2">
                  <c:v>205</c:v>
                </c:pt>
                <c:pt idx="3">
                  <c:v>262</c:v>
                </c:pt>
                <c:pt idx="4">
                  <c:v>311</c:v>
                </c:pt>
                <c:pt idx="5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1-4DF3-9CE7-22CA195ADA1D}"/>
            </c:ext>
          </c:extLst>
        </c:ser>
        <c:ser>
          <c:idx val="1"/>
          <c:order val="1"/>
          <c:tx>
            <c:strRef>
              <c:f>'PS1 Journey'!$A$5</c:f>
              <c:strCache>
                <c:ptCount val="1"/>
                <c:pt idx="0">
                  <c:v>9/20/2025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Journey'!$B$5:$G$5</c:f>
              <c:numCache>
                <c:formatCode>General</c:formatCode>
                <c:ptCount val="6"/>
                <c:pt idx="0">
                  <c:v>63</c:v>
                </c:pt>
                <c:pt idx="1">
                  <c:v>206</c:v>
                </c:pt>
                <c:pt idx="2">
                  <c:v>250</c:v>
                </c:pt>
                <c:pt idx="3">
                  <c:v>294</c:v>
                </c:pt>
                <c:pt idx="4">
                  <c:v>360</c:v>
                </c:pt>
                <c:pt idx="5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1-4DF3-9CE7-22CA195ADA1D}"/>
            </c:ext>
          </c:extLst>
        </c:ser>
        <c:ser>
          <c:idx val="2"/>
          <c:order val="2"/>
          <c:tx>
            <c:strRef>
              <c:f>'PS1 Journey'!$A$6</c:f>
              <c:strCache>
                <c:ptCount val="1"/>
                <c:pt idx="0">
                  <c:v>9/21/2025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Journey'!$B$6:$G$6</c:f>
              <c:numCache>
                <c:formatCode>General</c:formatCode>
                <c:ptCount val="6"/>
                <c:pt idx="0">
                  <c:v>57</c:v>
                </c:pt>
                <c:pt idx="1">
                  <c:v>219</c:v>
                </c:pt>
                <c:pt idx="2">
                  <c:v>296</c:v>
                </c:pt>
                <c:pt idx="3">
                  <c:v>322</c:v>
                </c:pt>
                <c:pt idx="4">
                  <c:v>444</c:v>
                </c:pt>
                <c:pt idx="5">
                  <c:v>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1-4DF3-9CE7-22CA195ADA1D}"/>
            </c:ext>
          </c:extLst>
        </c:ser>
        <c:ser>
          <c:idx val="3"/>
          <c:order val="3"/>
          <c:tx>
            <c:strRef>
              <c:f>'PS1 Journey'!$A$7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Journey'!$B$7:$G$7</c:f>
              <c:numCache>
                <c:formatCode>0</c:formatCode>
                <c:ptCount val="6"/>
                <c:pt idx="0">
                  <c:v>280.245</c:v>
                </c:pt>
                <c:pt idx="1">
                  <c:v>308.26949999999999</c:v>
                </c:pt>
                <c:pt idx="2">
                  <c:v>364.31850000000003</c:v>
                </c:pt>
                <c:pt idx="3">
                  <c:v>429.709</c:v>
                </c:pt>
                <c:pt idx="4">
                  <c:v>551.14850000000001</c:v>
                </c:pt>
                <c:pt idx="5">
                  <c:v>934.15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11-4DF3-9CE7-22CA195AD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CS1 Appalachian Spring (Oct 10-12)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'CS1 Appalachian'!$A$4</c:f>
              <c:strCache>
                <c:ptCount val="1"/>
                <c:pt idx="0">
                  <c:v>10/10/2025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Appalachian'!$B$4:$J$4</c:f>
              <c:numCache>
                <c:formatCode>General</c:formatCode>
                <c:ptCount val="9"/>
                <c:pt idx="0">
                  <c:v>60</c:v>
                </c:pt>
                <c:pt idx="1">
                  <c:v>100</c:v>
                </c:pt>
                <c:pt idx="2">
                  <c:v>106</c:v>
                </c:pt>
                <c:pt idx="3">
                  <c:v>135</c:v>
                </c:pt>
                <c:pt idx="4">
                  <c:v>193</c:v>
                </c:pt>
                <c:pt idx="5">
                  <c:v>212</c:v>
                </c:pt>
                <c:pt idx="6">
                  <c:v>238</c:v>
                </c:pt>
                <c:pt idx="7">
                  <c:v>326</c:v>
                </c:pt>
                <c:pt idx="8">
                  <c:v>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5-4B3F-A447-71E89C076B42}"/>
            </c:ext>
          </c:extLst>
        </c:ser>
        <c:ser>
          <c:idx val="1"/>
          <c:order val="1"/>
          <c:tx>
            <c:strRef>
              <c:f>'CS1 Appalachian'!$A$5</c:f>
              <c:strCache>
                <c:ptCount val="1"/>
                <c:pt idx="0">
                  <c:v>10/11/2025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Appalachian'!$B$5:$J$5</c:f>
              <c:numCache>
                <c:formatCode>General</c:formatCode>
                <c:ptCount val="9"/>
                <c:pt idx="0">
                  <c:v>63</c:v>
                </c:pt>
                <c:pt idx="1">
                  <c:v>98</c:v>
                </c:pt>
                <c:pt idx="2">
                  <c:v>115</c:v>
                </c:pt>
                <c:pt idx="3">
                  <c:v>130</c:v>
                </c:pt>
                <c:pt idx="4">
                  <c:v>179</c:v>
                </c:pt>
                <c:pt idx="5">
                  <c:v>225</c:v>
                </c:pt>
                <c:pt idx="6">
                  <c:v>258</c:v>
                </c:pt>
                <c:pt idx="7">
                  <c:v>355</c:v>
                </c:pt>
                <c:pt idx="8">
                  <c:v>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5-4B3F-A447-71E89C076B42}"/>
            </c:ext>
          </c:extLst>
        </c:ser>
        <c:ser>
          <c:idx val="2"/>
          <c:order val="2"/>
          <c:tx>
            <c:strRef>
              <c:f>'CS1 Appalachian'!$A$6</c:f>
              <c:strCache>
                <c:ptCount val="1"/>
                <c:pt idx="0">
                  <c:v>10/12/2025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Appalachian'!$B$6:$J$6</c:f>
              <c:numCache>
                <c:formatCode>General</c:formatCode>
                <c:ptCount val="9"/>
                <c:pt idx="0">
                  <c:v>57</c:v>
                </c:pt>
                <c:pt idx="1">
                  <c:v>137</c:v>
                </c:pt>
                <c:pt idx="2">
                  <c:v>154</c:v>
                </c:pt>
                <c:pt idx="3">
                  <c:v>174</c:v>
                </c:pt>
                <c:pt idx="4">
                  <c:v>239</c:v>
                </c:pt>
                <c:pt idx="5">
                  <c:v>295</c:v>
                </c:pt>
                <c:pt idx="6">
                  <c:v>328</c:v>
                </c:pt>
                <c:pt idx="7">
                  <c:v>430</c:v>
                </c:pt>
                <c:pt idx="8">
                  <c:v>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E5-4B3F-A447-71E89C076B42}"/>
            </c:ext>
          </c:extLst>
        </c:ser>
        <c:ser>
          <c:idx val="3"/>
          <c:order val="3"/>
          <c:tx>
            <c:strRef>
              <c:f>'CS1 Appalachian'!$A$7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Appalachian'!$B$7:$J$7</c:f>
              <c:numCache>
                <c:formatCode>0</c:formatCode>
                <c:ptCount val="9"/>
                <c:pt idx="0">
                  <c:v>151.72499999999999</c:v>
                </c:pt>
                <c:pt idx="1">
                  <c:v>173.4</c:v>
                </c:pt>
                <c:pt idx="2">
                  <c:v>195.07500000000002</c:v>
                </c:pt>
                <c:pt idx="3">
                  <c:v>216.75</c:v>
                </c:pt>
                <c:pt idx="4">
                  <c:v>238.42500000000001</c:v>
                </c:pt>
                <c:pt idx="5">
                  <c:v>281.77500000000003</c:v>
                </c:pt>
                <c:pt idx="6">
                  <c:v>332.35</c:v>
                </c:pt>
                <c:pt idx="7">
                  <c:v>426.27499999999998</c:v>
                </c:pt>
                <c:pt idx="8">
                  <c:v>722.5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E5-4B3F-A447-71E89C07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PS2 90s Mixtape (Oct 24-26)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'PS2 90s Mixtape'!$A$4</c:f>
              <c:strCache>
                <c:ptCount val="1"/>
                <c:pt idx="0">
                  <c:v>10/24/2025 Sales (Fri)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Mixtape'!$B$4:$L$4</c:f>
              <c:numCache>
                <c:formatCode>General</c:formatCode>
                <c:ptCount val="11"/>
                <c:pt idx="0">
                  <c:v>60</c:v>
                </c:pt>
                <c:pt idx="1">
                  <c:v>64</c:v>
                </c:pt>
                <c:pt idx="2">
                  <c:v>68</c:v>
                </c:pt>
                <c:pt idx="3">
                  <c:v>74</c:v>
                </c:pt>
                <c:pt idx="4">
                  <c:v>80</c:v>
                </c:pt>
                <c:pt idx="5">
                  <c:v>92</c:v>
                </c:pt>
                <c:pt idx="6">
                  <c:v>115</c:v>
                </c:pt>
                <c:pt idx="7">
                  <c:v>145</c:v>
                </c:pt>
                <c:pt idx="8">
                  <c:v>166</c:v>
                </c:pt>
                <c:pt idx="9">
                  <c:v>193</c:v>
                </c:pt>
                <c:pt idx="10">
                  <c:v>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6-4845-B937-C6A26FDAF4AF}"/>
            </c:ext>
          </c:extLst>
        </c:ser>
        <c:ser>
          <c:idx val="1"/>
          <c:order val="1"/>
          <c:tx>
            <c:strRef>
              <c:f>'PS2 90s Mixtape'!$A$5</c:f>
              <c:strCache>
                <c:ptCount val="1"/>
                <c:pt idx="0">
                  <c:v>10/25/2025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Mixtape'!$B$5:$L$5</c:f>
              <c:numCache>
                <c:formatCode>General</c:formatCode>
                <c:ptCount val="11"/>
                <c:pt idx="0">
                  <c:v>63</c:v>
                </c:pt>
                <c:pt idx="1">
                  <c:v>63</c:v>
                </c:pt>
                <c:pt idx="2">
                  <c:v>73</c:v>
                </c:pt>
                <c:pt idx="3">
                  <c:v>93</c:v>
                </c:pt>
                <c:pt idx="4">
                  <c:v>106</c:v>
                </c:pt>
                <c:pt idx="5">
                  <c:v>114</c:v>
                </c:pt>
                <c:pt idx="6">
                  <c:v>155</c:v>
                </c:pt>
                <c:pt idx="7">
                  <c:v>190</c:v>
                </c:pt>
                <c:pt idx="8">
                  <c:v>218</c:v>
                </c:pt>
                <c:pt idx="9">
                  <c:v>257</c:v>
                </c:pt>
                <c:pt idx="10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6-4845-B937-C6A26FDAF4AF}"/>
            </c:ext>
          </c:extLst>
        </c:ser>
        <c:ser>
          <c:idx val="2"/>
          <c:order val="2"/>
          <c:tx>
            <c:strRef>
              <c:f>'PS2 90s Mixtape'!$A$6</c:f>
              <c:strCache>
                <c:ptCount val="1"/>
                <c:pt idx="0">
                  <c:v>10/26/2025 Sales (Sun)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Mixtape'!$B$6:$L$6</c:f>
              <c:numCache>
                <c:formatCode>General</c:formatCode>
                <c:ptCount val="11"/>
                <c:pt idx="0">
                  <c:v>57</c:v>
                </c:pt>
                <c:pt idx="1">
                  <c:v>59</c:v>
                </c:pt>
                <c:pt idx="2">
                  <c:v>66</c:v>
                </c:pt>
                <c:pt idx="3">
                  <c:v>74</c:v>
                </c:pt>
                <c:pt idx="4">
                  <c:v>76</c:v>
                </c:pt>
                <c:pt idx="5">
                  <c:v>87</c:v>
                </c:pt>
                <c:pt idx="6">
                  <c:v>110</c:v>
                </c:pt>
                <c:pt idx="7">
                  <c:v>163</c:v>
                </c:pt>
                <c:pt idx="8">
                  <c:v>181</c:v>
                </c:pt>
                <c:pt idx="9">
                  <c:v>209</c:v>
                </c:pt>
                <c:pt idx="10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A6-4845-B937-C6A26FDAF4AF}"/>
            </c:ext>
          </c:extLst>
        </c:ser>
        <c:ser>
          <c:idx val="3"/>
          <c:order val="3"/>
          <c:tx>
            <c:strRef>
              <c:f>'PS2 90s Mixtape'!$A$7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Mixtape'!$B$7:$L$7</c:f>
              <c:numCache>
                <c:formatCode>0</c:formatCode>
                <c:ptCount val="11"/>
                <c:pt idx="0">
                  <c:v>140.25</c:v>
                </c:pt>
                <c:pt idx="1">
                  <c:v>168.29999999999998</c:v>
                </c:pt>
                <c:pt idx="2">
                  <c:v>196.35</c:v>
                </c:pt>
                <c:pt idx="3">
                  <c:v>224.4</c:v>
                </c:pt>
                <c:pt idx="4">
                  <c:v>252.45000000000002</c:v>
                </c:pt>
                <c:pt idx="5">
                  <c:v>280.5</c:v>
                </c:pt>
                <c:pt idx="6">
                  <c:v>308.55</c:v>
                </c:pt>
                <c:pt idx="7">
                  <c:v>364.65000000000003</c:v>
                </c:pt>
                <c:pt idx="8">
                  <c:v>430.1</c:v>
                </c:pt>
                <c:pt idx="9">
                  <c:v>551.65</c:v>
                </c:pt>
                <c:pt idx="10">
                  <c:v>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A6-4845-B937-C6A26FDAF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MFSB (Sep 2-3)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MFSB!$A$3</c:f>
              <c:strCache>
                <c:ptCount val="1"/>
                <c:pt idx="0">
                  <c:v>9/2/2025 Sales (Tue)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MFSB!$B$3:$E$3</c:f>
              <c:numCache>
                <c:formatCode>General</c:formatCode>
                <c:ptCount val="4"/>
                <c:pt idx="0">
                  <c:v>754</c:v>
                </c:pt>
                <c:pt idx="1">
                  <c:v>915</c:v>
                </c:pt>
                <c:pt idx="2">
                  <c:v>1013</c:v>
                </c:pt>
                <c:pt idx="3">
                  <c:v>1096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0-4A91-9048-C8C36A58E787}"/>
            </c:ext>
          </c:extLst>
        </c:ser>
        <c:ser>
          <c:idx val="1"/>
          <c:order val="1"/>
          <c:tx>
            <c:strRef>
              <c:f>MFSB!$A$4</c:f>
              <c:strCache>
                <c:ptCount val="1"/>
                <c:pt idx="0">
                  <c:v>9/3/2025 Sales (Wed)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MFSB!$B$4:$E$4</c:f>
              <c:numCache>
                <c:formatCode>General</c:formatCode>
                <c:ptCount val="4"/>
                <c:pt idx="0">
                  <c:v>651</c:v>
                </c:pt>
                <c:pt idx="1">
                  <c:v>826</c:v>
                </c:pt>
                <c:pt idx="2">
                  <c:v>926</c:v>
                </c:pt>
                <c:pt idx="3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0-4A91-9048-C8C36A58E787}"/>
            </c:ext>
          </c:extLst>
        </c:ser>
        <c:ser>
          <c:idx val="2"/>
          <c:order val="2"/>
          <c:tx>
            <c:strRef>
              <c:f>MFSB!$A$5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MFSB!$B$5:$E$5</c:f>
              <c:numCache>
                <c:formatCode>0</c:formatCode>
                <c:ptCount val="4"/>
                <c:pt idx="0">
                  <c:v>431.61300000000006</c:v>
                </c:pt>
                <c:pt idx="1">
                  <c:v>509.08200000000005</c:v>
                </c:pt>
                <c:pt idx="2">
                  <c:v>652.95299999999997</c:v>
                </c:pt>
                <c:pt idx="3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20-4A91-9048-C8C36A58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CS2 Rachmaninoff (Oct 31-Nov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'CS2 Rachmaninoff'!$A$4</c:f>
              <c:strCache>
                <c:ptCount val="1"/>
                <c:pt idx="0">
                  <c:v>10/31/2025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Rachmaninoff'!$B$4:$L$4</c:f>
              <c:numCache>
                <c:formatCode>_(* #,##0_);_(* \(#,##0\);_(* "-"??_);_(@_)</c:formatCode>
                <c:ptCount val="11"/>
                <c:pt idx="0">
                  <c:v>87</c:v>
                </c:pt>
                <c:pt idx="1">
                  <c:v>93</c:v>
                </c:pt>
                <c:pt idx="2" formatCode="General">
                  <c:v>102</c:v>
                </c:pt>
                <c:pt idx="3" formatCode="General">
                  <c:v>106</c:v>
                </c:pt>
                <c:pt idx="4" formatCode="General">
                  <c:v>111</c:v>
                </c:pt>
                <c:pt idx="5" formatCode="General">
                  <c:v>124</c:v>
                </c:pt>
                <c:pt idx="6" formatCode="General">
                  <c:v>144</c:v>
                </c:pt>
                <c:pt idx="7" formatCode="General">
                  <c:v>183</c:v>
                </c:pt>
                <c:pt idx="8" formatCode="General">
                  <c:v>234</c:v>
                </c:pt>
                <c:pt idx="9" formatCode="General">
                  <c:v>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B-4143-8BC8-397A65ACA5DC}"/>
            </c:ext>
          </c:extLst>
        </c:ser>
        <c:ser>
          <c:idx val="1"/>
          <c:order val="1"/>
          <c:tx>
            <c:strRef>
              <c:f>'CS2 Rachmaninoff'!$A$5</c:f>
              <c:strCache>
                <c:ptCount val="1"/>
                <c:pt idx="0">
                  <c:v>11/01/2025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Rachmaninoff'!$B$5:$L$5</c:f>
              <c:numCache>
                <c:formatCode>_(* #,##0_);_(* \(#,##0\);_(* "-"??_);_(@_)</c:formatCode>
                <c:ptCount val="11"/>
                <c:pt idx="0">
                  <c:v>192</c:v>
                </c:pt>
                <c:pt idx="1">
                  <c:v>209</c:v>
                </c:pt>
                <c:pt idx="2" formatCode="General">
                  <c:v>256</c:v>
                </c:pt>
                <c:pt idx="3" formatCode="General">
                  <c:v>310</c:v>
                </c:pt>
                <c:pt idx="4" formatCode="General">
                  <c:v>340</c:v>
                </c:pt>
                <c:pt idx="5" formatCode="General">
                  <c:v>382</c:v>
                </c:pt>
                <c:pt idx="6" formatCode="General">
                  <c:v>446</c:v>
                </c:pt>
                <c:pt idx="7" formatCode="General">
                  <c:v>527</c:v>
                </c:pt>
                <c:pt idx="8" formatCode="General">
                  <c:v>648</c:v>
                </c:pt>
                <c:pt idx="9" formatCode="General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B-4143-8BC8-397A65ACA5DC}"/>
            </c:ext>
          </c:extLst>
        </c:ser>
        <c:ser>
          <c:idx val="2"/>
          <c:order val="2"/>
          <c:tx>
            <c:strRef>
              <c:f>'CS2 Rachmaninoff'!$A$6</c:f>
              <c:strCache>
                <c:ptCount val="1"/>
                <c:pt idx="0">
                  <c:v>11/02/2025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Rachmaninoff'!$B$6:$L$6</c:f>
              <c:numCache>
                <c:formatCode>_(* #,##0_);_(* \(#,##0\);_(* "-"??_);_(@_)</c:formatCode>
                <c:ptCount val="11"/>
                <c:pt idx="0">
                  <c:v>138</c:v>
                </c:pt>
                <c:pt idx="1">
                  <c:v>165</c:v>
                </c:pt>
                <c:pt idx="2" formatCode="General">
                  <c:v>187</c:v>
                </c:pt>
                <c:pt idx="3" formatCode="General">
                  <c:v>219</c:v>
                </c:pt>
                <c:pt idx="4" formatCode="General">
                  <c:v>232</c:v>
                </c:pt>
                <c:pt idx="5" formatCode="General">
                  <c:v>267</c:v>
                </c:pt>
                <c:pt idx="6" formatCode="General">
                  <c:v>309</c:v>
                </c:pt>
                <c:pt idx="7" formatCode="General">
                  <c:v>358</c:v>
                </c:pt>
                <c:pt idx="8" formatCode="General">
                  <c:v>432</c:v>
                </c:pt>
                <c:pt idx="9" formatCode="General">
                  <c:v>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B-4143-8BC8-397A65ACA5DC}"/>
            </c:ext>
          </c:extLst>
        </c:ser>
        <c:ser>
          <c:idx val="3"/>
          <c:order val="3"/>
          <c:tx>
            <c:strRef>
              <c:f>'CS2 Rachmaninoff'!$A$7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Rachmaninoff'!$B$7:$L$7</c:f>
              <c:numCache>
                <c:formatCode>0</c:formatCode>
                <c:ptCount val="11"/>
                <c:pt idx="0">
                  <c:v>127.45749999999998</c:v>
                </c:pt>
                <c:pt idx="1">
                  <c:v>152.94899999999998</c:v>
                </c:pt>
                <c:pt idx="2">
                  <c:v>178.44049999999999</c:v>
                </c:pt>
                <c:pt idx="3">
                  <c:v>203.93199999999996</c:v>
                </c:pt>
                <c:pt idx="4">
                  <c:v>229.42349999999999</c:v>
                </c:pt>
                <c:pt idx="5">
                  <c:v>254.91499999999996</c:v>
                </c:pt>
                <c:pt idx="6">
                  <c:v>280.40649999999999</c:v>
                </c:pt>
                <c:pt idx="7">
                  <c:v>331.3895</c:v>
                </c:pt>
                <c:pt idx="8">
                  <c:v>390.86966666666666</c:v>
                </c:pt>
                <c:pt idx="9">
                  <c:v>501.33283333333327</c:v>
                </c:pt>
                <c:pt idx="10">
                  <c:v>849.71666666666658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8B-4143-8BC8-397A65ACA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CS3 Mahler (Nov 21-23)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'CS3 Mahler 7'!$A$4</c:f>
              <c:strCache>
                <c:ptCount val="1"/>
                <c:pt idx="0">
                  <c:v>11/21/2025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'CS3 Mahler 7'!$B$3:$L$3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 7'!$B$4:$L$4</c:f>
              <c:numCache>
                <c:formatCode>_(* #,##0_);_(* \(#,##0\);_(* "-"??_);_(@_)</c:formatCode>
                <c:ptCount val="11"/>
                <c:pt idx="0">
                  <c:v>55</c:v>
                </c:pt>
                <c:pt idx="1">
                  <c:v>60</c:v>
                </c:pt>
                <c:pt idx="2" formatCode="General">
                  <c:v>66</c:v>
                </c:pt>
                <c:pt idx="3" formatCode="General">
                  <c:v>75</c:v>
                </c:pt>
                <c:pt idx="4" formatCode="General">
                  <c:v>83</c:v>
                </c:pt>
                <c:pt idx="5" formatCode="General">
                  <c:v>113</c:v>
                </c:pt>
                <c:pt idx="6" formatCode="General">
                  <c:v>138</c:v>
                </c:pt>
                <c:pt idx="7" formatCode="General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9-42FA-AF34-791D2E956499}"/>
            </c:ext>
          </c:extLst>
        </c:ser>
        <c:ser>
          <c:idx val="1"/>
          <c:order val="1"/>
          <c:tx>
            <c:strRef>
              <c:f>'CS3 Mahler 7'!$A$5</c:f>
              <c:strCache>
                <c:ptCount val="1"/>
                <c:pt idx="0">
                  <c:v>11/22/2025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'CS3 Mahler 7'!$B$3:$L$3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 7'!$B$5:$L$5</c:f>
              <c:numCache>
                <c:formatCode>_(* #,##0_);_(* \(#,##0\);_(* "-"??_);_(@_)</c:formatCode>
                <c:ptCount val="11"/>
                <c:pt idx="0">
                  <c:v>95</c:v>
                </c:pt>
                <c:pt idx="1">
                  <c:v>110</c:v>
                </c:pt>
                <c:pt idx="2" formatCode="General">
                  <c:v>114</c:v>
                </c:pt>
                <c:pt idx="3" formatCode="General">
                  <c:v>143</c:v>
                </c:pt>
                <c:pt idx="4" formatCode="General">
                  <c:v>160</c:v>
                </c:pt>
                <c:pt idx="5" formatCode="General">
                  <c:v>189</c:v>
                </c:pt>
                <c:pt idx="6" formatCode="General">
                  <c:v>209</c:v>
                </c:pt>
                <c:pt idx="7" formatCode="General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99-42FA-AF34-791D2E956499}"/>
            </c:ext>
          </c:extLst>
        </c:ser>
        <c:ser>
          <c:idx val="2"/>
          <c:order val="2"/>
          <c:tx>
            <c:strRef>
              <c:f>'CS3 Mahler 7'!$A$6</c:f>
              <c:strCache>
                <c:ptCount val="1"/>
                <c:pt idx="0">
                  <c:v>11/23/2025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'CS3 Mahler 7'!$B$3:$L$3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 7'!$B$6:$L$6</c:f>
              <c:numCache>
                <c:formatCode>_(* #,##0_);_(* \(#,##0\);_(* "-"??_);_(@_)</c:formatCode>
                <c:ptCount val="11"/>
                <c:pt idx="0">
                  <c:v>75</c:v>
                </c:pt>
                <c:pt idx="1">
                  <c:v>81</c:v>
                </c:pt>
                <c:pt idx="2" formatCode="General">
                  <c:v>83</c:v>
                </c:pt>
                <c:pt idx="3" formatCode="General">
                  <c:v>93</c:v>
                </c:pt>
                <c:pt idx="4" formatCode="General">
                  <c:v>99</c:v>
                </c:pt>
                <c:pt idx="5" formatCode="General">
                  <c:v>141</c:v>
                </c:pt>
                <c:pt idx="6" formatCode="General">
                  <c:v>167</c:v>
                </c:pt>
                <c:pt idx="7" formatCode="General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99-42FA-AF34-791D2E956499}"/>
            </c:ext>
          </c:extLst>
        </c:ser>
        <c:ser>
          <c:idx val="3"/>
          <c:order val="3"/>
          <c:tx>
            <c:strRef>
              <c:f>'CS3 Mahler 7'!$A$7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'CS3 Mahler 7'!$B$3:$L$3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 7'!$B$7:$L$7</c:f>
              <c:numCache>
                <c:formatCode>0</c:formatCode>
                <c:ptCount val="11"/>
                <c:pt idx="0">
                  <c:v>134.47</c:v>
                </c:pt>
                <c:pt idx="1">
                  <c:v>161.364</c:v>
                </c:pt>
                <c:pt idx="2">
                  <c:v>188.25800000000001</c:v>
                </c:pt>
                <c:pt idx="3">
                  <c:v>215.15199999999999</c:v>
                </c:pt>
                <c:pt idx="4">
                  <c:v>242.04600000000002</c:v>
                </c:pt>
                <c:pt idx="5">
                  <c:v>268.94</c:v>
                </c:pt>
                <c:pt idx="6">
                  <c:v>295.834</c:v>
                </c:pt>
                <c:pt idx="7">
                  <c:v>349.62200000000001</c:v>
                </c:pt>
                <c:pt idx="8">
                  <c:v>412.37466666666671</c:v>
                </c:pt>
                <c:pt idx="9">
                  <c:v>528.91533333333336</c:v>
                </c:pt>
                <c:pt idx="10">
                  <c:v>896.4666666666667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599-42FA-AF34-791D2E956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Elf in Concert (Nov 28-30)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Elf!$A$4</c:f>
              <c:strCache>
                <c:ptCount val="1"/>
                <c:pt idx="0">
                  <c:v>11/28/2025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Elf!$B$4:$L$4</c:f>
              <c:numCache>
                <c:formatCode>_(* #,##0_);_(* \(#,##0\);_(* "-"??_);_(@_)</c:formatCode>
                <c:ptCount val="11"/>
                <c:pt idx="0">
                  <c:v>306</c:v>
                </c:pt>
                <c:pt idx="1">
                  <c:v>323</c:v>
                </c:pt>
                <c:pt idx="2" formatCode="General">
                  <c:v>339</c:v>
                </c:pt>
                <c:pt idx="3" formatCode="General">
                  <c:v>420</c:v>
                </c:pt>
                <c:pt idx="4" formatCode="General">
                  <c:v>464</c:v>
                </c:pt>
                <c:pt idx="5" formatCode="General">
                  <c:v>622</c:v>
                </c:pt>
                <c:pt idx="6" formatCode="General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9-47F8-A1EA-5067B604E485}"/>
            </c:ext>
          </c:extLst>
        </c:ser>
        <c:ser>
          <c:idx val="1"/>
          <c:order val="1"/>
          <c:tx>
            <c:strRef>
              <c:f>Elf!$A$5</c:f>
              <c:strCache>
                <c:ptCount val="1"/>
                <c:pt idx="0">
                  <c:v>11/29/2025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Elf!$B$5:$L$5</c:f>
              <c:numCache>
                <c:formatCode>_(* #,##0_);_(* \(#,##0\);_(* "-"??_);_(@_)</c:formatCode>
                <c:ptCount val="11"/>
                <c:pt idx="0">
                  <c:v>370</c:v>
                </c:pt>
                <c:pt idx="1">
                  <c:v>374</c:v>
                </c:pt>
                <c:pt idx="2" formatCode="General">
                  <c:v>414</c:v>
                </c:pt>
                <c:pt idx="3" formatCode="General">
                  <c:v>462</c:v>
                </c:pt>
                <c:pt idx="4" formatCode="General">
                  <c:v>532</c:v>
                </c:pt>
                <c:pt idx="5" formatCode="General">
                  <c:v>598</c:v>
                </c:pt>
                <c:pt idx="6" formatCode="General">
                  <c:v>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49-47F8-A1EA-5067B604E485}"/>
            </c:ext>
          </c:extLst>
        </c:ser>
        <c:ser>
          <c:idx val="2"/>
          <c:order val="2"/>
          <c:tx>
            <c:strRef>
              <c:f>Elf!$A$6</c:f>
              <c:strCache>
                <c:ptCount val="1"/>
                <c:pt idx="0">
                  <c:v>11/29/2025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Elf!$B$6:$L$6</c:f>
              <c:numCache>
                <c:formatCode>_(* #,##0_);_(* \(#,##0\);_(* "-"??_);_(@_)</c:formatCode>
                <c:ptCount val="11"/>
                <c:pt idx="0">
                  <c:v>283</c:v>
                </c:pt>
                <c:pt idx="1">
                  <c:v>303</c:v>
                </c:pt>
                <c:pt idx="2" formatCode="General">
                  <c:v>329</c:v>
                </c:pt>
                <c:pt idx="3" formatCode="General">
                  <c:v>381</c:v>
                </c:pt>
                <c:pt idx="4" formatCode="General">
                  <c:v>416</c:v>
                </c:pt>
                <c:pt idx="5" formatCode="General">
                  <c:v>483</c:v>
                </c:pt>
                <c:pt idx="6" formatCode="General">
                  <c:v>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49-47F8-A1EA-5067B604E485}"/>
            </c:ext>
          </c:extLst>
        </c:ser>
        <c:ser>
          <c:idx val="3"/>
          <c:order val="3"/>
          <c:tx>
            <c:strRef>
              <c:f>Elf!$A$7</c:f>
              <c:strCache>
                <c:ptCount val="1"/>
                <c:pt idx="0">
                  <c:v>11/30/2025 (Sun)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Elf!$B$7:$L$7</c:f>
              <c:numCache>
                <c:formatCode>_(* #,##0_);_(* \(#,##0\);_(* "-"??_);_(@_)</c:formatCode>
                <c:ptCount val="11"/>
                <c:pt idx="0">
                  <c:v>483</c:v>
                </c:pt>
                <c:pt idx="1">
                  <c:v>514</c:v>
                </c:pt>
                <c:pt idx="2" formatCode="General">
                  <c:v>542</c:v>
                </c:pt>
                <c:pt idx="3" formatCode="General">
                  <c:v>594</c:v>
                </c:pt>
                <c:pt idx="4" formatCode="General">
                  <c:v>651</c:v>
                </c:pt>
                <c:pt idx="5" formatCode="General">
                  <c:v>745</c:v>
                </c:pt>
                <c:pt idx="6" formatCode="General">
                  <c:v>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49-47F8-A1EA-5067B604E485}"/>
            </c:ext>
          </c:extLst>
        </c:ser>
        <c:ser>
          <c:idx val="4"/>
          <c:order val="4"/>
          <c:tx>
            <c:strRef>
              <c:f>Elf!$A$8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Elf!$B$8:$L$8</c:f>
              <c:numCache>
                <c:formatCode>0</c:formatCode>
                <c:ptCount val="11"/>
                <c:pt idx="0">
                  <c:v>166.005</c:v>
                </c:pt>
                <c:pt idx="1">
                  <c:v>199.20599999999999</c:v>
                </c:pt>
                <c:pt idx="2">
                  <c:v>232.40700000000001</c:v>
                </c:pt>
                <c:pt idx="3">
                  <c:v>265.608</c:v>
                </c:pt>
                <c:pt idx="4">
                  <c:v>298.80900000000003</c:v>
                </c:pt>
                <c:pt idx="5">
                  <c:v>332.01</c:v>
                </c:pt>
                <c:pt idx="6">
                  <c:v>365.21100000000001</c:v>
                </c:pt>
                <c:pt idx="7">
                  <c:v>431.61300000000006</c:v>
                </c:pt>
                <c:pt idx="8">
                  <c:v>509.08200000000005</c:v>
                </c:pt>
                <c:pt idx="9">
                  <c:v>652.95299999999997</c:v>
                </c:pt>
                <c:pt idx="10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49-47F8-A1EA-5067B604E485}"/>
            </c:ext>
          </c:extLst>
        </c:ser>
        <c:ser>
          <c:idx val="5"/>
          <c:order val="5"/>
          <c:tx>
            <c:strRef>
              <c:f>Elf!$A$9</c:f>
              <c:strCache>
                <c:ptCount val="1"/>
                <c:pt idx="0">
                  <c:v>Home Alone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BE2D5"/>
              </a:solidFill>
              <a:ln w="9525">
                <a:solidFill>
                  <a:srgbClr val="FBE2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Elf!$B$9:$L$9</c:f>
              <c:numCache>
                <c:formatCode>0</c:formatCode>
                <c:ptCount val="11"/>
                <c:pt idx="0">
                  <c:v>480.5</c:v>
                </c:pt>
                <c:pt idx="1">
                  <c:v>532.5</c:v>
                </c:pt>
                <c:pt idx="2">
                  <c:v>570.5</c:v>
                </c:pt>
                <c:pt idx="3">
                  <c:v>607.5</c:v>
                </c:pt>
                <c:pt idx="4">
                  <c:v>645.75</c:v>
                </c:pt>
                <c:pt idx="5">
                  <c:v>720</c:v>
                </c:pt>
                <c:pt idx="6">
                  <c:v>836.5</c:v>
                </c:pt>
                <c:pt idx="7">
                  <c:v>956.75</c:v>
                </c:pt>
                <c:pt idx="8">
                  <c:v>1099.75</c:v>
                </c:pt>
                <c:pt idx="9">
                  <c:v>1227.25</c:v>
                </c:pt>
                <c:pt idx="10">
                  <c:v>1293.25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C49-47F8-A1EA-5067B604E485}"/>
            </c:ext>
          </c:extLst>
        </c:ser>
        <c:ser>
          <c:idx val="6"/>
          <c:order val="6"/>
          <c:tx>
            <c:strRef>
              <c:f>Elf!$A$10</c:f>
              <c:strCache>
                <c:ptCount val="1"/>
                <c:pt idx="0">
                  <c:v>Muppet XMas 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Elf!$B$10:$L$10</c:f>
              <c:numCache>
                <c:formatCode>0</c:formatCode>
                <c:ptCount val="11"/>
                <c:pt idx="0">
                  <c:v>943.5</c:v>
                </c:pt>
                <c:pt idx="1">
                  <c:v>992.5</c:v>
                </c:pt>
                <c:pt idx="2">
                  <c:v>1056</c:v>
                </c:pt>
                <c:pt idx="3">
                  <c:v>1088</c:v>
                </c:pt>
                <c:pt idx="4">
                  <c:v>1158</c:v>
                </c:pt>
                <c:pt idx="5">
                  <c:v>1220</c:v>
                </c:pt>
                <c:pt idx="6">
                  <c:v>1242.5</c:v>
                </c:pt>
                <c:pt idx="7">
                  <c:v>1259.5</c:v>
                </c:pt>
                <c:pt idx="8">
                  <c:v>1266.5</c:v>
                </c:pt>
                <c:pt idx="9">
                  <c:v>1274.5</c:v>
                </c:pt>
                <c:pt idx="10">
                  <c:v>1288.5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49-47F8-A1EA-5067B604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Handel's Messiah (Dec 5-7)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Messiah!$A$4</c:f>
              <c:strCache>
                <c:ptCount val="1"/>
                <c:pt idx="0">
                  <c:v>12/5/2025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Messiah!$B$4:$L$4</c:f>
              <c:numCache>
                <c:formatCode>_(* #,##0_);_(* \(#,##0\);_(* "-"??_);_(@_)</c:formatCode>
                <c:ptCount val="11"/>
                <c:pt idx="0">
                  <c:v>369</c:v>
                </c:pt>
                <c:pt idx="1">
                  <c:v>395</c:v>
                </c:pt>
                <c:pt idx="2" formatCode="General">
                  <c:v>435</c:v>
                </c:pt>
                <c:pt idx="3" formatCode="General">
                  <c:v>491</c:v>
                </c:pt>
                <c:pt idx="4" formatCode="General">
                  <c:v>557</c:v>
                </c:pt>
                <c:pt idx="5" formatCode="General">
                  <c:v>630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B-47D4-872E-7793CF96F965}"/>
            </c:ext>
          </c:extLst>
        </c:ser>
        <c:ser>
          <c:idx val="1"/>
          <c:order val="1"/>
          <c:tx>
            <c:strRef>
              <c:f>Messiah!$A$5</c:f>
              <c:strCache>
                <c:ptCount val="1"/>
                <c:pt idx="0">
                  <c:v>12/6/2025 (Sat)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Messiah!$B$5:$L$5</c:f>
              <c:numCache>
                <c:formatCode>_(* #,##0_);_(* \(#,##0\);_(* "-"??_);_(@_)</c:formatCode>
                <c:ptCount val="11"/>
                <c:pt idx="0">
                  <c:v>369</c:v>
                </c:pt>
                <c:pt idx="1">
                  <c:v>386</c:v>
                </c:pt>
                <c:pt idx="2" formatCode="General">
                  <c:v>421</c:v>
                </c:pt>
                <c:pt idx="3" formatCode="General">
                  <c:v>483</c:v>
                </c:pt>
                <c:pt idx="4" formatCode="General">
                  <c:v>526</c:v>
                </c:pt>
                <c:pt idx="5" formatCode="General">
                  <c:v>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B-47D4-872E-7793CF96F965}"/>
            </c:ext>
          </c:extLst>
        </c:ser>
        <c:ser>
          <c:idx val="3"/>
          <c:order val="2"/>
          <c:tx>
            <c:strRef>
              <c:f>Messiah!$A$6</c:f>
              <c:strCache>
                <c:ptCount val="1"/>
                <c:pt idx="0">
                  <c:v>12/7/2025 (Sun)</c:v>
                </c:pt>
              </c:strCache>
            </c:strRef>
          </c:tx>
          <c:spPr>
            <a:ln w="28575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97132"/>
              </a:solidFill>
              <a:ln w="9525">
                <a:solidFill>
                  <a:srgbClr val="E97132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Messiah!$B$6:$L$6</c:f>
              <c:numCache>
                <c:formatCode>_(* #,##0_);_(* \(#,##0\);_(* "-"??_);_(@_)</c:formatCode>
                <c:ptCount val="11"/>
                <c:pt idx="0">
                  <c:v>410</c:v>
                </c:pt>
                <c:pt idx="1">
                  <c:v>443</c:v>
                </c:pt>
                <c:pt idx="2" formatCode="General">
                  <c:v>474</c:v>
                </c:pt>
                <c:pt idx="3" formatCode="General">
                  <c:v>573</c:v>
                </c:pt>
                <c:pt idx="4" formatCode="General">
                  <c:v>624</c:v>
                </c:pt>
                <c:pt idx="5" formatCode="General">
                  <c:v>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B-47D4-872E-7793CF96F965}"/>
            </c:ext>
          </c:extLst>
        </c:ser>
        <c:ser>
          <c:idx val="4"/>
          <c:order val="3"/>
          <c:tx>
            <c:strRef>
              <c:f>Messiah!$A$7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Messiah!$B$7:$L$7</c:f>
              <c:numCache>
                <c:formatCode>0</c:formatCode>
                <c:ptCount val="11"/>
                <c:pt idx="0">
                  <c:v>184.10999999999999</c:v>
                </c:pt>
                <c:pt idx="1">
                  <c:v>220.93199999999996</c:v>
                </c:pt>
                <c:pt idx="2">
                  <c:v>257.75399999999996</c:v>
                </c:pt>
                <c:pt idx="3">
                  <c:v>294.57599999999996</c:v>
                </c:pt>
                <c:pt idx="4">
                  <c:v>331.39799999999997</c:v>
                </c:pt>
                <c:pt idx="5">
                  <c:v>368.21999999999997</c:v>
                </c:pt>
                <c:pt idx="6">
                  <c:v>405.04199999999997</c:v>
                </c:pt>
                <c:pt idx="7">
                  <c:v>478.68599999999998</c:v>
                </c:pt>
                <c:pt idx="8">
                  <c:v>564.60399999999993</c:v>
                </c:pt>
                <c:pt idx="9">
                  <c:v>724.16599999999983</c:v>
                </c:pt>
                <c:pt idx="10">
                  <c:v>1227.3999999999999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B-47D4-872E-7793CF96F965}"/>
            </c:ext>
          </c:extLst>
        </c:ser>
        <c:ser>
          <c:idx val="5"/>
          <c:order val="4"/>
          <c:tx>
            <c:strRef>
              <c:f>Messiah!$A$8</c:f>
              <c:strCache>
                <c:ptCount val="1"/>
                <c:pt idx="0">
                  <c:v>Messiah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Messiah!$B$8:$L$8</c:f>
              <c:numCache>
                <c:formatCode>0</c:formatCode>
                <c:ptCount val="11"/>
                <c:pt idx="0">
                  <c:v>300.33333333333331</c:v>
                </c:pt>
                <c:pt idx="1">
                  <c:v>322.33333333333331</c:v>
                </c:pt>
                <c:pt idx="2">
                  <c:v>360</c:v>
                </c:pt>
                <c:pt idx="3">
                  <c:v>395.66666666666669</c:v>
                </c:pt>
                <c:pt idx="4">
                  <c:v>431</c:v>
                </c:pt>
                <c:pt idx="5">
                  <c:v>486.33333333333331</c:v>
                </c:pt>
                <c:pt idx="6">
                  <c:v>568.33333333333337</c:v>
                </c:pt>
                <c:pt idx="7">
                  <c:v>667</c:v>
                </c:pt>
                <c:pt idx="8">
                  <c:v>790.33333333333337</c:v>
                </c:pt>
                <c:pt idx="9">
                  <c:v>954.33333333333337</c:v>
                </c:pt>
                <c:pt idx="10">
                  <c:v>1146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DB-47D4-872E-7793CF96F965}"/>
            </c:ext>
          </c:extLst>
        </c:ser>
        <c:ser>
          <c:idx val="6"/>
          <c:order val="5"/>
          <c:tx>
            <c:strRef>
              <c:f>Messiah!$A$9</c:f>
              <c:strCache>
                <c:ptCount val="1"/>
                <c:pt idx="0">
                  <c:v>Messiah 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Messiah!$B$9:$L$9</c:f>
              <c:numCache>
                <c:formatCode>0</c:formatCode>
                <c:ptCount val="11"/>
                <c:pt idx="0">
                  <c:v>338</c:v>
                </c:pt>
                <c:pt idx="1">
                  <c:v>372</c:v>
                </c:pt>
                <c:pt idx="2">
                  <c:v>411</c:v>
                </c:pt>
                <c:pt idx="3">
                  <c:v>447.33333333333331</c:v>
                </c:pt>
                <c:pt idx="4">
                  <c:v>494.66666666666669</c:v>
                </c:pt>
                <c:pt idx="5">
                  <c:v>557</c:v>
                </c:pt>
                <c:pt idx="6">
                  <c:v>657.66666666666663</c:v>
                </c:pt>
                <c:pt idx="7">
                  <c:v>738.33333333333337</c:v>
                </c:pt>
                <c:pt idx="8">
                  <c:v>909.66666666666663</c:v>
                </c:pt>
                <c:pt idx="9">
                  <c:v>1046.6666666666667</c:v>
                </c:pt>
                <c:pt idx="10">
                  <c:v>1180.3333333333333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DB-47D4-872E-7793CF96F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Christmas Festival (Dec 18-22)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'XMas Festival'!$A$4</c:f>
              <c:strCache>
                <c:ptCount val="1"/>
                <c:pt idx="0">
                  <c:v>12/18/2025 (Thu)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Festival'!$B$4:$L$4</c:f>
              <c:numCache>
                <c:formatCode>_(* #,##0_);_(* \(#,##0\);_(* "-"??_);_(@_)</c:formatCode>
                <c:ptCount val="11"/>
                <c:pt idx="0">
                  <c:v>244</c:v>
                </c:pt>
                <c:pt idx="1">
                  <c:v>266</c:v>
                </c:pt>
                <c:pt idx="2" formatCode="General">
                  <c:v>295</c:v>
                </c:pt>
                <c:pt idx="3" formatCode="General">
                  <c:v>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3-45F4-A510-678602DED9E1}"/>
            </c:ext>
          </c:extLst>
        </c:ser>
        <c:ser>
          <c:idx val="1"/>
          <c:order val="1"/>
          <c:tx>
            <c:strRef>
              <c:f>'XMas Festival'!$A$6</c:f>
              <c:strCache>
                <c:ptCount val="1"/>
                <c:pt idx="0">
                  <c:v>12/20/2025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Festival'!$B$6:$L$6</c:f>
              <c:numCache>
                <c:formatCode>_(* #,##0_);_(* \(#,##0\);_(* "-"??_);_(@_)</c:formatCode>
                <c:ptCount val="11"/>
                <c:pt idx="0">
                  <c:v>391</c:v>
                </c:pt>
                <c:pt idx="1">
                  <c:v>413</c:v>
                </c:pt>
                <c:pt idx="2" formatCode="General">
                  <c:v>468</c:v>
                </c:pt>
                <c:pt idx="3" formatCode="General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3-45F4-A510-678602DED9E1}"/>
            </c:ext>
          </c:extLst>
        </c:ser>
        <c:ser>
          <c:idx val="2"/>
          <c:order val="2"/>
          <c:tx>
            <c:strRef>
              <c:f>'XMas Festival'!$A$7</c:f>
              <c:strCache>
                <c:ptCount val="1"/>
                <c:pt idx="0">
                  <c:v>12/20/2025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Festival'!$B$7:$L$7</c:f>
              <c:numCache>
                <c:formatCode>_(* #,##0_);_(* \(#,##0\);_(* "-"??_);_(@_)</c:formatCode>
                <c:ptCount val="11"/>
                <c:pt idx="0">
                  <c:v>296</c:v>
                </c:pt>
                <c:pt idx="1">
                  <c:v>325</c:v>
                </c:pt>
                <c:pt idx="2" formatCode="General">
                  <c:v>358</c:v>
                </c:pt>
                <c:pt idx="3" formatCode="General">
                  <c:v>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3-45F4-A510-678602DED9E1}"/>
            </c:ext>
          </c:extLst>
        </c:ser>
        <c:ser>
          <c:idx val="3"/>
          <c:order val="3"/>
          <c:tx>
            <c:strRef>
              <c:f>'XMas Festival'!$A$9</c:f>
              <c:strCache>
                <c:ptCount val="1"/>
                <c:pt idx="0">
                  <c:v>12/21/2025 (Sun 2)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Festival'!$B$9:$L$9</c:f>
              <c:numCache>
                <c:formatCode>_(* #,##0_);_(* \(#,##0\);_(* "-"??_);_(@_)</c:formatCode>
                <c:ptCount val="11"/>
                <c:pt idx="0">
                  <c:v>152</c:v>
                </c:pt>
                <c:pt idx="1">
                  <c:v>216</c:v>
                </c:pt>
                <c:pt idx="2" formatCode="General">
                  <c:v>238</c:v>
                </c:pt>
                <c:pt idx="3" formatCode="General">
                  <c:v>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63-45F4-A510-678602DED9E1}"/>
            </c:ext>
          </c:extLst>
        </c:ser>
        <c:ser>
          <c:idx val="4"/>
          <c:order val="4"/>
          <c:tx>
            <c:strRef>
              <c:f>'XMas Festival'!$A$10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Festival'!$B$10:$L$10</c:f>
              <c:numCache>
                <c:formatCode>0</c:formatCode>
                <c:ptCount val="11"/>
                <c:pt idx="0">
                  <c:v>176.01374999999999</c:v>
                </c:pt>
                <c:pt idx="1">
                  <c:v>211.2165</c:v>
                </c:pt>
                <c:pt idx="2">
                  <c:v>246.41924999999998</c:v>
                </c:pt>
                <c:pt idx="3">
                  <c:v>281.62199999999996</c:v>
                </c:pt>
                <c:pt idx="4">
                  <c:v>316.82474999999999</c:v>
                </c:pt>
                <c:pt idx="5">
                  <c:v>352.02749999999997</c:v>
                </c:pt>
                <c:pt idx="6">
                  <c:v>387.23025000000001</c:v>
                </c:pt>
                <c:pt idx="7">
                  <c:v>457.63574999999997</c:v>
                </c:pt>
                <c:pt idx="8">
                  <c:v>539.77549999999997</c:v>
                </c:pt>
                <c:pt idx="9">
                  <c:v>692.32074999999998</c:v>
                </c:pt>
                <c:pt idx="10">
                  <c:v>1173.425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63-45F4-A510-678602DED9E1}"/>
            </c:ext>
          </c:extLst>
        </c:ser>
        <c:ser>
          <c:idx val="5"/>
          <c:order val="5"/>
          <c:tx>
            <c:strRef>
              <c:f>'XMas Festival'!$A$11</c:f>
              <c:strCache>
                <c:ptCount val="1"/>
                <c:pt idx="0">
                  <c:v>XMas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Festival'!$B$11:$L$11</c:f>
              <c:numCache>
                <c:formatCode>0</c:formatCode>
                <c:ptCount val="11"/>
                <c:pt idx="0">
                  <c:v>261.33333333333331</c:v>
                </c:pt>
                <c:pt idx="1">
                  <c:v>282.66666666666669</c:v>
                </c:pt>
                <c:pt idx="2">
                  <c:v>315.5</c:v>
                </c:pt>
                <c:pt idx="3">
                  <c:v>360.16666666666669</c:v>
                </c:pt>
                <c:pt idx="4">
                  <c:v>412.16666666666669</c:v>
                </c:pt>
                <c:pt idx="5">
                  <c:v>494.33333333333331</c:v>
                </c:pt>
                <c:pt idx="6">
                  <c:v>597.83333333333337</c:v>
                </c:pt>
                <c:pt idx="7">
                  <c:v>699.5</c:v>
                </c:pt>
                <c:pt idx="8">
                  <c:v>806.16666666666663</c:v>
                </c:pt>
                <c:pt idx="9">
                  <c:v>955.16666666666663</c:v>
                </c:pt>
                <c:pt idx="10">
                  <c:v>1111.3333333333333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63-45F4-A510-678602DED9E1}"/>
            </c:ext>
          </c:extLst>
        </c:ser>
        <c:ser>
          <c:idx val="6"/>
          <c:order val="6"/>
          <c:tx>
            <c:strRef>
              <c:f>'XMas Festival'!$A$12</c:f>
              <c:strCache>
                <c:ptCount val="1"/>
                <c:pt idx="0">
                  <c:v>XMas 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Festival'!$B$12:$L$12</c:f>
              <c:numCache>
                <c:formatCode>0</c:formatCode>
                <c:ptCount val="11"/>
                <c:pt idx="0">
                  <c:v>349.16666666666669</c:v>
                </c:pt>
                <c:pt idx="1">
                  <c:v>378.16666666666669</c:v>
                </c:pt>
                <c:pt idx="2">
                  <c:v>414.66666666666669</c:v>
                </c:pt>
                <c:pt idx="3">
                  <c:v>459.16666666666669</c:v>
                </c:pt>
                <c:pt idx="4">
                  <c:v>530.83333333333337</c:v>
                </c:pt>
                <c:pt idx="5">
                  <c:v>599.66666666666663</c:v>
                </c:pt>
                <c:pt idx="6">
                  <c:v>709</c:v>
                </c:pt>
                <c:pt idx="7">
                  <c:v>795.5</c:v>
                </c:pt>
                <c:pt idx="8">
                  <c:v>867.66666666666663</c:v>
                </c:pt>
                <c:pt idx="9">
                  <c:v>991.16666666666663</c:v>
                </c:pt>
                <c:pt idx="10">
                  <c:v>1105.8333333333333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63-45F4-A510-678602DED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Classical Season Tickets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Data)'!$C$4:$C$67</c:f>
              <c:numCache>
                <c:formatCode>General</c:formatCode>
                <c:ptCount val="64"/>
                <c:pt idx="7">
                  <c:v>27</c:v>
                </c:pt>
                <c:pt idx="8">
                  <c:v>44</c:v>
                </c:pt>
                <c:pt idx="9">
                  <c:v>52</c:v>
                </c:pt>
                <c:pt idx="10">
                  <c:v>70</c:v>
                </c:pt>
                <c:pt idx="11">
                  <c:v>78</c:v>
                </c:pt>
                <c:pt idx="12">
                  <c:v>86</c:v>
                </c:pt>
                <c:pt idx="13">
                  <c:v>111</c:v>
                </c:pt>
                <c:pt idx="14">
                  <c:v>118</c:v>
                </c:pt>
                <c:pt idx="15">
                  <c:v>134</c:v>
                </c:pt>
                <c:pt idx="16">
                  <c:v>154</c:v>
                </c:pt>
                <c:pt idx="17">
                  <c:v>171</c:v>
                </c:pt>
                <c:pt idx="18">
                  <c:v>179</c:v>
                </c:pt>
                <c:pt idx="19">
                  <c:v>197</c:v>
                </c:pt>
                <c:pt idx="20">
                  <c:v>212</c:v>
                </c:pt>
                <c:pt idx="21">
                  <c:v>228</c:v>
                </c:pt>
                <c:pt idx="22">
                  <c:v>239</c:v>
                </c:pt>
                <c:pt idx="23">
                  <c:v>249</c:v>
                </c:pt>
                <c:pt idx="24">
                  <c:v>264</c:v>
                </c:pt>
                <c:pt idx="25">
                  <c:v>272</c:v>
                </c:pt>
                <c:pt idx="26">
                  <c:v>301</c:v>
                </c:pt>
                <c:pt idx="27">
                  <c:v>323</c:v>
                </c:pt>
                <c:pt idx="28">
                  <c:v>357</c:v>
                </c:pt>
                <c:pt idx="29">
                  <c:v>371</c:v>
                </c:pt>
                <c:pt idx="30">
                  <c:v>403</c:v>
                </c:pt>
                <c:pt idx="31">
                  <c:v>412</c:v>
                </c:pt>
                <c:pt idx="32">
                  <c:v>418</c:v>
                </c:pt>
                <c:pt idx="33">
                  <c:v>425</c:v>
                </c:pt>
                <c:pt idx="34">
                  <c:v>439</c:v>
                </c:pt>
                <c:pt idx="35">
                  <c:v>443</c:v>
                </c:pt>
                <c:pt idx="36">
                  <c:v>451</c:v>
                </c:pt>
                <c:pt idx="37">
                  <c:v>495</c:v>
                </c:pt>
                <c:pt idx="38">
                  <c:v>521</c:v>
                </c:pt>
                <c:pt idx="39">
                  <c:v>552</c:v>
                </c:pt>
                <c:pt idx="40">
                  <c:v>619</c:v>
                </c:pt>
                <c:pt idx="41">
                  <c:v>647</c:v>
                </c:pt>
                <c:pt idx="42">
                  <c:v>661</c:v>
                </c:pt>
                <c:pt idx="43">
                  <c:v>687</c:v>
                </c:pt>
                <c:pt idx="44">
                  <c:v>698</c:v>
                </c:pt>
                <c:pt idx="45">
                  <c:v>732</c:v>
                </c:pt>
                <c:pt idx="46">
                  <c:v>759</c:v>
                </c:pt>
                <c:pt idx="47">
                  <c:v>772</c:v>
                </c:pt>
                <c:pt idx="48">
                  <c:v>780</c:v>
                </c:pt>
                <c:pt idx="49">
                  <c:v>805</c:v>
                </c:pt>
                <c:pt idx="50">
                  <c:v>820</c:v>
                </c:pt>
                <c:pt idx="51">
                  <c:v>846</c:v>
                </c:pt>
                <c:pt idx="52">
                  <c:v>852</c:v>
                </c:pt>
                <c:pt idx="53">
                  <c:v>855</c:v>
                </c:pt>
                <c:pt idx="54">
                  <c:v>882</c:v>
                </c:pt>
                <c:pt idx="55">
                  <c:v>897</c:v>
                </c:pt>
                <c:pt idx="56">
                  <c:v>903</c:v>
                </c:pt>
                <c:pt idx="57">
                  <c:v>912</c:v>
                </c:pt>
                <c:pt idx="58">
                  <c:v>918</c:v>
                </c:pt>
                <c:pt idx="59">
                  <c:v>929</c:v>
                </c:pt>
                <c:pt idx="60">
                  <c:v>940</c:v>
                </c:pt>
                <c:pt idx="61">
                  <c:v>950</c:v>
                </c:pt>
                <c:pt idx="62">
                  <c:v>962</c:v>
                </c:pt>
                <c:pt idx="63">
                  <c:v>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2-4900-8B42-01C6E701092C}"/>
            </c:ext>
          </c:extLst>
        </c:ser>
        <c:ser>
          <c:idx val="1"/>
          <c:order val="1"/>
          <c:tx>
            <c:strRef>
              <c:f>'[2]Classical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Data)'!$K$4:$K$67</c:f>
              <c:numCache>
                <c:formatCode>General</c:formatCode>
                <c:ptCount val="64"/>
                <c:pt idx="5">
                  <c:v>20</c:v>
                </c:pt>
                <c:pt idx="6">
                  <c:v>26</c:v>
                </c:pt>
                <c:pt idx="7">
                  <c:v>51</c:v>
                </c:pt>
                <c:pt idx="8">
                  <c:v>55</c:v>
                </c:pt>
                <c:pt idx="9">
                  <c:v>70</c:v>
                </c:pt>
                <c:pt idx="10">
                  <c:v>98</c:v>
                </c:pt>
                <c:pt idx="11">
                  <c:v>129</c:v>
                </c:pt>
                <c:pt idx="12">
                  <c:v>151</c:v>
                </c:pt>
                <c:pt idx="13">
                  <c:v>166</c:v>
                </c:pt>
                <c:pt idx="14">
                  <c:v>182</c:v>
                </c:pt>
                <c:pt idx="15">
                  <c:v>196</c:v>
                </c:pt>
                <c:pt idx="16">
                  <c:v>213</c:v>
                </c:pt>
                <c:pt idx="17">
                  <c:v>229</c:v>
                </c:pt>
                <c:pt idx="18">
                  <c:v>238</c:v>
                </c:pt>
                <c:pt idx="19">
                  <c:v>257</c:v>
                </c:pt>
                <c:pt idx="20">
                  <c:v>273</c:v>
                </c:pt>
                <c:pt idx="21">
                  <c:v>279</c:v>
                </c:pt>
                <c:pt idx="22">
                  <c:v>286</c:v>
                </c:pt>
                <c:pt idx="23">
                  <c:v>287</c:v>
                </c:pt>
                <c:pt idx="24">
                  <c:v>294</c:v>
                </c:pt>
                <c:pt idx="25">
                  <c:v>297</c:v>
                </c:pt>
                <c:pt idx="26">
                  <c:v>311</c:v>
                </c:pt>
                <c:pt idx="27">
                  <c:v>312</c:v>
                </c:pt>
                <c:pt idx="28">
                  <c:v>325</c:v>
                </c:pt>
                <c:pt idx="29">
                  <c:v>330</c:v>
                </c:pt>
                <c:pt idx="30">
                  <c:v>338</c:v>
                </c:pt>
                <c:pt idx="31">
                  <c:v>343</c:v>
                </c:pt>
                <c:pt idx="32">
                  <c:v>348</c:v>
                </c:pt>
                <c:pt idx="33">
                  <c:v>350</c:v>
                </c:pt>
                <c:pt idx="34">
                  <c:v>358</c:v>
                </c:pt>
                <c:pt idx="35">
                  <c:v>364</c:v>
                </c:pt>
                <c:pt idx="36">
                  <c:v>364</c:v>
                </c:pt>
                <c:pt idx="37">
                  <c:v>393</c:v>
                </c:pt>
                <c:pt idx="38">
                  <c:v>404</c:v>
                </c:pt>
                <c:pt idx="39">
                  <c:v>415</c:v>
                </c:pt>
                <c:pt idx="40">
                  <c:v>434</c:v>
                </c:pt>
                <c:pt idx="41">
                  <c:v>440</c:v>
                </c:pt>
                <c:pt idx="42">
                  <c:v>443</c:v>
                </c:pt>
                <c:pt idx="43">
                  <c:v>444</c:v>
                </c:pt>
                <c:pt idx="44">
                  <c:v>452</c:v>
                </c:pt>
                <c:pt idx="45">
                  <c:v>465</c:v>
                </c:pt>
                <c:pt idx="46">
                  <c:v>477</c:v>
                </c:pt>
                <c:pt idx="47">
                  <c:v>495</c:v>
                </c:pt>
                <c:pt idx="48">
                  <c:v>503</c:v>
                </c:pt>
                <c:pt idx="49">
                  <c:v>517</c:v>
                </c:pt>
                <c:pt idx="50">
                  <c:v>528</c:v>
                </c:pt>
                <c:pt idx="51">
                  <c:v>540</c:v>
                </c:pt>
                <c:pt idx="52">
                  <c:v>547</c:v>
                </c:pt>
                <c:pt idx="53">
                  <c:v>555</c:v>
                </c:pt>
                <c:pt idx="54">
                  <c:v>566</c:v>
                </c:pt>
                <c:pt idx="55">
                  <c:v>579</c:v>
                </c:pt>
                <c:pt idx="56">
                  <c:v>585</c:v>
                </c:pt>
                <c:pt idx="57">
                  <c:v>604</c:v>
                </c:pt>
                <c:pt idx="58">
                  <c:v>610</c:v>
                </c:pt>
                <c:pt idx="59">
                  <c:v>617</c:v>
                </c:pt>
                <c:pt idx="60">
                  <c:v>633</c:v>
                </c:pt>
                <c:pt idx="61">
                  <c:v>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2-4900-8B42-01C6E701092C}"/>
            </c:ext>
          </c:extLst>
        </c:ser>
        <c:ser>
          <c:idx val="2"/>
          <c:order val="2"/>
          <c:tx>
            <c:strRef>
              <c:f>'[2]Classical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Data)'!$S$4:$S$67</c:f>
              <c:numCache>
                <c:formatCode>General</c:formatCode>
                <c:ptCount val="64"/>
                <c:pt idx="13">
                  <c:v>25</c:v>
                </c:pt>
                <c:pt idx="14">
                  <c:v>31</c:v>
                </c:pt>
                <c:pt idx="15">
                  <c:v>35</c:v>
                </c:pt>
                <c:pt idx="16">
                  <c:v>38</c:v>
                </c:pt>
                <c:pt idx="17">
                  <c:v>48</c:v>
                </c:pt>
                <c:pt idx="18">
                  <c:v>73</c:v>
                </c:pt>
                <c:pt idx="19">
                  <c:v>79</c:v>
                </c:pt>
                <c:pt idx="20">
                  <c:v>88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103</c:v>
                </c:pt>
                <c:pt idx="25">
                  <c:v>107</c:v>
                </c:pt>
                <c:pt idx="26">
                  <c:v>113</c:v>
                </c:pt>
                <c:pt idx="27">
                  <c:v>118</c:v>
                </c:pt>
                <c:pt idx="28">
                  <c:v>118</c:v>
                </c:pt>
                <c:pt idx="29">
                  <c:v>119</c:v>
                </c:pt>
                <c:pt idx="30">
                  <c:v>127</c:v>
                </c:pt>
                <c:pt idx="31">
                  <c:v>128</c:v>
                </c:pt>
                <c:pt idx="32">
                  <c:v>135</c:v>
                </c:pt>
                <c:pt idx="33">
                  <c:v>141</c:v>
                </c:pt>
                <c:pt idx="34">
                  <c:v>145</c:v>
                </c:pt>
                <c:pt idx="35">
                  <c:v>152</c:v>
                </c:pt>
                <c:pt idx="36">
                  <c:v>154</c:v>
                </c:pt>
                <c:pt idx="37">
                  <c:v>163</c:v>
                </c:pt>
                <c:pt idx="38">
                  <c:v>163</c:v>
                </c:pt>
                <c:pt idx="39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42-4900-8B42-01C6E701092C}"/>
            </c:ext>
          </c:extLst>
        </c:ser>
        <c:ser>
          <c:idx val="3"/>
          <c:order val="3"/>
          <c:tx>
            <c:strRef>
              <c:f>'[2]Classical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Data)'!$AA$4:$AA$67</c:f>
              <c:numCache>
                <c:formatCode>General</c:formatCode>
                <c:ptCount val="64"/>
                <c:pt idx="13">
                  <c:v>30</c:v>
                </c:pt>
                <c:pt idx="14">
                  <c:v>39</c:v>
                </c:pt>
                <c:pt idx="15">
                  <c:v>50</c:v>
                </c:pt>
                <c:pt idx="16">
                  <c:v>76</c:v>
                </c:pt>
                <c:pt idx="17">
                  <c:v>112</c:v>
                </c:pt>
                <c:pt idx="18">
                  <c:v>121</c:v>
                </c:pt>
                <c:pt idx="19">
                  <c:v>122</c:v>
                </c:pt>
                <c:pt idx="20">
                  <c:v>134</c:v>
                </c:pt>
                <c:pt idx="21">
                  <c:v>146</c:v>
                </c:pt>
                <c:pt idx="22">
                  <c:v>165</c:v>
                </c:pt>
                <c:pt idx="23">
                  <c:v>186</c:v>
                </c:pt>
                <c:pt idx="24">
                  <c:v>205</c:v>
                </c:pt>
                <c:pt idx="25">
                  <c:v>211</c:v>
                </c:pt>
                <c:pt idx="26">
                  <c:v>217</c:v>
                </c:pt>
                <c:pt idx="27">
                  <c:v>223</c:v>
                </c:pt>
                <c:pt idx="28">
                  <c:v>229</c:v>
                </c:pt>
                <c:pt idx="29">
                  <c:v>235</c:v>
                </c:pt>
                <c:pt idx="30">
                  <c:v>241</c:v>
                </c:pt>
                <c:pt idx="31">
                  <c:v>247</c:v>
                </c:pt>
                <c:pt idx="32">
                  <c:v>253</c:v>
                </c:pt>
                <c:pt idx="33">
                  <c:v>259</c:v>
                </c:pt>
                <c:pt idx="34">
                  <c:v>265</c:v>
                </c:pt>
                <c:pt idx="35">
                  <c:v>280</c:v>
                </c:pt>
                <c:pt idx="36">
                  <c:v>300</c:v>
                </c:pt>
                <c:pt idx="37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42-4900-8B42-01C6E701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Classical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Data)'!$G$4:$G$67</c:f>
              <c:numCache>
                <c:formatCode>General</c:formatCode>
                <c:ptCount val="64"/>
                <c:pt idx="7">
                  <c:v>800</c:v>
                </c:pt>
                <c:pt idx="8">
                  <c:v>1215</c:v>
                </c:pt>
                <c:pt idx="9">
                  <c:v>1529</c:v>
                </c:pt>
                <c:pt idx="10">
                  <c:v>1900</c:v>
                </c:pt>
                <c:pt idx="11">
                  <c:v>2303</c:v>
                </c:pt>
                <c:pt idx="12">
                  <c:v>3040</c:v>
                </c:pt>
                <c:pt idx="13">
                  <c:v>3829</c:v>
                </c:pt>
                <c:pt idx="14">
                  <c:v>4124</c:v>
                </c:pt>
                <c:pt idx="15">
                  <c:v>4205</c:v>
                </c:pt>
                <c:pt idx="16">
                  <c:v>4277</c:v>
                </c:pt>
                <c:pt idx="17">
                  <c:v>4328</c:v>
                </c:pt>
                <c:pt idx="18">
                  <c:v>4445</c:v>
                </c:pt>
                <c:pt idx="19">
                  <c:v>4425</c:v>
                </c:pt>
                <c:pt idx="20">
                  <c:v>4435</c:v>
                </c:pt>
                <c:pt idx="21">
                  <c:v>4458</c:v>
                </c:pt>
                <c:pt idx="22">
                  <c:v>4460</c:v>
                </c:pt>
                <c:pt idx="23">
                  <c:v>4484</c:v>
                </c:pt>
                <c:pt idx="24">
                  <c:v>4483</c:v>
                </c:pt>
                <c:pt idx="25">
                  <c:v>4495</c:v>
                </c:pt>
                <c:pt idx="26">
                  <c:v>4535</c:v>
                </c:pt>
                <c:pt idx="27">
                  <c:v>4559</c:v>
                </c:pt>
                <c:pt idx="28">
                  <c:v>4605</c:v>
                </c:pt>
                <c:pt idx="29">
                  <c:v>4637</c:v>
                </c:pt>
                <c:pt idx="30">
                  <c:v>4693</c:v>
                </c:pt>
                <c:pt idx="31">
                  <c:v>4706</c:v>
                </c:pt>
                <c:pt idx="32">
                  <c:v>4716</c:v>
                </c:pt>
                <c:pt idx="33">
                  <c:v>4725</c:v>
                </c:pt>
                <c:pt idx="34">
                  <c:v>4747</c:v>
                </c:pt>
                <c:pt idx="35">
                  <c:v>4757</c:v>
                </c:pt>
                <c:pt idx="36">
                  <c:v>4771</c:v>
                </c:pt>
                <c:pt idx="37">
                  <c:v>4823</c:v>
                </c:pt>
                <c:pt idx="38">
                  <c:v>4855</c:v>
                </c:pt>
                <c:pt idx="39">
                  <c:v>4898</c:v>
                </c:pt>
                <c:pt idx="40">
                  <c:v>4982</c:v>
                </c:pt>
                <c:pt idx="41">
                  <c:v>5016</c:v>
                </c:pt>
                <c:pt idx="42">
                  <c:v>5031</c:v>
                </c:pt>
                <c:pt idx="43">
                  <c:v>5062</c:v>
                </c:pt>
                <c:pt idx="44">
                  <c:v>5075</c:v>
                </c:pt>
                <c:pt idx="45">
                  <c:v>5112</c:v>
                </c:pt>
                <c:pt idx="46">
                  <c:v>5143</c:v>
                </c:pt>
                <c:pt idx="47">
                  <c:v>5158</c:v>
                </c:pt>
                <c:pt idx="48">
                  <c:v>5166</c:v>
                </c:pt>
                <c:pt idx="49">
                  <c:v>5191</c:v>
                </c:pt>
                <c:pt idx="50">
                  <c:v>5206</c:v>
                </c:pt>
                <c:pt idx="51">
                  <c:v>5232</c:v>
                </c:pt>
                <c:pt idx="52">
                  <c:v>5240</c:v>
                </c:pt>
                <c:pt idx="53">
                  <c:v>5243</c:v>
                </c:pt>
                <c:pt idx="54">
                  <c:v>5272</c:v>
                </c:pt>
                <c:pt idx="55">
                  <c:v>5283</c:v>
                </c:pt>
                <c:pt idx="56">
                  <c:v>5291</c:v>
                </c:pt>
                <c:pt idx="57">
                  <c:v>5302</c:v>
                </c:pt>
                <c:pt idx="58">
                  <c:v>5312</c:v>
                </c:pt>
                <c:pt idx="59">
                  <c:v>5323</c:v>
                </c:pt>
                <c:pt idx="60">
                  <c:v>5336</c:v>
                </c:pt>
                <c:pt idx="61">
                  <c:v>5348</c:v>
                </c:pt>
                <c:pt idx="62">
                  <c:v>5360</c:v>
                </c:pt>
                <c:pt idx="63">
                  <c:v>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9-4A3A-BCE4-DC1946F5F05B}"/>
            </c:ext>
          </c:extLst>
        </c:ser>
        <c:ser>
          <c:idx val="1"/>
          <c:order val="1"/>
          <c:tx>
            <c:strRef>
              <c:f>'[2]Classical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9-4A3A-BCE4-DC1946F5F05B}"/>
            </c:ext>
          </c:extLst>
        </c:ser>
        <c:ser>
          <c:idx val="2"/>
          <c:order val="2"/>
          <c:tx>
            <c:strRef>
              <c:f>'[2]Classical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Data)'!$W$4:$W$67</c:f>
              <c:numCache>
                <c:formatCode>General</c:formatCode>
                <c:ptCount val="64"/>
                <c:pt idx="13">
                  <c:v>709</c:v>
                </c:pt>
                <c:pt idx="14">
                  <c:v>1109</c:v>
                </c:pt>
                <c:pt idx="15">
                  <c:v>1370</c:v>
                </c:pt>
                <c:pt idx="16">
                  <c:v>1647</c:v>
                </c:pt>
                <c:pt idx="17">
                  <c:v>1980</c:v>
                </c:pt>
                <c:pt idx="18">
                  <c:v>2401</c:v>
                </c:pt>
                <c:pt idx="19">
                  <c:v>2507</c:v>
                </c:pt>
                <c:pt idx="20">
                  <c:v>2552</c:v>
                </c:pt>
                <c:pt idx="21">
                  <c:v>2596</c:v>
                </c:pt>
                <c:pt idx="22">
                  <c:v>2662</c:v>
                </c:pt>
                <c:pt idx="23">
                  <c:v>2689</c:v>
                </c:pt>
                <c:pt idx="24">
                  <c:v>2726</c:v>
                </c:pt>
                <c:pt idx="25">
                  <c:v>2754</c:v>
                </c:pt>
                <c:pt idx="26">
                  <c:v>2770</c:v>
                </c:pt>
                <c:pt idx="27">
                  <c:v>2778</c:v>
                </c:pt>
                <c:pt idx="28">
                  <c:v>2787</c:v>
                </c:pt>
                <c:pt idx="29">
                  <c:v>2792</c:v>
                </c:pt>
                <c:pt idx="30">
                  <c:v>2802</c:v>
                </c:pt>
                <c:pt idx="31">
                  <c:v>2807</c:v>
                </c:pt>
                <c:pt idx="32">
                  <c:v>2816</c:v>
                </c:pt>
                <c:pt idx="33">
                  <c:v>2822</c:v>
                </c:pt>
                <c:pt idx="34">
                  <c:v>2835</c:v>
                </c:pt>
                <c:pt idx="35">
                  <c:v>2847</c:v>
                </c:pt>
                <c:pt idx="36">
                  <c:v>2849</c:v>
                </c:pt>
                <c:pt idx="37">
                  <c:v>2862</c:v>
                </c:pt>
                <c:pt idx="38">
                  <c:v>2862</c:v>
                </c:pt>
                <c:pt idx="39">
                  <c:v>2862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49-4A3A-BCE4-DC1946F5F05B}"/>
            </c:ext>
          </c:extLst>
        </c:ser>
        <c:ser>
          <c:idx val="3"/>
          <c:order val="3"/>
          <c:tx>
            <c:strRef>
              <c:f>'[2]Classical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Data)'!$AE$4:$AE$67</c:f>
              <c:numCache>
                <c:formatCode>General</c:formatCode>
                <c:ptCount val="64"/>
                <c:pt idx="13">
                  <c:v>928</c:v>
                </c:pt>
                <c:pt idx="14">
                  <c:v>1175</c:v>
                </c:pt>
                <c:pt idx="15">
                  <c:v>1437</c:v>
                </c:pt>
                <c:pt idx="16">
                  <c:v>1815</c:v>
                </c:pt>
                <c:pt idx="17">
                  <c:v>2272</c:v>
                </c:pt>
                <c:pt idx="18">
                  <c:v>2373</c:v>
                </c:pt>
                <c:pt idx="19">
                  <c:v>2415</c:v>
                </c:pt>
                <c:pt idx="20">
                  <c:v>2456</c:v>
                </c:pt>
                <c:pt idx="21">
                  <c:v>2491</c:v>
                </c:pt>
                <c:pt idx="22">
                  <c:v>2534</c:v>
                </c:pt>
                <c:pt idx="23">
                  <c:v>2570</c:v>
                </c:pt>
                <c:pt idx="24">
                  <c:v>2618</c:v>
                </c:pt>
                <c:pt idx="25">
                  <c:v>2625</c:v>
                </c:pt>
                <c:pt idx="26">
                  <c:v>2632</c:v>
                </c:pt>
                <c:pt idx="27">
                  <c:v>2639</c:v>
                </c:pt>
                <c:pt idx="28">
                  <c:v>2646</c:v>
                </c:pt>
                <c:pt idx="29">
                  <c:v>2653</c:v>
                </c:pt>
                <c:pt idx="30">
                  <c:v>2660</c:v>
                </c:pt>
                <c:pt idx="31">
                  <c:v>2667</c:v>
                </c:pt>
                <c:pt idx="32">
                  <c:v>2674</c:v>
                </c:pt>
                <c:pt idx="33">
                  <c:v>2681</c:v>
                </c:pt>
                <c:pt idx="34">
                  <c:v>2688</c:v>
                </c:pt>
                <c:pt idx="35">
                  <c:v>2704</c:v>
                </c:pt>
                <c:pt idx="36">
                  <c:v>2725</c:v>
                </c:pt>
                <c:pt idx="37">
                  <c:v>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49-4A3A-BCE4-DC1946F5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Classical Season Tix </a:t>
            </a:r>
            <a:r>
              <a:rPr lang="en-US" baseline="0"/>
              <a:t>Renewals</a:t>
            </a:r>
            <a:r>
              <a:rPr lang="en-US"/>
              <a:t>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Data)'!$E$4:$E$67</c:f>
              <c:numCache>
                <c:formatCode>General</c:formatCode>
                <c:ptCount val="64"/>
                <c:pt idx="7">
                  <c:v>773</c:v>
                </c:pt>
                <c:pt idx="8">
                  <c:v>1171</c:v>
                </c:pt>
                <c:pt idx="9">
                  <c:v>1477</c:v>
                </c:pt>
                <c:pt idx="10">
                  <c:v>1830</c:v>
                </c:pt>
                <c:pt idx="11">
                  <c:v>2225</c:v>
                </c:pt>
                <c:pt idx="12">
                  <c:v>2954</c:v>
                </c:pt>
                <c:pt idx="13">
                  <c:v>3718</c:v>
                </c:pt>
                <c:pt idx="14">
                  <c:v>4006</c:v>
                </c:pt>
                <c:pt idx="15">
                  <c:v>4071</c:v>
                </c:pt>
                <c:pt idx="16">
                  <c:v>4123</c:v>
                </c:pt>
                <c:pt idx="17">
                  <c:v>4157</c:v>
                </c:pt>
                <c:pt idx="18">
                  <c:v>4266</c:v>
                </c:pt>
                <c:pt idx="19">
                  <c:v>4228</c:v>
                </c:pt>
                <c:pt idx="20">
                  <c:v>4223</c:v>
                </c:pt>
                <c:pt idx="21">
                  <c:v>4230</c:v>
                </c:pt>
                <c:pt idx="22">
                  <c:v>4221</c:v>
                </c:pt>
                <c:pt idx="23">
                  <c:v>4235</c:v>
                </c:pt>
                <c:pt idx="24">
                  <c:v>4219</c:v>
                </c:pt>
                <c:pt idx="25">
                  <c:v>4223</c:v>
                </c:pt>
                <c:pt idx="26">
                  <c:v>4234</c:v>
                </c:pt>
                <c:pt idx="27">
                  <c:v>4236</c:v>
                </c:pt>
                <c:pt idx="28">
                  <c:v>4248</c:v>
                </c:pt>
                <c:pt idx="29">
                  <c:v>4266</c:v>
                </c:pt>
                <c:pt idx="30">
                  <c:v>4290</c:v>
                </c:pt>
                <c:pt idx="31">
                  <c:v>4294</c:v>
                </c:pt>
                <c:pt idx="32">
                  <c:v>4298</c:v>
                </c:pt>
                <c:pt idx="33">
                  <c:v>4300</c:v>
                </c:pt>
                <c:pt idx="34">
                  <c:v>4308</c:v>
                </c:pt>
                <c:pt idx="35">
                  <c:v>4314</c:v>
                </c:pt>
                <c:pt idx="36">
                  <c:v>4320</c:v>
                </c:pt>
                <c:pt idx="37">
                  <c:v>4328</c:v>
                </c:pt>
                <c:pt idx="38">
                  <c:v>4334</c:v>
                </c:pt>
                <c:pt idx="39">
                  <c:v>4346</c:v>
                </c:pt>
                <c:pt idx="40">
                  <c:v>4363</c:v>
                </c:pt>
                <c:pt idx="41">
                  <c:v>4369</c:v>
                </c:pt>
                <c:pt idx="42">
                  <c:v>4370</c:v>
                </c:pt>
                <c:pt idx="43">
                  <c:v>4375</c:v>
                </c:pt>
                <c:pt idx="44">
                  <c:v>4377</c:v>
                </c:pt>
                <c:pt idx="45">
                  <c:v>4380</c:v>
                </c:pt>
                <c:pt idx="46">
                  <c:v>4384</c:v>
                </c:pt>
                <c:pt idx="47">
                  <c:v>4386</c:v>
                </c:pt>
                <c:pt idx="48">
                  <c:v>4386</c:v>
                </c:pt>
                <c:pt idx="49">
                  <c:v>4386</c:v>
                </c:pt>
                <c:pt idx="50">
                  <c:v>4386</c:v>
                </c:pt>
                <c:pt idx="51">
                  <c:v>4386</c:v>
                </c:pt>
                <c:pt idx="52">
                  <c:v>4388</c:v>
                </c:pt>
                <c:pt idx="53">
                  <c:v>4388</c:v>
                </c:pt>
                <c:pt idx="54">
                  <c:v>4390</c:v>
                </c:pt>
                <c:pt idx="55">
                  <c:v>4386</c:v>
                </c:pt>
                <c:pt idx="56">
                  <c:v>4388</c:v>
                </c:pt>
                <c:pt idx="57">
                  <c:v>4390</c:v>
                </c:pt>
                <c:pt idx="58">
                  <c:v>4394</c:v>
                </c:pt>
                <c:pt idx="59">
                  <c:v>4394</c:v>
                </c:pt>
                <c:pt idx="60">
                  <c:v>4396</c:v>
                </c:pt>
                <c:pt idx="61">
                  <c:v>4398</c:v>
                </c:pt>
                <c:pt idx="62">
                  <c:v>4398</c:v>
                </c:pt>
                <c:pt idx="63">
                  <c:v>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0-408E-846F-84EC2CFDBC50}"/>
            </c:ext>
          </c:extLst>
        </c:ser>
        <c:ser>
          <c:idx val="1"/>
          <c:order val="1"/>
          <c:tx>
            <c:strRef>
              <c:f>'[2]Classical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0-408E-846F-84EC2CFDBC50}"/>
            </c:ext>
          </c:extLst>
        </c:ser>
        <c:ser>
          <c:idx val="2"/>
          <c:order val="2"/>
          <c:tx>
            <c:strRef>
              <c:f>'[2]Classical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Data)'!$U$4:$U$67</c:f>
              <c:numCache>
                <c:formatCode>General</c:formatCode>
                <c:ptCount val="64"/>
                <c:pt idx="13">
                  <c:v>684</c:v>
                </c:pt>
                <c:pt idx="14">
                  <c:v>1078</c:v>
                </c:pt>
                <c:pt idx="15">
                  <c:v>1335</c:v>
                </c:pt>
                <c:pt idx="16">
                  <c:v>1609</c:v>
                </c:pt>
                <c:pt idx="17">
                  <c:v>1932</c:v>
                </c:pt>
                <c:pt idx="18">
                  <c:v>2328</c:v>
                </c:pt>
                <c:pt idx="19">
                  <c:v>2428</c:v>
                </c:pt>
                <c:pt idx="20">
                  <c:v>2464</c:v>
                </c:pt>
                <c:pt idx="21">
                  <c:v>2503</c:v>
                </c:pt>
                <c:pt idx="22">
                  <c:v>2568</c:v>
                </c:pt>
                <c:pt idx="23">
                  <c:v>2594</c:v>
                </c:pt>
                <c:pt idx="24">
                  <c:v>2623</c:v>
                </c:pt>
                <c:pt idx="25">
                  <c:v>2647</c:v>
                </c:pt>
                <c:pt idx="26">
                  <c:v>2657</c:v>
                </c:pt>
                <c:pt idx="27">
                  <c:v>2660</c:v>
                </c:pt>
                <c:pt idx="28">
                  <c:v>2669</c:v>
                </c:pt>
                <c:pt idx="29">
                  <c:v>2673</c:v>
                </c:pt>
                <c:pt idx="30">
                  <c:v>2677</c:v>
                </c:pt>
                <c:pt idx="31">
                  <c:v>2679</c:v>
                </c:pt>
                <c:pt idx="32">
                  <c:v>2681</c:v>
                </c:pt>
                <c:pt idx="33">
                  <c:v>2681</c:v>
                </c:pt>
                <c:pt idx="34">
                  <c:v>2690</c:v>
                </c:pt>
                <c:pt idx="35">
                  <c:v>2695</c:v>
                </c:pt>
                <c:pt idx="36">
                  <c:v>2695</c:v>
                </c:pt>
                <c:pt idx="37">
                  <c:v>2699</c:v>
                </c:pt>
                <c:pt idx="38">
                  <c:v>2699</c:v>
                </c:pt>
                <c:pt idx="39">
                  <c:v>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C0-408E-846F-84EC2CFDBC50}"/>
            </c:ext>
          </c:extLst>
        </c:ser>
        <c:ser>
          <c:idx val="3"/>
          <c:order val="3"/>
          <c:tx>
            <c:strRef>
              <c:f>'[2]Classical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'[2]Classical (Graph Data)'!$AC$4:$AC$67</c:f>
              <c:numCache>
                <c:formatCode>General</c:formatCode>
                <c:ptCount val="64"/>
                <c:pt idx="13">
                  <c:v>898</c:v>
                </c:pt>
                <c:pt idx="14">
                  <c:v>1136</c:v>
                </c:pt>
                <c:pt idx="15">
                  <c:v>1387</c:v>
                </c:pt>
                <c:pt idx="16">
                  <c:v>1739</c:v>
                </c:pt>
                <c:pt idx="17">
                  <c:v>2160</c:v>
                </c:pt>
                <c:pt idx="18">
                  <c:v>2252</c:v>
                </c:pt>
                <c:pt idx="19">
                  <c:v>2293</c:v>
                </c:pt>
                <c:pt idx="20">
                  <c:v>2322</c:v>
                </c:pt>
                <c:pt idx="21">
                  <c:v>2345</c:v>
                </c:pt>
                <c:pt idx="22">
                  <c:v>2369</c:v>
                </c:pt>
                <c:pt idx="23">
                  <c:v>2384</c:v>
                </c:pt>
                <c:pt idx="24">
                  <c:v>2413</c:v>
                </c:pt>
                <c:pt idx="25">
                  <c:v>2414</c:v>
                </c:pt>
                <c:pt idx="26">
                  <c:v>2415</c:v>
                </c:pt>
                <c:pt idx="27">
                  <c:v>2416</c:v>
                </c:pt>
                <c:pt idx="28">
                  <c:v>2417</c:v>
                </c:pt>
                <c:pt idx="29">
                  <c:v>2418</c:v>
                </c:pt>
                <c:pt idx="30">
                  <c:v>2419</c:v>
                </c:pt>
                <c:pt idx="31">
                  <c:v>2420</c:v>
                </c:pt>
                <c:pt idx="32">
                  <c:v>2421</c:v>
                </c:pt>
                <c:pt idx="33">
                  <c:v>2422</c:v>
                </c:pt>
                <c:pt idx="34">
                  <c:v>2423</c:v>
                </c:pt>
                <c:pt idx="35">
                  <c:v>2424</c:v>
                </c:pt>
                <c:pt idx="36">
                  <c:v>2425</c:v>
                </c:pt>
                <c:pt idx="37">
                  <c:v>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C0-408E-846F-84EC2CFDB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Pops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'[2]Pops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'[2]Pops (Graph Data)'!$A$3:$A$67</c:f>
              <c:strCache>
                <c:ptCount val="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</c:strCache>
            </c:strRef>
          </c:cat>
          <c:val>
            <c:numRef>
              <c:f>'[2]Pops (Graph Data)'!$D$3:$D$67</c:f>
              <c:numCache>
                <c:formatCode>General</c:formatCode>
                <c:ptCount val="65"/>
                <c:pt idx="7">
                  <c:v>495.13447099329198</c:v>
                </c:pt>
                <c:pt idx="8">
                  <c:v>749.54311632281599</c:v>
                </c:pt>
                <c:pt idx="9">
                  <c:v>870.89041831557154</c:v>
                </c:pt>
                <c:pt idx="10">
                  <c:v>1007.9044919245102</c:v>
                </c:pt>
                <c:pt idx="11">
                  <c:v>1189.0245107105338</c:v>
                </c:pt>
                <c:pt idx="12">
                  <c:v>1475.081552067616</c:v>
                </c:pt>
                <c:pt idx="13">
                  <c:v>1711.1756275756068</c:v>
                </c:pt>
                <c:pt idx="14">
                  <c:v>1833.9226968144571</c:v>
                </c:pt>
                <c:pt idx="15">
                  <c:v>1898.6154627084975</c:v>
                </c:pt>
                <c:pt idx="16">
                  <c:v>1949.7733518164503</c:v>
                </c:pt>
                <c:pt idx="17">
                  <c:v>2006.9855187693008</c:v>
                </c:pt>
                <c:pt idx="18">
                  <c:v>2045.3330718608249</c:v>
                </c:pt>
                <c:pt idx="19">
                  <c:v>2087.9406212053696</c:v>
                </c:pt>
                <c:pt idx="20">
                  <c:v>2112.3094688718002</c:v>
                </c:pt>
                <c:pt idx="21">
                  <c:v>2141.5528447529518</c:v>
                </c:pt>
                <c:pt idx="22">
                  <c:v>2150.9263538724649</c:v>
                </c:pt>
                <c:pt idx="23">
                  <c:v>2161.6768697950465</c:v>
                </c:pt>
                <c:pt idx="24">
                  <c:v>2174.267188195558</c:v>
                </c:pt>
                <c:pt idx="25">
                  <c:v>2175.936287350793</c:v>
                </c:pt>
                <c:pt idx="26">
                  <c:v>2195.2067957794152</c:v>
                </c:pt>
                <c:pt idx="27">
                  <c:v>2207.1332679250036</c:v>
                </c:pt>
                <c:pt idx="28">
                  <c:v>2232.4808146415494</c:v>
                </c:pt>
                <c:pt idx="29">
                  <c:v>2241.6912072527098</c:v>
                </c:pt>
                <c:pt idx="30">
                  <c:v>2274.5269397247876</c:v>
                </c:pt>
                <c:pt idx="31">
                  <c:v>2282.9938245304343</c:v>
                </c:pt>
                <c:pt idx="32">
                  <c:v>2292.6139051160612</c:v>
                </c:pt>
                <c:pt idx="33">
                  <c:v>2299.0626973067419</c:v>
                </c:pt>
                <c:pt idx="34">
                  <c:v>2299.0626973067419</c:v>
                </c:pt>
                <c:pt idx="35">
                  <c:v>2300.094504057251</c:v>
                </c:pt>
                <c:pt idx="36">
                  <c:v>2302.051902157481</c:v>
                </c:pt>
                <c:pt idx="37">
                  <c:v>2303.0837089079901</c:v>
                </c:pt>
                <c:pt idx="38">
                  <c:v>2310.9208881232526</c:v>
                </c:pt>
                <c:pt idx="39">
                  <c:v>2317.8286825816226</c:v>
                </c:pt>
                <c:pt idx="40">
                  <c:v>2321.4248325797203</c:v>
                </c:pt>
                <c:pt idx="41">
                  <c:v>2323.450512009028</c:v>
                </c:pt>
                <c:pt idx="42">
                  <c:v>2324.4292110591432</c:v>
                </c:pt>
                <c:pt idx="43">
                  <c:v>2326.807677355353</c:v>
                </c:pt>
                <c:pt idx="44">
                  <c:v>2327.6270533042866</c:v>
                </c:pt>
                <c:pt idx="45">
                  <c:v>2330.3014053598336</c:v>
                </c:pt>
                <c:pt idx="46">
                  <c:v>2335.9346150087517</c:v>
                </c:pt>
                <c:pt idx="47">
                  <c:v>2336.6743294070943</c:v>
                </c:pt>
                <c:pt idx="48">
                  <c:v>2339.1210770323819</c:v>
                </c:pt>
                <c:pt idx="49">
                  <c:v>2344.3673591498591</c:v>
                </c:pt>
                <c:pt idx="50">
                  <c:v>2347.4172585153342</c:v>
                </c:pt>
                <c:pt idx="51">
                  <c:v>2352.0603888926244</c:v>
                </c:pt>
                <c:pt idx="52">
                  <c:v>2352.0603888926244</c:v>
                </c:pt>
                <c:pt idx="53">
                  <c:v>2353.5170572462839</c:v>
                </c:pt>
                <c:pt idx="54">
                  <c:v>2357.5949699550965</c:v>
                </c:pt>
                <c:pt idx="55">
                  <c:v>2359.3475240680937</c:v>
                </c:pt>
                <c:pt idx="56">
                  <c:v>2360.2238011245918</c:v>
                </c:pt>
                <c:pt idx="57">
                  <c:v>2360.2238011245918</c:v>
                </c:pt>
                <c:pt idx="58">
                  <c:v>2360.2238011245918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8-4CEA-9F2E-B10FB2A279ED}"/>
            </c:ext>
          </c:extLst>
        </c:ser>
        <c:ser>
          <c:idx val="1"/>
          <c:order val="1"/>
          <c:tx>
            <c:strRef>
              <c:f>'[2]Pops (Graph Data)'!$H$1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'[2]Pops (Graph Data)'!$I$3:$I$67</c:f>
              <c:numCache>
                <c:formatCode>General</c:formatCode>
                <c:ptCount val="65"/>
                <c:pt idx="5">
                  <c:v>332.94152791430736</c:v>
                </c:pt>
                <c:pt idx="6">
                  <c:v>458.8431030856305</c:v>
                </c:pt>
                <c:pt idx="7">
                  <c:v>614.40684218261799</c:v>
                </c:pt>
                <c:pt idx="8">
                  <c:v>761.08168939267125</c:v>
                </c:pt>
                <c:pt idx="9">
                  <c:v>960.69959629372931</c:v>
                </c:pt>
                <c:pt idx="10">
                  <c:v>1204.6383702797687</c:v>
                </c:pt>
                <c:pt idx="11">
                  <c:v>1478.6653765548781</c:v>
                </c:pt>
                <c:pt idx="12">
                  <c:v>1547.3599559708821</c:v>
                </c:pt>
                <c:pt idx="13">
                  <c:v>1597.6002461199762</c:v>
                </c:pt>
                <c:pt idx="14">
                  <c:v>1628.5015859727982</c:v>
                </c:pt>
                <c:pt idx="15">
                  <c:v>1671.4499274901664</c:v>
                </c:pt>
                <c:pt idx="16">
                  <c:v>1712.6191896580456</c:v>
                </c:pt>
                <c:pt idx="17">
                  <c:v>1737.210814816154</c:v>
                </c:pt>
                <c:pt idx="18">
                  <c:v>1763.6433154985964</c:v>
                </c:pt>
                <c:pt idx="19">
                  <c:v>1785.3760544625536</c:v>
                </c:pt>
                <c:pt idx="20">
                  <c:v>1805.5768987764022</c:v>
                </c:pt>
                <c:pt idx="21">
                  <c:v>1817.7247257788538</c:v>
                </c:pt>
                <c:pt idx="22">
                  <c:v>1818.6158916687257</c:v>
                </c:pt>
                <c:pt idx="23">
                  <c:v>1838.9143088902247</c:v>
                </c:pt>
                <c:pt idx="24">
                  <c:v>1857.2157339351493</c:v>
                </c:pt>
                <c:pt idx="25">
                  <c:v>1859.3298136009039</c:v>
                </c:pt>
                <c:pt idx="26">
                  <c:v>1848.9480562269214</c:v>
                </c:pt>
                <c:pt idx="27">
                  <c:v>1863.974284005054</c:v>
                </c:pt>
                <c:pt idx="28">
                  <c:v>1859.4403962295742</c:v>
                </c:pt>
                <c:pt idx="29">
                  <c:v>1859.3883573454941</c:v>
                </c:pt>
                <c:pt idx="30">
                  <c:v>1863.0180695100819</c:v>
                </c:pt>
                <c:pt idx="31">
                  <c:v>1868.7195797471093</c:v>
                </c:pt>
                <c:pt idx="32">
                  <c:v>1872.1151169333366</c:v>
                </c:pt>
                <c:pt idx="33">
                  <c:v>1872.7818651356131</c:v>
                </c:pt>
                <c:pt idx="34">
                  <c:v>1874.9154593828978</c:v>
                </c:pt>
                <c:pt idx="35">
                  <c:v>1876.8831796871771</c:v>
                </c:pt>
                <c:pt idx="36">
                  <c:v>1879.2249294707822</c:v>
                </c:pt>
                <c:pt idx="37">
                  <c:v>1885.7297899807961</c:v>
                </c:pt>
                <c:pt idx="38">
                  <c:v>1885.7297899807961</c:v>
                </c:pt>
                <c:pt idx="39">
                  <c:v>1885.7297899807961</c:v>
                </c:pt>
                <c:pt idx="40">
                  <c:v>1885.7297899807961</c:v>
                </c:pt>
                <c:pt idx="41">
                  <c:v>1888.2113942653666</c:v>
                </c:pt>
                <c:pt idx="42">
                  <c:v>1890.6019305027969</c:v>
                </c:pt>
                <c:pt idx="43">
                  <c:v>1891.145086355383</c:v>
                </c:pt>
                <c:pt idx="44">
                  <c:v>1891.8476112904646</c:v>
                </c:pt>
                <c:pt idx="45">
                  <c:v>1891.8476112904646</c:v>
                </c:pt>
                <c:pt idx="46">
                  <c:v>1892.9371754258918</c:v>
                </c:pt>
                <c:pt idx="47">
                  <c:v>1893.4803312784779</c:v>
                </c:pt>
                <c:pt idx="48">
                  <c:v>1893.4803312784779</c:v>
                </c:pt>
                <c:pt idx="49">
                  <c:v>1896.202615401919</c:v>
                </c:pt>
                <c:pt idx="50">
                  <c:v>1896.202615401919</c:v>
                </c:pt>
                <c:pt idx="51">
                  <c:v>1898.134558973393</c:v>
                </c:pt>
                <c:pt idx="52">
                  <c:v>1898.7395110008245</c:v>
                </c:pt>
                <c:pt idx="53">
                  <c:v>1900.1445608709876</c:v>
                </c:pt>
                <c:pt idx="54">
                  <c:v>1900.1445608709876</c:v>
                </c:pt>
                <c:pt idx="55">
                  <c:v>1900.1445608709876</c:v>
                </c:pt>
                <c:pt idx="56">
                  <c:v>1900.1445608709876</c:v>
                </c:pt>
                <c:pt idx="57">
                  <c:v>1900.8698528178541</c:v>
                </c:pt>
                <c:pt idx="58">
                  <c:v>1902.0797568727166</c:v>
                </c:pt>
                <c:pt idx="59">
                  <c:v>1902.4440290612774</c:v>
                </c:pt>
                <c:pt idx="60">
                  <c:v>1902.4440290612774</c:v>
                </c:pt>
                <c:pt idx="61">
                  <c:v>1902.4440290612774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8-4CEA-9F2E-B10FB2A279ED}"/>
            </c:ext>
          </c:extLst>
        </c:ser>
        <c:ser>
          <c:idx val="2"/>
          <c:order val="2"/>
          <c:tx>
            <c:strRef>
              <c:f>'[2]Pops (Graph Data)'!$M$1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'[2]Pops (Graph Data)'!$N$3:$N$67</c:f>
              <c:numCache>
                <c:formatCode>General</c:formatCode>
                <c:ptCount val="65"/>
                <c:pt idx="15">
                  <c:v>297.51927713140338</c:v>
                </c:pt>
                <c:pt idx="16">
                  <c:v>402.99876598628373</c:v>
                </c:pt>
                <c:pt idx="17">
                  <c:v>496.08802920036953</c:v>
                </c:pt>
                <c:pt idx="18">
                  <c:v>862.52285611781372</c:v>
                </c:pt>
                <c:pt idx="19">
                  <c:v>1078.7102303550043</c:v>
                </c:pt>
                <c:pt idx="20">
                  <c:v>1370.9865956993235</c:v>
                </c:pt>
                <c:pt idx="21">
                  <c:v>1527.106922435652</c:v>
                </c:pt>
                <c:pt idx="22">
                  <c:v>1578.0990296007308</c:v>
                </c:pt>
                <c:pt idx="23">
                  <c:v>1615.0810081476102</c:v>
                </c:pt>
                <c:pt idx="24">
                  <c:v>1648.3557893788163</c:v>
                </c:pt>
                <c:pt idx="25">
                  <c:v>1655.2766651819218</c:v>
                </c:pt>
                <c:pt idx="26">
                  <c:v>1655.2766651819218</c:v>
                </c:pt>
                <c:pt idx="27">
                  <c:v>1658.8474190568461</c:v>
                </c:pt>
                <c:pt idx="28">
                  <c:v>1664.6361046069269</c:v>
                </c:pt>
                <c:pt idx="29">
                  <c:v>1658.7051695122354</c:v>
                </c:pt>
                <c:pt idx="30">
                  <c:v>1659.5238301567301</c:v>
                </c:pt>
                <c:pt idx="31">
                  <c:v>1659.7386559996119</c:v>
                </c:pt>
                <c:pt idx="32">
                  <c:v>1662.322372218053</c:v>
                </c:pt>
                <c:pt idx="33">
                  <c:v>1665.0222105137277</c:v>
                </c:pt>
                <c:pt idx="34">
                  <c:v>1668.5697399732053</c:v>
                </c:pt>
                <c:pt idx="35">
                  <c:v>1669.7309607455384</c:v>
                </c:pt>
                <c:pt idx="36">
                  <c:v>1670.5409122342407</c:v>
                </c:pt>
                <c:pt idx="37">
                  <c:v>1674.4600323408652</c:v>
                </c:pt>
                <c:pt idx="38">
                  <c:v>1674.4193896138336</c:v>
                </c:pt>
                <c:pt idx="39">
                  <c:v>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38-4CEA-9F2E-B10FB2A279ED}"/>
            </c:ext>
          </c:extLst>
        </c:ser>
        <c:ser>
          <c:idx val="3"/>
          <c:order val="3"/>
          <c:tx>
            <c:strRef>
              <c:f>'[2]Pops (Graph Data)'!$R$1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'[2]Pops (Graph Data)'!$R$4:$R$67</c:f>
              <c:numCache>
                <c:formatCode>General</c:formatCode>
                <c:ptCount val="64"/>
                <c:pt idx="13">
                  <c:v>674</c:v>
                </c:pt>
                <c:pt idx="14">
                  <c:v>829</c:v>
                </c:pt>
                <c:pt idx="15">
                  <c:v>947</c:v>
                </c:pt>
                <c:pt idx="16">
                  <c:v>1127</c:v>
                </c:pt>
                <c:pt idx="17">
                  <c:v>1418</c:v>
                </c:pt>
                <c:pt idx="18">
                  <c:v>1515</c:v>
                </c:pt>
                <c:pt idx="19">
                  <c:v>1530</c:v>
                </c:pt>
                <c:pt idx="20">
                  <c:v>1561</c:v>
                </c:pt>
                <c:pt idx="21">
                  <c:v>1588</c:v>
                </c:pt>
                <c:pt idx="22">
                  <c:v>1613</c:v>
                </c:pt>
                <c:pt idx="23">
                  <c:v>1662</c:v>
                </c:pt>
                <c:pt idx="24">
                  <c:v>1653</c:v>
                </c:pt>
                <c:pt idx="25">
                  <c:v>1663</c:v>
                </c:pt>
                <c:pt idx="26">
                  <c:v>1673</c:v>
                </c:pt>
                <c:pt idx="27">
                  <c:v>1683</c:v>
                </c:pt>
                <c:pt idx="28">
                  <c:v>1693</c:v>
                </c:pt>
                <c:pt idx="29">
                  <c:v>1703</c:v>
                </c:pt>
                <c:pt idx="30">
                  <c:v>1713</c:v>
                </c:pt>
                <c:pt idx="31">
                  <c:v>1723</c:v>
                </c:pt>
                <c:pt idx="32">
                  <c:v>1733</c:v>
                </c:pt>
                <c:pt idx="33">
                  <c:v>1743</c:v>
                </c:pt>
                <c:pt idx="34">
                  <c:v>1753</c:v>
                </c:pt>
                <c:pt idx="35">
                  <c:v>1763</c:v>
                </c:pt>
                <c:pt idx="36">
                  <c:v>1773</c:v>
                </c:pt>
                <c:pt idx="37">
                  <c:v>1784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38-4CEA-9F2E-B10FB2A27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CS3 Mahler (Nov 21-23)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'CS3 Mahler'!$A$4</c:f>
              <c:strCache>
                <c:ptCount val="1"/>
                <c:pt idx="0">
                  <c:v>11/21/2025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Mahler'!$B$4:$L$4</c:f>
              <c:numCache>
                <c:formatCode>_(* #,##0_);_(* \(#,##0\);_(* "-"??_);_(@_)</c:formatCode>
                <c:ptCount val="11"/>
                <c:pt idx="0">
                  <c:v>55</c:v>
                </c:pt>
                <c:pt idx="1">
                  <c:v>60</c:v>
                </c:pt>
                <c:pt idx="2" formatCode="General">
                  <c:v>66</c:v>
                </c:pt>
                <c:pt idx="3" formatCode="General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5-4EF5-AA1A-D431C8D842A7}"/>
            </c:ext>
          </c:extLst>
        </c:ser>
        <c:ser>
          <c:idx val="1"/>
          <c:order val="1"/>
          <c:tx>
            <c:strRef>
              <c:f>'CS3 Mahler'!$A$5</c:f>
              <c:strCache>
                <c:ptCount val="1"/>
                <c:pt idx="0">
                  <c:v>11/22/2025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Mahler'!$B$5:$L$5</c:f>
              <c:numCache>
                <c:formatCode>_(* #,##0_);_(* \(#,##0\);_(* "-"??_);_(@_)</c:formatCode>
                <c:ptCount val="11"/>
                <c:pt idx="0">
                  <c:v>95</c:v>
                </c:pt>
                <c:pt idx="1">
                  <c:v>110</c:v>
                </c:pt>
                <c:pt idx="2" formatCode="General">
                  <c:v>114</c:v>
                </c:pt>
                <c:pt idx="3" formatCode="General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5-4EF5-AA1A-D431C8D842A7}"/>
            </c:ext>
          </c:extLst>
        </c:ser>
        <c:ser>
          <c:idx val="2"/>
          <c:order val="2"/>
          <c:tx>
            <c:strRef>
              <c:f>'CS3 Mahler'!$A$6</c:f>
              <c:strCache>
                <c:ptCount val="1"/>
                <c:pt idx="0">
                  <c:v>11/23/2025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Mahler'!$B$6:$L$6</c:f>
              <c:numCache>
                <c:formatCode>_(* #,##0_);_(* \(#,##0\);_(* "-"??_);_(@_)</c:formatCode>
                <c:ptCount val="11"/>
                <c:pt idx="0">
                  <c:v>75</c:v>
                </c:pt>
                <c:pt idx="1">
                  <c:v>81</c:v>
                </c:pt>
                <c:pt idx="2" formatCode="General">
                  <c:v>83</c:v>
                </c:pt>
                <c:pt idx="3" formatCode="General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5-4EF5-AA1A-D431C8D842A7}"/>
            </c:ext>
          </c:extLst>
        </c:ser>
        <c:ser>
          <c:idx val="3"/>
          <c:order val="3"/>
          <c:tx>
            <c:strRef>
              <c:f>'CS3 Mahler'!$A$7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Mahler'!$B$7:$L$7</c:f>
              <c:numCache>
                <c:formatCode>0</c:formatCode>
                <c:ptCount val="11"/>
                <c:pt idx="0">
                  <c:v>139.90999999999997</c:v>
                </c:pt>
                <c:pt idx="1">
                  <c:v>167.89199999999997</c:v>
                </c:pt>
                <c:pt idx="2">
                  <c:v>195.87399999999997</c:v>
                </c:pt>
                <c:pt idx="3">
                  <c:v>223.85599999999997</c:v>
                </c:pt>
                <c:pt idx="4">
                  <c:v>251.83799999999999</c:v>
                </c:pt>
                <c:pt idx="5">
                  <c:v>279.81999999999994</c:v>
                </c:pt>
                <c:pt idx="6">
                  <c:v>307.80199999999996</c:v>
                </c:pt>
                <c:pt idx="7">
                  <c:v>363.76599999999996</c:v>
                </c:pt>
                <c:pt idx="8">
                  <c:v>429.0573333333333</c:v>
                </c:pt>
                <c:pt idx="9">
                  <c:v>550.31266666666659</c:v>
                </c:pt>
                <c:pt idx="10">
                  <c:v>932.73333333333323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F5-4EF5-AA1A-D431C8D84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109537</xdr:rowOff>
    </xdr:from>
    <xdr:to>
      <xdr:col>6</xdr:col>
      <xdr:colOff>552450</xdr:colOff>
      <xdr:row>22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38F95-7CAB-479B-A9F2-B623AB453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11</xdr:row>
      <xdr:rowOff>157162</xdr:rowOff>
    </xdr:from>
    <xdr:to>
      <xdr:col>8</xdr:col>
      <xdr:colOff>581025</xdr:colOff>
      <xdr:row>26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DF78E-34FC-4024-95A7-192C3202B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11</xdr:row>
      <xdr:rowOff>142875</xdr:rowOff>
    </xdr:from>
    <xdr:to>
      <xdr:col>10</xdr:col>
      <xdr:colOff>66675</xdr:colOff>
      <xdr:row>26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7F049A0-3D19-4A47-BFC7-A0B36D80A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7</xdr:row>
      <xdr:rowOff>0</xdr:rowOff>
    </xdr:from>
    <xdr:to>
      <xdr:col>6</xdr:col>
      <xdr:colOff>447675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42DB1-06B4-4044-888F-FD52DC7CC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10</xdr:col>
      <xdr:colOff>600075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6CBFB-85F2-43F9-BE24-9C73F7D3C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11</xdr:col>
      <xdr:colOff>0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E5EBD0-354D-476F-95E1-4CA0F58B2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13</xdr:row>
      <xdr:rowOff>147637</xdr:rowOff>
    </xdr:from>
    <xdr:to>
      <xdr:col>10</xdr:col>
      <xdr:colOff>600075</xdr:colOff>
      <xdr:row>28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9F802-84E5-4396-A875-11514251B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12</xdr:row>
      <xdr:rowOff>147637</xdr:rowOff>
    </xdr:from>
    <xdr:to>
      <xdr:col>10</xdr:col>
      <xdr:colOff>600075</xdr:colOff>
      <xdr:row>27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2DD67-1BF1-4AEF-AC6A-A1AB568B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15</xdr:row>
      <xdr:rowOff>147637</xdr:rowOff>
    </xdr:from>
    <xdr:to>
      <xdr:col>10</xdr:col>
      <xdr:colOff>600075</xdr:colOff>
      <xdr:row>30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C35C3-F3F1-4E80-A34D-BDEC2BB23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0</xdr:row>
      <xdr:rowOff>95250</xdr:rowOff>
    </xdr:from>
    <xdr:to>
      <xdr:col>24</xdr:col>
      <xdr:colOff>9525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0</xdr:row>
      <xdr:rowOff>95250</xdr:rowOff>
    </xdr:from>
    <xdr:to>
      <xdr:col>8</xdr:col>
      <xdr:colOff>28575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77DE4C-D51E-49D3-B5B2-AD63718550B3}"/>
            </a:ext>
            <a:ext uri="{147F2762-F138-4A5C-976F-8EAC2B608ADB}">
              <a16:predDERef xmlns:a16="http://schemas.microsoft.com/office/drawing/2014/main" pre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381000</xdr:colOff>
      <xdr:row>0</xdr:row>
      <xdr:rowOff>104775</xdr:rowOff>
    </xdr:from>
    <xdr:to>
      <xdr:col>16</xdr:col>
      <xdr:colOff>76200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34B13E-5AB0-499B-B0EB-5A1DCA38525C}"/>
            </a:ext>
            <a:ext uri="{147F2762-F138-4A5C-976F-8EAC2B608ADB}">
              <a16:predDERef xmlns:a16="http://schemas.microsoft.com/office/drawing/2014/main" pred="{B977DE4C-D51E-49D3-B5B2-AD6371855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304800</xdr:colOff>
      <xdr:row>20</xdr:row>
      <xdr:rowOff>51435</xdr:rowOff>
    </xdr:from>
    <xdr:to>
      <xdr:col>8</xdr:col>
      <xdr:colOff>0</xdr:colOff>
      <xdr:row>34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A76C5B-3963-4DC3-BF0C-069FC8E5B7A2}"/>
            </a:ext>
            <a:ext uri="{147F2762-F138-4A5C-976F-8EAC2B608ADB}">
              <a16:predDERef xmlns:a16="http://schemas.microsoft.com/office/drawing/2014/main" pred="{4034B13E-5AB0-499B-B0EB-5A1DCA385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257175</xdr:colOff>
      <xdr:row>1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DDA94-3EFA-4F0B-B2ED-2D0D430F9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95575" cy="8953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10</xdr:col>
      <xdr:colOff>600075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DB7CD-1602-45AA-A9C9-F3B15EC46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symphony-my.sharepoint.com/personal/jlai_kcsymphony_org/Documents/Performance%20Reporting/KCS%2025-26%20Weekly%20Sales%20Report.xlsx" TargetMode="External"/><Relationship Id="rId1" Type="http://schemas.openxmlformats.org/officeDocument/2006/relationships/externalLinkPath" Target="KCS%2025-26%20Weekly%20Sale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symphony-my.sharepoint.com/personal/jlai_kcsymphony_org/Documents/KCS%20sub%20report%2025%2026.xlsx" TargetMode="External"/><Relationship Id="rId1" Type="http://schemas.openxmlformats.org/officeDocument/2006/relationships/externalLinkPath" Target="/personal/jlai_kcsymphony_org/Documents/KCS%20sub%20report%2025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qHjOQ4AYkKc3zpe5mgNEjH8SwHhvpZOiGmsrN2XPukWODMtTQUCQryesaC-tm8O" itemId="01FJ7QIVD3RG7LYX26SFHJARZFP4HG4S6E">
      <xxl21:absoluteUrl r:id="rId2"/>
    </xxl21:alternateUrls>
    <sheetNames>
      <sheetName val="Performances by Week"/>
      <sheetName val="PS1 Journey"/>
      <sheetName val="CS1 Appalachian"/>
      <sheetName val="PS2 90s Mixtape"/>
      <sheetName val="CS2 Rachmaninoff"/>
      <sheetName val="MFSB"/>
      <sheetName val="CS3 Mahler"/>
      <sheetName val="Elf"/>
      <sheetName val="Messiah"/>
      <sheetName val="XMas Festival"/>
      <sheetName val="Subscriptions"/>
      <sheetName val="Summary (Draft)"/>
      <sheetName val="Sub Graphs"/>
      <sheetName val="Channels (Draft)"/>
      <sheetName val="Sales Pacing"/>
      <sheetName val="Email Reporting"/>
      <sheetName val="Social Reporting"/>
      <sheetName val="Website Reporting"/>
      <sheetName val="Grassroots Flyer Locations"/>
      <sheetName val="Board"/>
    </sheetNames>
    <sheetDataSet>
      <sheetData sheetId="0">
        <row r="31">
          <cell r="K31">
            <v>0.39622641509433965</v>
          </cell>
          <cell r="Y31">
            <v>380</v>
          </cell>
          <cell r="AC31">
            <v>1590</v>
          </cell>
        </row>
        <row r="32">
          <cell r="K32">
            <v>0.67987421383647795</v>
          </cell>
          <cell r="Y32">
            <v>591</v>
          </cell>
          <cell r="AC32">
            <v>1590</v>
          </cell>
        </row>
        <row r="33">
          <cell r="K33">
            <v>0.59433962264150941</v>
          </cell>
          <cell r="Y33">
            <v>635</v>
          </cell>
          <cell r="AC33">
            <v>1590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qHjOQ4AYkKc3zpe5mgNEjH8SwHhvpZOiGmsrN2XPukWODMtTQUCQryesaC-tm8O" itemId="01FJ7QIVEAOS5GXLKRRZDKZAE2WYSPKOPJ">
      <xxl21:absoluteUrl r:id="rId2"/>
    </xxl21:alternateUrls>
    <sheetNames>
      <sheetName val="Graphs"/>
      <sheetName val="Classical (Graph Data)"/>
      <sheetName val="Pops (Graph Data)"/>
      <sheetName val="Classical (JL)"/>
      <sheetName val="Classical"/>
      <sheetName val="class n-r"/>
      <sheetName val="Pops"/>
      <sheetName val="Family"/>
      <sheetName val="flex"/>
      <sheetName val="KCS sub report 25 26"/>
    </sheetNames>
    <sheetDataSet>
      <sheetData sheetId="0"/>
      <sheetData sheetId="1">
        <row r="1">
          <cell r="C1" t="str">
            <v>2019-20</v>
          </cell>
          <cell r="K1" t="str">
            <v>2023-24</v>
          </cell>
          <cell r="S1" t="str">
            <v>2024-25</v>
          </cell>
          <cell r="AA1" t="str">
            <v>2025-26</v>
          </cell>
        </row>
        <row r="9">
          <cell r="K9">
            <v>20</v>
          </cell>
          <cell r="O9">
            <v>738</v>
          </cell>
        </row>
        <row r="10">
          <cell r="K10">
            <v>26</v>
          </cell>
          <cell r="O10">
            <v>895</v>
          </cell>
        </row>
        <row r="11">
          <cell r="C11">
            <v>27</v>
          </cell>
          <cell r="E11">
            <v>773</v>
          </cell>
          <cell r="G11">
            <v>800</v>
          </cell>
          <cell r="K11">
            <v>51</v>
          </cell>
          <cell r="O11">
            <v>1155</v>
          </cell>
        </row>
        <row r="12">
          <cell r="C12">
            <v>44</v>
          </cell>
          <cell r="E12">
            <v>1171</v>
          </cell>
          <cell r="G12">
            <v>1215</v>
          </cell>
          <cell r="K12">
            <v>55</v>
          </cell>
          <cell r="O12">
            <v>1389</v>
          </cell>
        </row>
        <row r="13">
          <cell r="C13">
            <v>52</v>
          </cell>
          <cell r="E13">
            <v>1477</v>
          </cell>
          <cell r="G13">
            <v>1529</v>
          </cell>
          <cell r="K13">
            <v>70</v>
          </cell>
          <cell r="O13">
            <v>1679</v>
          </cell>
        </row>
        <row r="14">
          <cell r="C14">
            <v>70</v>
          </cell>
          <cell r="E14">
            <v>1830</v>
          </cell>
          <cell r="G14">
            <v>1900</v>
          </cell>
          <cell r="K14">
            <v>98</v>
          </cell>
          <cell r="O14">
            <v>2154</v>
          </cell>
        </row>
        <row r="15">
          <cell r="C15">
            <v>78</v>
          </cell>
          <cell r="E15">
            <v>2225</v>
          </cell>
          <cell r="G15">
            <v>2303</v>
          </cell>
          <cell r="K15">
            <v>129</v>
          </cell>
          <cell r="O15">
            <v>2719</v>
          </cell>
        </row>
        <row r="16">
          <cell r="C16">
            <v>86</v>
          </cell>
          <cell r="E16">
            <v>2954</v>
          </cell>
          <cell r="G16">
            <v>3040</v>
          </cell>
          <cell r="K16">
            <v>151</v>
          </cell>
          <cell r="O16">
            <v>2859</v>
          </cell>
        </row>
        <row r="17">
          <cell r="C17">
            <v>111</v>
          </cell>
          <cell r="E17">
            <v>3718</v>
          </cell>
          <cell r="G17">
            <v>3829</v>
          </cell>
          <cell r="K17">
            <v>166</v>
          </cell>
          <cell r="O17">
            <v>2909</v>
          </cell>
          <cell r="S17">
            <v>25</v>
          </cell>
          <cell r="U17">
            <v>684</v>
          </cell>
          <cell r="W17">
            <v>709</v>
          </cell>
          <cell r="AA17">
            <v>30</v>
          </cell>
          <cell r="AC17">
            <v>898</v>
          </cell>
          <cell r="AE17">
            <v>928</v>
          </cell>
        </row>
        <row r="18">
          <cell r="C18">
            <v>118</v>
          </cell>
          <cell r="E18">
            <v>4006</v>
          </cell>
          <cell r="G18">
            <v>4124</v>
          </cell>
          <cell r="K18">
            <v>182</v>
          </cell>
          <cell r="O18">
            <v>2973</v>
          </cell>
          <cell r="S18">
            <v>31</v>
          </cell>
          <cell r="U18">
            <v>1078</v>
          </cell>
          <cell r="W18">
            <v>1109</v>
          </cell>
          <cell r="AA18">
            <v>39</v>
          </cell>
          <cell r="AC18">
            <v>1136</v>
          </cell>
          <cell r="AE18">
            <v>1175</v>
          </cell>
        </row>
        <row r="19">
          <cell r="C19">
            <v>134</v>
          </cell>
          <cell r="E19">
            <v>4071</v>
          </cell>
          <cell r="G19">
            <v>4205</v>
          </cell>
          <cell r="K19">
            <v>196</v>
          </cell>
          <cell r="O19">
            <v>2992</v>
          </cell>
          <cell r="S19">
            <v>35</v>
          </cell>
          <cell r="U19">
            <v>1335</v>
          </cell>
          <cell r="W19">
            <v>1370</v>
          </cell>
          <cell r="AA19">
            <v>50</v>
          </cell>
          <cell r="AC19">
            <v>1387</v>
          </cell>
          <cell r="AE19">
            <v>1437</v>
          </cell>
        </row>
        <row r="20">
          <cell r="C20">
            <v>154</v>
          </cell>
          <cell r="E20">
            <v>4123</v>
          </cell>
          <cell r="G20">
            <v>4277</v>
          </cell>
          <cell r="K20">
            <v>213</v>
          </cell>
          <cell r="O20">
            <v>3027</v>
          </cell>
          <cell r="S20">
            <v>38</v>
          </cell>
          <cell r="U20">
            <v>1609</v>
          </cell>
          <cell r="W20">
            <v>1647</v>
          </cell>
          <cell r="AA20">
            <v>76</v>
          </cell>
          <cell r="AC20">
            <v>1739</v>
          </cell>
          <cell r="AE20">
            <v>1815</v>
          </cell>
        </row>
        <row r="21">
          <cell r="C21">
            <v>171</v>
          </cell>
          <cell r="E21">
            <v>4157</v>
          </cell>
          <cell r="G21">
            <v>4328</v>
          </cell>
          <cell r="K21">
            <v>229</v>
          </cell>
          <cell r="O21">
            <v>3096</v>
          </cell>
          <cell r="S21">
            <v>48</v>
          </cell>
          <cell r="U21">
            <v>1932</v>
          </cell>
          <cell r="W21">
            <v>1980</v>
          </cell>
          <cell r="AA21">
            <v>112</v>
          </cell>
          <cell r="AC21">
            <v>2160</v>
          </cell>
          <cell r="AE21">
            <v>2272</v>
          </cell>
        </row>
        <row r="22">
          <cell r="C22">
            <v>179</v>
          </cell>
          <cell r="E22">
            <v>4266</v>
          </cell>
          <cell r="G22">
            <v>4445</v>
          </cell>
          <cell r="K22">
            <v>238</v>
          </cell>
          <cell r="O22">
            <v>3099</v>
          </cell>
          <cell r="S22">
            <v>73</v>
          </cell>
          <cell r="U22">
            <v>2328</v>
          </cell>
          <cell r="W22">
            <v>2401</v>
          </cell>
          <cell r="AA22">
            <v>121</v>
          </cell>
          <cell r="AC22">
            <v>2252</v>
          </cell>
          <cell r="AE22">
            <v>2373</v>
          </cell>
        </row>
        <row r="23">
          <cell r="C23">
            <v>197</v>
          </cell>
          <cell r="E23">
            <v>4228</v>
          </cell>
          <cell r="G23">
            <v>4425</v>
          </cell>
          <cell r="K23">
            <v>257</v>
          </cell>
          <cell r="O23">
            <v>3118</v>
          </cell>
          <cell r="S23">
            <v>79</v>
          </cell>
          <cell r="U23">
            <v>2428</v>
          </cell>
          <cell r="W23">
            <v>2507</v>
          </cell>
          <cell r="AA23">
            <v>122</v>
          </cell>
          <cell r="AC23">
            <v>2293</v>
          </cell>
          <cell r="AE23">
            <v>2415</v>
          </cell>
        </row>
        <row r="24">
          <cell r="C24">
            <v>212</v>
          </cell>
          <cell r="E24">
            <v>4223</v>
          </cell>
          <cell r="G24">
            <v>4435</v>
          </cell>
          <cell r="K24">
            <v>273</v>
          </cell>
          <cell r="O24">
            <v>3130</v>
          </cell>
          <cell r="S24">
            <v>88</v>
          </cell>
          <cell r="U24">
            <v>2464</v>
          </cell>
          <cell r="W24">
            <v>2552</v>
          </cell>
          <cell r="AA24">
            <v>134</v>
          </cell>
          <cell r="AC24">
            <v>2322</v>
          </cell>
          <cell r="AE24">
            <v>2456</v>
          </cell>
        </row>
        <row r="25">
          <cell r="C25">
            <v>228</v>
          </cell>
          <cell r="E25">
            <v>4230</v>
          </cell>
          <cell r="G25">
            <v>4458</v>
          </cell>
          <cell r="K25">
            <v>279</v>
          </cell>
          <cell r="O25">
            <v>3133</v>
          </cell>
          <cell r="S25">
            <v>93</v>
          </cell>
          <cell r="U25">
            <v>2503</v>
          </cell>
          <cell r="W25">
            <v>2596</v>
          </cell>
          <cell r="AA25">
            <v>146</v>
          </cell>
          <cell r="AC25">
            <v>2345</v>
          </cell>
          <cell r="AE25">
            <v>2491</v>
          </cell>
        </row>
        <row r="26">
          <cell r="C26">
            <v>239</v>
          </cell>
          <cell r="E26">
            <v>4221</v>
          </cell>
          <cell r="G26">
            <v>4460</v>
          </cell>
          <cell r="K26">
            <v>286</v>
          </cell>
          <cell r="O26">
            <v>3134</v>
          </cell>
          <cell r="S26">
            <v>94</v>
          </cell>
          <cell r="U26">
            <v>2568</v>
          </cell>
          <cell r="W26">
            <v>2662</v>
          </cell>
          <cell r="AA26">
            <v>165</v>
          </cell>
          <cell r="AC26">
            <v>2369</v>
          </cell>
          <cell r="AE26">
            <v>2534</v>
          </cell>
        </row>
        <row r="27">
          <cell r="C27">
            <v>249</v>
          </cell>
          <cell r="E27">
            <v>4235</v>
          </cell>
          <cell r="G27">
            <v>4484</v>
          </cell>
          <cell r="K27">
            <v>287</v>
          </cell>
          <cell r="O27">
            <v>3140</v>
          </cell>
          <cell r="S27">
            <v>95</v>
          </cell>
          <cell r="U27">
            <v>2594</v>
          </cell>
          <cell r="W27">
            <v>2689</v>
          </cell>
          <cell r="AA27">
            <v>186</v>
          </cell>
          <cell r="AC27">
            <v>2384</v>
          </cell>
          <cell r="AE27">
            <v>2570</v>
          </cell>
        </row>
        <row r="28">
          <cell r="C28">
            <v>264</v>
          </cell>
          <cell r="E28">
            <v>4219</v>
          </cell>
          <cell r="G28">
            <v>4483</v>
          </cell>
          <cell r="K28">
            <v>294</v>
          </cell>
          <cell r="O28">
            <v>3163</v>
          </cell>
          <cell r="S28">
            <v>103</v>
          </cell>
          <cell r="U28">
            <v>2623</v>
          </cell>
          <cell r="W28">
            <v>2726</v>
          </cell>
          <cell r="AA28">
            <v>205</v>
          </cell>
          <cell r="AC28">
            <v>2413</v>
          </cell>
          <cell r="AE28">
            <v>2618</v>
          </cell>
        </row>
        <row r="29">
          <cell r="C29">
            <v>272</v>
          </cell>
          <cell r="E29">
            <v>4223</v>
          </cell>
          <cell r="G29">
            <v>4495</v>
          </cell>
          <cell r="K29">
            <v>297</v>
          </cell>
          <cell r="O29">
            <v>3174</v>
          </cell>
          <cell r="S29">
            <v>107</v>
          </cell>
          <cell r="U29">
            <v>2647</v>
          </cell>
          <cell r="W29">
            <v>2754</v>
          </cell>
          <cell r="AA29">
            <v>211</v>
          </cell>
          <cell r="AC29">
            <v>2414</v>
          </cell>
          <cell r="AE29">
            <v>2625</v>
          </cell>
        </row>
        <row r="30">
          <cell r="C30">
            <v>301</v>
          </cell>
          <cell r="E30">
            <v>4234</v>
          </cell>
          <cell r="G30">
            <v>4535</v>
          </cell>
          <cell r="K30">
            <v>311</v>
          </cell>
          <cell r="O30">
            <v>3197</v>
          </cell>
          <cell r="S30">
            <v>113</v>
          </cell>
          <cell r="U30">
            <v>2657</v>
          </cell>
          <cell r="W30">
            <v>2770</v>
          </cell>
          <cell r="AA30">
            <v>217</v>
          </cell>
          <cell r="AC30">
            <v>2415</v>
          </cell>
          <cell r="AE30">
            <v>2632</v>
          </cell>
        </row>
        <row r="31">
          <cell r="C31">
            <v>323</v>
          </cell>
          <cell r="E31">
            <v>4236</v>
          </cell>
          <cell r="G31">
            <v>4559</v>
          </cell>
          <cell r="K31">
            <v>312</v>
          </cell>
          <cell r="O31">
            <v>3198</v>
          </cell>
          <cell r="S31">
            <v>118</v>
          </cell>
          <cell r="U31">
            <v>2660</v>
          </cell>
          <cell r="W31">
            <v>2778</v>
          </cell>
          <cell r="AA31">
            <v>223</v>
          </cell>
          <cell r="AC31">
            <v>2416</v>
          </cell>
          <cell r="AE31">
            <v>2639</v>
          </cell>
        </row>
        <row r="32">
          <cell r="C32">
            <v>357</v>
          </cell>
          <cell r="E32">
            <v>4248</v>
          </cell>
          <cell r="G32">
            <v>4605</v>
          </cell>
          <cell r="K32">
            <v>325</v>
          </cell>
          <cell r="O32">
            <v>3213</v>
          </cell>
          <cell r="S32">
            <v>118</v>
          </cell>
          <cell r="U32">
            <v>2669</v>
          </cell>
          <cell r="W32">
            <v>2787</v>
          </cell>
          <cell r="AA32">
            <v>229</v>
          </cell>
          <cell r="AC32">
            <v>2417</v>
          </cell>
          <cell r="AE32">
            <v>2646</v>
          </cell>
        </row>
        <row r="33">
          <cell r="C33">
            <v>371</v>
          </cell>
          <cell r="E33">
            <v>4266</v>
          </cell>
          <cell r="G33">
            <v>4637</v>
          </cell>
          <cell r="K33">
            <v>330</v>
          </cell>
          <cell r="O33">
            <v>3218</v>
          </cell>
          <cell r="S33">
            <v>119</v>
          </cell>
          <cell r="U33">
            <v>2673</v>
          </cell>
          <cell r="W33">
            <v>2792</v>
          </cell>
          <cell r="AA33">
            <v>235</v>
          </cell>
          <cell r="AC33">
            <v>2418</v>
          </cell>
          <cell r="AE33">
            <v>2653</v>
          </cell>
        </row>
        <row r="34">
          <cell r="C34">
            <v>403</v>
          </cell>
          <cell r="E34">
            <v>4290</v>
          </cell>
          <cell r="G34">
            <v>4693</v>
          </cell>
          <cell r="K34">
            <v>338</v>
          </cell>
          <cell r="O34">
            <v>3222</v>
          </cell>
          <cell r="S34">
            <v>127</v>
          </cell>
          <cell r="U34">
            <v>2677</v>
          </cell>
          <cell r="W34">
            <v>2802</v>
          </cell>
          <cell r="AA34">
            <v>241</v>
          </cell>
          <cell r="AC34">
            <v>2419</v>
          </cell>
          <cell r="AE34">
            <v>2660</v>
          </cell>
        </row>
        <row r="35">
          <cell r="C35">
            <v>412</v>
          </cell>
          <cell r="E35">
            <v>4294</v>
          </cell>
          <cell r="G35">
            <v>4706</v>
          </cell>
          <cell r="K35">
            <v>343</v>
          </cell>
          <cell r="O35">
            <v>3229</v>
          </cell>
          <cell r="S35">
            <v>128</v>
          </cell>
          <cell r="U35">
            <v>2679</v>
          </cell>
          <cell r="W35">
            <v>2807</v>
          </cell>
          <cell r="AA35">
            <v>247</v>
          </cell>
          <cell r="AC35">
            <v>2420</v>
          </cell>
          <cell r="AE35">
            <v>2667</v>
          </cell>
        </row>
        <row r="36">
          <cell r="C36">
            <v>418</v>
          </cell>
          <cell r="E36">
            <v>4298</v>
          </cell>
          <cell r="G36">
            <v>4716</v>
          </cell>
          <cell r="K36">
            <v>348</v>
          </cell>
          <cell r="O36">
            <v>3234</v>
          </cell>
          <cell r="S36">
            <v>135</v>
          </cell>
          <cell r="U36">
            <v>2681</v>
          </cell>
          <cell r="W36">
            <v>2816</v>
          </cell>
          <cell r="AA36">
            <v>253</v>
          </cell>
          <cell r="AC36">
            <v>2421</v>
          </cell>
          <cell r="AE36">
            <v>2674</v>
          </cell>
        </row>
        <row r="37">
          <cell r="C37">
            <v>425</v>
          </cell>
          <cell r="E37">
            <v>4300</v>
          </cell>
          <cell r="G37">
            <v>4725</v>
          </cell>
          <cell r="K37">
            <v>350</v>
          </cell>
          <cell r="O37">
            <v>3238</v>
          </cell>
          <cell r="S37">
            <v>141</v>
          </cell>
          <cell r="U37">
            <v>2681</v>
          </cell>
          <cell r="W37">
            <v>2822</v>
          </cell>
          <cell r="AA37">
            <v>259</v>
          </cell>
          <cell r="AC37">
            <v>2422</v>
          </cell>
          <cell r="AE37">
            <v>2681</v>
          </cell>
        </row>
        <row r="38">
          <cell r="C38">
            <v>439</v>
          </cell>
          <cell r="E38">
            <v>4308</v>
          </cell>
          <cell r="G38">
            <v>4747</v>
          </cell>
          <cell r="K38">
            <v>358</v>
          </cell>
          <cell r="O38">
            <v>3252</v>
          </cell>
          <cell r="S38">
            <v>145</v>
          </cell>
          <cell r="U38">
            <v>2690</v>
          </cell>
          <cell r="W38">
            <v>2835</v>
          </cell>
          <cell r="AA38">
            <v>265</v>
          </cell>
          <cell r="AC38">
            <v>2423</v>
          </cell>
          <cell r="AE38">
            <v>2688</v>
          </cell>
        </row>
        <row r="39">
          <cell r="C39">
            <v>443</v>
          </cell>
          <cell r="E39">
            <v>4314</v>
          </cell>
          <cell r="G39">
            <v>4757</v>
          </cell>
          <cell r="K39">
            <v>364</v>
          </cell>
          <cell r="O39">
            <v>3256</v>
          </cell>
          <cell r="S39">
            <v>152</v>
          </cell>
          <cell r="U39">
            <v>2695</v>
          </cell>
          <cell r="W39">
            <v>2847</v>
          </cell>
          <cell r="AA39">
            <v>280</v>
          </cell>
          <cell r="AC39">
            <v>2424</v>
          </cell>
          <cell r="AE39">
            <v>2704</v>
          </cell>
        </row>
        <row r="40">
          <cell r="C40">
            <v>451</v>
          </cell>
          <cell r="E40">
            <v>4320</v>
          </cell>
          <cell r="G40">
            <v>4771</v>
          </cell>
          <cell r="K40">
            <v>364</v>
          </cell>
          <cell r="O40">
            <v>3256</v>
          </cell>
          <cell r="S40">
            <v>154</v>
          </cell>
          <cell r="U40">
            <v>2695</v>
          </cell>
          <cell r="W40">
            <v>2849</v>
          </cell>
          <cell r="AA40">
            <v>300</v>
          </cell>
          <cell r="AC40">
            <v>2425</v>
          </cell>
          <cell r="AE40">
            <v>2725</v>
          </cell>
        </row>
        <row r="41">
          <cell r="C41">
            <v>495</v>
          </cell>
          <cell r="E41">
            <v>4328</v>
          </cell>
          <cell r="G41">
            <v>4823</v>
          </cell>
          <cell r="K41">
            <v>393</v>
          </cell>
          <cell r="O41">
            <v>3285</v>
          </cell>
          <cell r="S41">
            <v>163</v>
          </cell>
          <cell r="U41">
            <v>2699</v>
          </cell>
          <cell r="W41">
            <v>2862</v>
          </cell>
          <cell r="AA41">
            <v>313</v>
          </cell>
          <cell r="AC41">
            <v>2426</v>
          </cell>
          <cell r="AE41">
            <v>2739</v>
          </cell>
        </row>
        <row r="42">
          <cell r="C42">
            <v>521</v>
          </cell>
          <cell r="E42">
            <v>4334</v>
          </cell>
          <cell r="G42">
            <v>4855</v>
          </cell>
          <cell r="K42">
            <v>404</v>
          </cell>
          <cell r="O42">
            <v>3298</v>
          </cell>
          <cell r="S42">
            <v>163</v>
          </cell>
          <cell r="U42">
            <v>2699</v>
          </cell>
          <cell r="W42">
            <v>2862</v>
          </cell>
        </row>
        <row r="43">
          <cell r="C43">
            <v>552</v>
          </cell>
          <cell r="E43">
            <v>4346</v>
          </cell>
          <cell r="G43">
            <v>4898</v>
          </cell>
          <cell r="K43">
            <v>415</v>
          </cell>
          <cell r="O43">
            <v>3310</v>
          </cell>
          <cell r="S43">
            <v>165</v>
          </cell>
          <cell r="U43">
            <v>2697</v>
          </cell>
          <cell r="W43">
            <v>2862</v>
          </cell>
        </row>
        <row r="44">
          <cell r="C44">
            <v>619</v>
          </cell>
          <cell r="E44">
            <v>4363</v>
          </cell>
          <cell r="G44">
            <v>4982</v>
          </cell>
          <cell r="K44">
            <v>434</v>
          </cell>
          <cell r="O44">
            <v>3329</v>
          </cell>
        </row>
        <row r="45">
          <cell r="C45">
            <v>647</v>
          </cell>
          <cell r="E45">
            <v>4369</v>
          </cell>
          <cell r="G45">
            <v>5016</v>
          </cell>
          <cell r="K45">
            <v>440</v>
          </cell>
          <cell r="O45">
            <v>3336</v>
          </cell>
        </row>
        <row r="46">
          <cell r="C46">
            <v>661</v>
          </cell>
          <cell r="E46">
            <v>4370</v>
          </cell>
          <cell r="G46">
            <v>5031</v>
          </cell>
          <cell r="K46">
            <v>443</v>
          </cell>
          <cell r="O46">
            <v>3342</v>
          </cell>
        </row>
        <row r="47">
          <cell r="C47">
            <v>687</v>
          </cell>
          <cell r="E47">
            <v>4375</v>
          </cell>
          <cell r="G47">
            <v>5062</v>
          </cell>
          <cell r="K47">
            <v>444</v>
          </cell>
          <cell r="O47">
            <v>3345</v>
          </cell>
        </row>
        <row r="48">
          <cell r="C48">
            <v>698</v>
          </cell>
          <cell r="E48">
            <v>4377</v>
          </cell>
          <cell r="G48">
            <v>5075</v>
          </cell>
          <cell r="K48">
            <v>452</v>
          </cell>
          <cell r="O48">
            <v>3356</v>
          </cell>
        </row>
        <row r="49">
          <cell r="C49">
            <v>732</v>
          </cell>
          <cell r="E49">
            <v>4380</v>
          </cell>
          <cell r="G49">
            <v>5112</v>
          </cell>
          <cell r="K49">
            <v>465</v>
          </cell>
          <cell r="O49">
            <v>3365</v>
          </cell>
        </row>
        <row r="50">
          <cell r="C50">
            <v>759</v>
          </cell>
          <cell r="E50">
            <v>4384</v>
          </cell>
          <cell r="G50">
            <v>5143</v>
          </cell>
          <cell r="K50">
            <v>477</v>
          </cell>
          <cell r="O50">
            <v>3377</v>
          </cell>
        </row>
        <row r="51">
          <cell r="C51">
            <v>772</v>
          </cell>
          <cell r="E51">
            <v>4386</v>
          </cell>
          <cell r="G51">
            <v>5158</v>
          </cell>
          <cell r="K51">
            <v>495</v>
          </cell>
          <cell r="O51">
            <v>3395</v>
          </cell>
        </row>
        <row r="52">
          <cell r="C52">
            <v>780</v>
          </cell>
          <cell r="E52">
            <v>4386</v>
          </cell>
          <cell r="G52">
            <v>5166</v>
          </cell>
          <cell r="K52">
            <v>503</v>
          </cell>
          <cell r="O52">
            <v>3405</v>
          </cell>
        </row>
        <row r="53">
          <cell r="C53">
            <v>805</v>
          </cell>
          <cell r="E53">
            <v>4386</v>
          </cell>
          <cell r="G53">
            <v>5191</v>
          </cell>
          <cell r="K53">
            <v>517</v>
          </cell>
          <cell r="O53">
            <v>3419</v>
          </cell>
        </row>
        <row r="54">
          <cell r="C54">
            <v>820</v>
          </cell>
          <cell r="E54">
            <v>4386</v>
          </cell>
          <cell r="G54">
            <v>5206</v>
          </cell>
          <cell r="K54">
            <v>528</v>
          </cell>
          <cell r="O54">
            <v>3430</v>
          </cell>
        </row>
        <row r="55">
          <cell r="C55">
            <v>846</v>
          </cell>
          <cell r="E55">
            <v>4386</v>
          </cell>
          <cell r="G55">
            <v>5232</v>
          </cell>
          <cell r="K55">
            <v>540</v>
          </cell>
          <cell r="O55">
            <v>3442</v>
          </cell>
        </row>
        <row r="56">
          <cell r="C56">
            <v>852</v>
          </cell>
          <cell r="E56">
            <v>4388</v>
          </cell>
          <cell r="G56">
            <v>5240</v>
          </cell>
          <cell r="K56">
            <v>547</v>
          </cell>
          <cell r="O56">
            <v>3449</v>
          </cell>
        </row>
        <row r="57">
          <cell r="C57">
            <v>855</v>
          </cell>
          <cell r="E57">
            <v>4388</v>
          </cell>
          <cell r="G57">
            <v>5243</v>
          </cell>
          <cell r="K57">
            <v>555</v>
          </cell>
          <cell r="O57">
            <v>3455</v>
          </cell>
        </row>
        <row r="58">
          <cell r="C58">
            <v>882</v>
          </cell>
          <cell r="E58">
            <v>4390</v>
          </cell>
          <cell r="G58">
            <v>5272</v>
          </cell>
          <cell r="K58">
            <v>566</v>
          </cell>
          <cell r="O58">
            <v>3466</v>
          </cell>
        </row>
        <row r="59">
          <cell r="C59">
            <v>897</v>
          </cell>
          <cell r="E59">
            <v>4386</v>
          </cell>
          <cell r="G59">
            <v>5283</v>
          </cell>
          <cell r="K59">
            <v>579</v>
          </cell>
          <cell r="O59">
            <v>3479</v>
          </cell>
        </row>
        <row r="60">
          <cell r="C60">
            <v>903</v>
          </cell>
          <cell r="E60">
            <v>4388</v>
          </cell>
          <cell r="G60">
            <v>5291</v>
          </cell>
          <cell r="K60">
            <v>585</v>
          </cell>
          <cell r="O60">
            <v>3485</v>
          </cell>
        </row>
        <row r="61">
          <cell r="C61">
            <v>912</v>
          </cell>
          <cell r="E61">
            <v>4390</v>
          </cell>
          <cell r="G61">
            <v>5302</v>
          </cell>
          <cell r="K61">
            <v>604</v>
          </cell>
          <cell r="O61">
            <v>3504</v>
          </cell>
        </row>
        <row r="62">
          <cell r="C62">
            <v>918</v>
          </cell>
          <cell r="E62">
            <v>4394</v>
          </cell>
          <cell r="G62">
            <v>5312</v>
          </cell>
          <cell r="K62">
            <v>610</v>
          </cell>
          <cell r="O62">
            <v>3513</v>
          </cell>
        </row>
        <row r="63">
          <cell r="C63">
            <v>929</v>
          </cell>
          <cell r="E63">
            <v>4394</v>
          </cell>
          <cell r="G63">
            <v>5323</v>
          </cell>
          <cell r="K63">
            <v>617</v>
          </cell>
          <cell r="O63">
            <v>3520</v>
          </cell>
        </row>
        <row r="64">
          <cell r="C64">
            <v>940</v>
          </cell>
          <cell r="E64">
            <v>4396</v>
          </cell>
          <cell r="G64">
            <v>5336</v>
          </cell>
          <cell r="K64">
            <v>633</v>
          </cell>
          <cell r="O64">
            <v>3536</v>
          </cell>
        </row>
        <row r="65">
          <cell r="C65">
            <v>950</v>
          </cell>
          <cell r="E65">
            <v>4398</v>
          </cell>
          <cell r="G65">
            <v>5348</v>
          </cell>
          <cell r="K65">
            <v>634</v>
          </cell>
          <cell r="O65">
            <v>3537</v>
          </cell>
        </row>
        <row r="66">
          <cell r="C66">
            <v>962</v>
          </cell>
          <cell r="E66">
            <v>4398</v>
          </cell>
          <cell r="G66">
            <v>5360</v>
          </cell>
        </row>
        <row r="67">
          <cell r="C67">
            <v>966</v>
          </cell>
          <cell r="E67">
            <v>4398</v>
          </cell>
          <cell r="G67">
            <v>5364</v>
          </cell>
        </row>
      </sheetData>
      <sheetData sheetId="2">
        <row r="1">
          <cell r="C1" t="str">
            <v>2019-20</v>
          </cell>
          <cell r="H1" t="str">
            <v>2023-24</v>
          </cell>
          <cell r="M1" t="str">
            <v>2024-25</v>
          </cell>
          <cell r="R1" t="str">
            <v>2025-26</v>
          </cell>
        </row>
        <row r="3">
          <cell r="A3">
            <v>1</v>
          </cell>
          <cell r="D3"/>
          <cell r="I3"/>
          <cell r="N3"/>
        </row>
        <row r="4">
          <cell r="A4">
            <v>2</v>
          </cell>
          <cell r="D4"/>
          <cell r="I4"/>
          <cell r="N4"/>
        </row>
        <row r="5">
          <cell r="A5">
            <v>3</v>
          </cell>
          <cell r="D5"/>
          <cell r="I5"/>
          <cell r="N5"/>
        </row>
        <row r="6">
          <cell r="A6">
            <v>4</v>
          </cell>
          <cell r="D6"/>
          <cell r="I6"/>
          <cell r="N6"/>
        </row>
        <row r="7">
          <cell r="A7">
            <v>5</v>
          </cell>
          <cell r="D7"/>
          <cell r="I7"/>
          <cell r="N7"/>
        </row>
        <row r="8">
          <cell r="A8">
            <v>6</v>
          </cell>
          <cell r="D8"/>
          <cell r="I8">
            <v>332.94152791430736</v>
          </cell>
          <cell r="N8"/>
        </row>
        <row r="9">
          <cell r="A9">
            <v>7</v>
          </cell>
          <cell r="D9"/>
          <cell r="I9">
            <v>458.8431030856305</v>
          </cell>
          <cell r="N9"/>
        </row>
        <row r="10">
          <cell r="A10">
            <v>8</v>
          </cell>
          <cell r="D10">
            <v>495.13447099329198</v>
          </cell>
          <cell r="I10">
            <v>614.40684218261799</v>
          </cell>
          <cell r="N10"/>
        </row>
        <row r="11">
          <cell r="A11">
            <v>9</v>
          </cell>
          <cell r="D11">
            <v>749.54311632281599</v>
          </cell>
          <cell r="I11">
            <v>761.08168939267125</v>
          </cell>
          <cell r="N11"/>
        </row>
        <row r="12">
          <cell r="A12">
            <v>10</v>
          </cell>
          <cell r="D12">
            <v>870.89041831557154</v>
          </cell>
          <cell r="I12">
            <v>960.69959629372931</v>
          </cell>
          <cell r="N12"/>
        </row>
        <row r="13">
          <cell r="A13">
            <v>11</v>
          </cell>
          <cell r="D13">
            <v>1007.9044919245102</v>
          </cell>
          <cell r="I13">
            <v>1204.6383702797687</v>
          </cell>
          <cell r="N13"/>
        </row>
        <row r="14">
          <cell r="A14">
            <v>12</v>
          </cell>
          <cell r="D14">
            <v>1189.0245107105338</v>
          </cell>
          <cell r="I14">
            <v>1478.6653765548781</v>
          </cell>
          <cell r="N14"/>
        </row>
        <row r="15">
          <cell r="A15">
            <v>13</v>
          </cell>
          <cell r="D15">
            <v>1475.081552067616</v>
          </cell>
          <cell r="I15">
            <v>1547.3599559708821</v>
          </cell>
          <cell r="N15"/>
        </row>
        <row r="16">
          <cell r="A16">
            <v>14</v>
          </cell>
          <cell r="D16">
            <v>1711.1756275756068</v>
          </cell>
          <cell r="I16">
            <v>1597.6002461199762</v>
          </cell>
          <cell r="N16"/>
        </row>
        <row r="17">
          <cell r="A17">
            <v>15</v>
          </cell>
          <cell r="D17">
            <v>1833.9226968144571</v>
          </cell>
          <cell r="I17">
            <v>1628.5015859727982</v>
          </cell>
          <cell r="N17"/>
          <cell r="R17">
            <v>674</v>
          </cell>
        </row>
        <row r="18">
          <cell r="A18">
            <v>16</v>
          </cell>
          <cell r="D18">
            <v>1898.6154627084975</v>
          </cell>
          <cell r="I18">
            <v>1671.4499274901664</v>
          </cell>
          <cell r="N18">
            <v>297.51927713140338</v>
          </cell>
          <cell r="R18">
            <v>829</v>
          </cell>
        </row>
        <row r="19">
          <cell r="A19">
            <v>17</v>
          </cell>
          <cell r="D19">
            <v>1949.7733518164503</v>
          </cell>
          <cell r="I19">
            <v>1712.6191896580456</v>
          </cell>
          <cell r="N19">
            <v>402.99876598628373</v>
          </cell>
          <cell r="R19">
            <v>947</v>
          </cell>
        </row>
        <row r="20">
          <cell r="A20">
            <v>18</v>
          </cell>
          <cell r="D20">
            <v>2006.9855187693008</v>
          </cell>
          <cell r="I20">
            <v>1737.210814816154</v>
          </cell>
          <cell r="N20">
            <v>496.08802920036953</v>
          </cell>
          <cell r="R20">
            <v>1127</v>
          </cell>
        </row>
        <row r="21">
          <cell r="A21">
            <v>19</v>
          </cell>
          <cell r="D21">
            <v>2045.3330718608249</v>
          </cell>
          <cell r="I21">
            <v>1763.6433154985964</v>
          </cell>
          <cell r="N21">
            <v>862.52285611781372</v>
          </cell>
          <cell r="R21">
            <v>1418</v>
          </cell>
        </row>
        <row r="22">
          <cell r="A22">
            <v>20</v>
          </cell>
          <cell r="D22">
            <v>2087.9406212053696</v>
          </cell>
          <cell r="I22">
            <v>1785.3760544625536</v>
          </cell>
          <cell r="N22">
            <v>1078.7102303550043</v>
          </cell>
          <cell r="R22">
            <v>1515</v>
          </cell>
        </row>
        <row r="23">
          <cell r="A23">
            <v>21</v>
          </cell>
          <cell r="D23">
            <v>2112.3094688718002</v>
          </cell>
          <cell r="I23">
            <v>1805.5768987764022</v>
          </cell>
          <cell r="N23">
            <v>1370.9865956993235</v>
          </cell>
          <cell r="R23">
            <v>1530</v>
          </cell>
        </row>
        <row r="24">
          <cell r="A24">
            <v>22</v>
          </cell>
          <cell r="D24">
            <v>2141.5528447529518</v>
          </cell>
          <cell r="I24">
            <v>1817.7247257788538</v>
          </cell>
          <cell r="N24">
            <v>1527.106922435652</v>
          </cell>
          <cell r="R24">
            <v>1561</v>
          </cell>
        </row>
        <row r="25">
          <cell r="A25">
            <v>23</v>
          </cell>
          <cell r="D25">
            <v>2150.9263538724649</v>
          </cell>
          <cell r="I25">
            <v>1818.6158916687257</v>
          </cell>
          <cell r="N25">
            <v>1578.0990296007308</v>
          </cell>
          <cell r="R25">
            <v>1588</v>
          </cell>
        </row>
        <row r="26">
          <cell r="A26">
            <v>24</v>
          </cell>
          <cell r="D26">
            <v>2161.6768697950465</v>
          </cell>
          <cell r="I26">
            <v>1838.9143088902247</v>
          </cell>
          <cell r="N26">
            <v>1615.0810081476102</v>
          </cell>
          <cell r="R26">
            <v>1613</v>
          </cell>
        </row>
        <row r="27">
          <cell r="A27">
            <v>25</v>
          </cell>
          <cell r="D27">
            <v>2174.267188195558</v>
          </cell>
          <cell r="I27">
            <v>1857.2157339351493</v>
          </cell>
          <cell r="N27">
            <v>1648.3557893788163</v>
          </cell>
          <cell r="R27">
            <v>1662</v>
          </cell>
        </row>
        <row r="28">
          <cell r="A28">
            <v>26</v>
          </cell>
          <cell r="D28">
            <v>2175.936287350793</v>
          </cell>
          <cell r="I28">
            <v>1859.3298136009039</v>
          </cell>
          <cell r="N28">
            <v>1655.2766651819218</v>
          </cell>
          <cell r="R28">
            <v>1653</v>
          </cell>
        </row>
        <row r="29">
          <cell r="A29">
            <v>27</v>
          </cell>
          <cell r="D29">
            <v>2195.2067957794152</v>
          </cell>
          <cell r="I29">
            <v>1848.9480562269214</v>
          </cell>
          <cell r="N29">
            <v>1655.2766651819218</v>
          </cell>
          <cell r="R29">
            <v>1663</v>
          </cell>
        </row>
        <row r="30">
          <cell r="A30">
            <v>28</v>
          </cell>
          <cell r="D30">
            <v>2207.1332679250036</v>
          </cell>
          <cell r="I30">
            <v>1863.974284005054</v>
          </cell>
          <cell r="N30">
            <v>1658.8474190568461</v>
          </cell>
          <cell r="R30">
            <v>1673</v>
          </cell>
        </row>
        <row r="31">
          <cell r="A31">
            <v>29</v>
          </cell>
          <cell r="D31">
            <v>2232.4808146415494</v>
          </cell>
          <cell r="I31">
            <v>1859.4403962295742</v>
          </cell>
          <cell r="N31">
            <v>1664.6361046069269</v>
          </cell>
          <cell r="R31">
            <v>1683</v>
          </cell>
        </row>
        <row r="32">
          <cell r="A32">
            <v>30</v>
          </cell>
          <cell r="D32">
            <v>2241.6912072527098</v>
          </cell>
          <cell r="I32">
            <v>1859.3883573454941</v>
          </cell>
          <cell r="N32">
            <v>1658.7051695122354</v>
          </cell>
          <cell r="R32">
            <v>1693</v>
          </cell>
        </row>
        <row r="33">
          <cell r="A33">
            <v>31</v>
          </cell>
          <cell r="D33">
            <v>2274.5269397247876</v>
          </cell>
          <cell r="I33">
            <v>1863.0180695100819</v>
          </cell>
          <cell r="N33">
            <v>1659.5238301567301</v>
          </cell>
          <cell r="R33">
            <v>1703</v>
          </cell>
        </row>
        <row r="34">
          <cell r="A34">
            <v>32</v>
          </cell>
          <cell r="D34">
            <v>2282.9938245304343</v>
          </cell>
          <cell r="I34">
            <v>1868.7195797471093</v>
          </cell>
          <cell r="N34">
            <v>1659.7386559996119</v>
          </cell>
          <cell r="R34">
            <v>1713</v>
          </cell>
        </row>
        <row r="35">
          <cell r="A35">
            <v>33</v>
          </cell>
          <cell r="D35">
            <v>2292.6139051160612</v>
          </cell>
          <cell r="I35">
            <v>1872.1151169333366</v>
          </cell>
          <cell r="N35">
            <v>1662.322372218053</v>
          </cell>
          <cell r="R35">
            <v>1723</v>
          </cell>
        </row>
        <row r="36">
          <cell r="A36">
            <v>34</v>
          </cell>
          <cell r="D36">
            <v>2299.0626973067419</v>
          </cell>
          <cell r="I36">
            <v>1872.7818651356131</v>
          </cell>
          <cell r="N36">
            <v>1665.0222105137277</v>
          </cell>
          <cell r="R36">
            <v>1733</v>
          </cell>
        </row>
        <row r="37">
          <cell r="A37">
            <v>35</v>
          </cell>
          <cell r="D37">
            <v>2299.0626973067419</v>
          </cell>
          <cell r="I37">
            <v>1874.9154593828978</v>
          </cell>
          <cell r="N37">
            <v>1668.5697399732053</v>
          </cell>
          <cell r="R37">
            <v>1743</v>
          </cell>
        </row>
        <row r="38">
          <cell r="A38">
            <v>36</v>
          </cell>
          <cell r="D38">
            <v>2300.094504057251</v>
          </cell>
          <cell r="I38">
            <v>1876.8831796871771</v>
          </cell>
          <cell r="N38">
            <v>1669.7309607455384</v>
          </cell>
          <cell r="R38">
            <v>1753</v>
          </cell>
        </row>
        <row r="39">
          <cell r="A39">
            <v>37</v>
          </cell>
          <cell r="D39">
            <v>2302.051902157481</v>
          </cell>
          <cell r="I39">
            <v>1879.2249294707822</v>
          </cell>
          <cell r="N39">
            <v>1670.5409122342407</v>
          </cell>
          <cell r="R39">
            <v>1763</v>
          </cell>
        </row>
        <row r="40">
          <cell r="A40">
            <v>38</v>
          </cell>
          <cell r="D40">
            <v>2303.0837089079901</v>
          </cell>
          <cell r="I40">
            <v>1885.7297899807961</v>
          </cell>
          <cell r="N40">
            <v>1674.4600323408652</v>
          </cell>
          <cell r="R40">
            <v>1773</v>
          </cell>
        </row>
        <row r="41">
          <cell r="A41">
            <v>39</v>
          </cell>
          <cell r="D41">
            <v>2310.9208881232526</v>
          </cell>
          <cell r="I41">
            <v>1885.7297899807961</v>
          </cell>
          <cell r="N41">
            <v>1674.4193896138336</v>
          </cell>
          <cell r="R41">
            <v>1784</v>
          </cell>
        </row>
        <row r="42">
          <cell r="A42">
            <v>40</v>
          </cell>
          <cell r="D42">
            <v>2317.8286825816226</v>
          </cell>
          <cell r="I42">
            <v>1885.7297899807961</v>
          </cell>
          <cell r="N42">
            <v>1675</v>
          </cell>
        </row>
        <row r="43">
          <cell r="A43">
            <v>41</v>
          </cell>
          <cell r="D43">
            <v>2321.4248325797203</v>
          </cell>
          <cell r="I43">
            <v>1885.7297899807961</v>
          </cell>
        </row>
        <row r="44">
          <cell r="A44">
            <v>42</v>
          </cell>
          <cell r="D44">
            <v>2323.450512009028</v>
          </cell>
          <cell r="I44">
            <v>1888.2113942653666</v>
          </cell>
        </row>
        <row r="45">
          <cell r="A45">
            <v>43</v>
          </cell>
          <cell r="D45">
            <v>2324.4292110591432</v>
          </cell>
          <cell r="I45">
            <v>1890.6019305027969</v>
          </cell>
        </row>
        <row r="46">
          <cell r="A46">
            <v>44</v>
          </cell>
          <cell r="D46">
            <v>2326.807677355353</v>
          </cell>
          <cell r="I46">
            <v>1891.145086355383</v>
          </cell>
        </row>
        <row r="47">
          <cell r="A47">
            <v>45</v>
          </cell>
          <cell r="D47">
            <v>2327.6270533042866</v>
          </cell>
          <cell r="I47">
            <v>1891.8476112904646</v>
          </cell>
        </row>
        <row r="48">
          <cell r="A48">
            <v>46</v>
          </cell>
          <cell r="D48">
            <v>2330.3014053598336</v>
          </cell>
          <cell r="I48">
            <v>1891.8476112904646</v>
          </cell>
        </row>
        <row r="49">
          <cell r="A49">
            <v>47</v>
          </cell>
          <cell r="D49">
            <v>2335.9346150087517</v>
          </cell>
          <cell r="I49">
            <v>1892.9371754258918</v>
          </cell>
        </row>
        <row r="50">
          <cell r="A50">
            <v>48</v>
          </cell>
          <cell r="D50">
            <v>2336.6743294070943</v>
          </cell>
          <cell r="I50">
            <v>1893.4803312784779</v>
          </cell>
        </row>
        <row r="51">
          <cell r="A51">
            <v>49</v>
          </cell>
          <cell r="D51">
            <v>2339.1210770323819</v>
          </cell>
          <cell r="I51">
            <v>1893.4803312784779</v>
          </cell>
        </row>
        <row r="52">
          <cell r="A52">
            <v>50</v>
          </cell>
          <cell r="D52">
            <v>2344.3673591498591</v>
          </cell>
          <cell r="I52">
            <v>1896.202615401919</v>
          </cell>
        </row>
        <row r="53">
          <cell r="A53">
            <v>51</v>
          </cell>
          <cell r="D53">
            <v>2347.4172585153342</v>
          </cell>
          <cell r="I53">
            <v>1896.202615401919</v>
          </cell>
        </row>
        <row r="54">
          <cell r="A54">
            <v>52</v>
          </cell>
          <cell r="D54">
            <v>2352.0603888926244</v>
          </cell>
          <cell r="I54">
            <v>1898.134558973393</v>
          </cell>
        </row>
        <row r="55">
          <cell r="A55">
            <v>53</v>
          </cell>
          <cell r="D55">
            <v>2352.0603888926244</v>
          </cell>
          <cell r="I55">
            <v>1898.7395110008245</v>
          </cell>
        </row>
        <row r="56">
          <cell r="A56">
            <v>54</v>
          </cell>
          <cell r="D56">
            <v>2353.5170572462839</v>
          </cell>
          <cell r="I56">
            <v>1900.1445608709876</v>
          </cell>
        </row>
        <row r="57">
          <cell r="A57">
            <v>55</v>
          </cell>
          <cell r="D57">
            <v>2357.5949699550965</v>
          </cell>
          <cell r="I57">
            <v>1900.1445608709876</v>
          </cell>
        </row>
        <row r="58">
          <cell r="A58">
            <v>56</v>
          </cell>
          <cell r="D58">
            <v>2359.3475240680937</v>
          </cell>
          <cell r="I58">
            <v>1900.1445608709876</v>
          </cell>
        </row>
        <row r="59">
          <cell r="A59">
            <v>57</v>
          </cell>
          <cell r="D59">
            <v>2360.2238011245918</v>
          </cell>
          <cell r="I59">
            <v>1900.1445608709876</v>
          </cell>
        </row>
        <row r="60">
          <cell r="A60">
            <v>58</v>
          </cell>
          <cell r="D60">
            <v>2360.2238011245918</v>
          </cell>
          <cell r="I60">
            <v>1900.8698528178541</v>
          </cell>
        </row>
        <row r="61">
          <cell r="A61">
            <v>59</v>
          </cell>
          <cell r="D61">
            <v>2360.2238011245918</v>
          </cell>
          <cell r="I61">
            <v>1902.0797568727166</v>
          </cell>
        </row>
        <row r="62">
          <cell r="A62">
            <v>60</v>
          </cell>
          <cell r="I62">
            <v>1902.4440290612774</v>
          </cell>
        </row>
        <row r="63">
          <cell r="A63">
            <v>61</v>
          </cell>
          <cell r="I63">
            <v>1902.4440290612774</v>
          </cell>
        </row>
        <row r="64">
          <cell r="A64">
            <v>62</v>
          </cell>
          <cell r="I64">
            <v>1902.4440290612774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a.cc/4mdHLVC" TargetMode="External"/><Relationship Id="rId1" Type="http://schemas.openxmlformats.org/officeDocument/2006/relationships/hyperlink" Target="https://conta.cc/3Hoy3k2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1D9D-DF6D-458E-8EEC-6179E128FC3E}">
  <sheetPr>
    <tabColor rgb="FFFFFF00"/>
  </sheetPr>
  <dimension ref="A1:AX136"/>
  <sheetViews>
    <sheetView workbookViewId="0">
      <pane xSplit="8" ySplit="5" topLeftCell="N27" activePane="bottomRight" state="frozen"/>
      <selection pane="bottomRight" activeCell="S31" sqref="S31:S33"/>
      <selection pane="bottomLeft"/>
      <selection pane="topRight"/>
    </sheetView>
  </sheetViews>
  <sheetFormatPr defaultColWidth="8.85546875" defaultRowHeight="15" customHeight="1"/>
  <cols>
    <col min="3" max="3" width="12.7109375" bestFit="1" customWidth="1"/>
    <col min="6" max="6" width="20.140625" customWidth="1"/>
    <col min="7" max="7" width="12.42578125" bestFit="1" customWidth="1"/>
    <col min="8" max="8" width="11" customWidth="1"/>
    <col min="11" max="11" width="9.85546875" customWidth="1"/>
    <col min="12" max="12" width="8.85546875" style="441" customWidth="1"/>
    <col min="15" max="15" width="9.85546875" customWidth="1"/>
    <col min="16" max="16" width="8.140625" customWidth="1"/>
    <col min="18" max="18" width="10.42578125" customWidth="1"/>
    <col min="23" max="23" width="10.7109375" customWidth="1"/>
    <col min="24" max="24" width="9.42578125" customWidth="1"/>
    <col min="25" max="25" width="10.7109375" customWidth="1"/>
    <col min="26" max="26" width="9.140625" customWidth="1"/>
    <col min="29" max="29" width="9.28515625" customWidth="1"/>
    <col min="30" max="30" width="11.85546875" bestFit="1" customWidth="1"/>
    <col min="38" max="38" width="15.140625" customWidth="1"/>
    <col min="39" max="39" width="16" customWidth="1"/>
  </cols>
  <sheetData>
    <row r="1" spans="1:41" ht="54" customHeight="1">
      <c r="A1" s="557"/>
      <c r="B1" s="557"/>
      <c r="C1" s="557"/>
      <c r="D1" s="557"/>
      <c r="E1" s="2" t="s">
        <v>0</v>
      </c>
      <c r="F1" s="2" t="s">
        <v>1</v>
      </c>
      <c r="G1" s="1"/>
      <c r="H1" s="202" t="s">
        <v>2</v>
      </c>
      <c r="I1" s="535" t="s">
        <v>3</v>
      </c>
      <c r="J1" s="536" t="s">
        <v>4</v>
      </c>
      <c r="K1" s="313" t="s">
        <v>5</v>
      </c>
      <c r="L1" s="436"/>
      <c r="M1" s="435"/>
      <c r="N1" s="435"/>
      <c r="O1" s="1"/>
      <c r="P1" s="1"/>
      <c r="Q1" s="435"/>
      <c r="R1" s="435"/>
      <c r="S1" s="435"/>
      <c r="T1" s="435"/>
      <c r="U1" s="1"/>
      <c r="V1" s="313" t="s">
        <v>6</v>
      </c>
      <c r="W1" s="313"/>
      <c r="X1" s="313"/>
      <c r="Y1" s="3" t="s">
        <v>7</v>
      </c>
      <c r="Z1" s="3"/>
      <c r="AA1" s="1"/>
      <c r="AB1" s="455"/>
      <c r="AC1" s="1"/>
      <c r="AD1" s="1"/>
      <c r="AE1" s="1"/>
      <c r="AF1" s="537"/>
      <c r="AG1" s="537"/>
      <c r="AH1" s="537"/>
      <c r="AI1" s="537"/>
      <c r="AJ1" s="537"/>
      <c r="AK1" s="537"/>
    </row>
    <row r="2" spans="1:41">
      <c r="A2" s="557"/>
      <c r="B2" s="557"/>
      <c r="C2" s="557"/>
      <c r="D2" s="557"/>
      <c r="E2" s="1"/>
      <c r="F2" s="1"/>
      <c r="G2" s="1"/>
      <c r="H2" s="1"/>
      <c r="I2" s="535"/>
      <c r="J2" s="536"/>
      <c r="K2" s="5" t="s">
        <v>8</v>
      </c>
      <c r="L2" s="437"/>
      <c r="M2" s="435"/>
      <c r="N2" s="435"/>
      <c r="O2" s="6"/>
      <c r="P2" s="6"/>
      <c r="Q2" s="435"/>
      <c r="R2" s="435"/>
      <c r="S2" s="435"/>
      <c r="T2" s="435"/>
      <c r="U2" s="1"/>
      <c r="V2" s="5" t="s">
        <v>9</v>
      </c>
      <c r="W2" s="5"/>
      <c r="X2" s="5"/>
      <c r="Y2" s="7"/>
      <c r="Z2" s="7"/>
      <c r="AA2" s="1"/>
      <c r="AB2" s="455"/>
      <c r="AC2" s="1"/>
      <c r="AD2" s="1"/>
      <c r="AE2" s="1"/>
      <c r="AF2" s="455"/>
      <c r="AG2" s="557"/>
      <c r="AH2" s="557"/>
      <c r="AI2" s="557"/>
      <c r="AJ2" s="557"/>
      <c r="AK2" s="1"/>
    </row>
    <row r="3" spans="1:41">
      <c r="A3" s="557"/>
      <c r="B3" s="557"/>
      <c r="C3" s="557"/>
      <c r="D3" s="557"/>
      <c r="E3" s="1"/>
      <c r="F3" s="1"/>
      <c r="G3" s="8" t="s">
        <v>10</v>
      </c>
      <c r="H3" s="1"/>
      <c r="I3" s="535"/>
      <c r="J3" s="536"/>
      <c r="K3" s="9" t="s">
        <v>11</v>
      </c>
      <c r="L3" s="438"/>
      <c r="M3" s="435"/>
      <c r="N3" s="435"/>
      <c r="O3" s="6"/>
      <c r="P3" s="6"/>
      <c r="Q3" s="435"/>
      <c r="R3" s="435"/>
      <c r="S3" s="435"/>
      <c r="T3" s="435"/>
      <c r="U3" s="1"/>
      <c r="V3" s="9" t="s">
        <v>12</v>
      </c>
      <c r="W3" s="9"/>
      <c r="X3" s="9"/>
      <c r="Y3" s="7"/>
      <c r="Z3" s="7"/>
      <c r="AA3" s="1"/>
      <c r="AB3" s="455"/>
      <c r="AC3" s="1"/>
      <c r="AD3" s="1"/>
      <c r="AE3" s="1"/>
      <c r="AF3" s="455"/>
      <c r="AG3" s="557"/>
      <c r="AH3" s="557"/>
      <c r="AI3" s="557"/>
      <c r="AJ3" s="557"/>
      <c r="AK3" s="1"/>
    </row>
    <row r="4" spans="1:41" ht="29.1">
      <c r="A4" s="557"/>
      <c r="B4" s="557"/>
      <c r="C4" s="1"/>
      <c r="D4" s="144" t="s">
        <v>13</v>
      </c>
      <c r="E4" s="144"/>
      <c r="F4" s="143"/>
      <c r="G4" s="10">
        <v>9</v>
      </c>
      <c r="H4" s="1"/>
      <c r="I4" s="530" t="s">
        <v>14</v>
      </c>
      <c r="J4" s="530"/>
      <c r="K4" s="530"/>
      <c r="L4" s="530"/>
      <c r="M4" s="530"/>
      <c r="N4" s="530"/>
      <c r="O4" s="530"/>
      <c r="P4" s="530"/>
      <c r="Q4" s="530"/>
      <c r="R4" s="434"/>
      <c r="S4" s="531" t="s">
        <v>15</v>
      </c>
      <c r="T4" s="531"/>
      <c r="U4" s="531"/>
      <c r="V4" s="531"/>
      <c r="W4" s="531"/>
      <c r="X4" s="531"/>
      <c r="Y4" s="531"/>
      <c r="Z4" s="531"/>
      <c r="AA4" s="531"/>
      <c r="AB4" s="531"/>
      <c r="AC4" s="533" t="s">
        <v>16</v>
      </c>
      <c r="AD4" s="533"/>
      <c r="AE4" s="533"/>
      <c r="AF4" s="533"/>
      <c r="AG4" s="531" t="s">
        <v>17</v>
      </c>
      <c r="AH4" s="531"/>
      <c r="AI4" s="531"/>
      <c r="AJ4" s="532" t="s">
        <v>18</v>
      </c>
      <c r="AK4" s="532"/>
      <c r="AL4" s="532"/>
      <c r="AM4" s="292" t="s">
        <v>19</v>
      </c>
      <c r="AN4" s="292" t="s">
        <v>20</v>
      </c>
      <c r="AO4" s="293"/>
    </row>
    <row r="5" spans="1:41" ht="72.95">
      <c r="A5" s="7" t="s">
        <v>21</v>
      </c>
      <c r="B5" s="7" t="s">
        <v>22</v>
      </c>
      <c r="C5" s="11" t="s">
        <v>23</v>
      </c>
      <c r="D5" s="534" t="s">
        <v>24</v>
      </c>
      <c r="E5" s="534"/>
      <c r="F5" s="534"/>
      <c r="G5" s="187" t="s">
        <v>25</v>
      </c>
      <c r="H5" s="187" t="s">
        <v>26</v>
      </c>
      <c r="I5" s="188" t="s">
        <v>27</v>
      </c>
      <c r="J5" s="189" t="s">
        <v>28</v>
      </c>
      <c r="K5" s="186" t="s">
        <v>29</v>
      </c>
      <c r="L5" s="188" t="s">
        <v>30</v>
      </c>
      <c r="M5" s="186" t="s">
        <v>31</v>
      </c>
      <c r="N5" s="188" t="s">
        <v>32</v>
      </c>
      <c r="O5" s="188" t="s">
        <v>33</v>
      </c>
      <c r="P5" s="188" t="s">
        <v>34</v>
      </c>
      <c r="Q5" s="188" t="s">
        <v>35</v>
      </c>
      <c r="R5" s="188" t="s">
        <v>36</v>
      </c>
      <c r="S5" s="186" t="s">
        <v>37</v>
      </c>
      <c r="T5" s="188" t="s">
        <v>38</v>
      </c>
      <c r="U5" s="188" t="s">
        <v>39</v>
      </c>
      <c r="V5" s="188" t="s">
        <v>40</v>
      </c>
      <c r="W5" s="188" t="s">
        <v>41</v>
      </c>
      <c r="X5" s="188" t="s">
        <v>42</v>
      </c>
      <c r="Y5" s="188" t="s">
        <v>43</v>
      </c>
      <c r="Z5" s="186" t="s">
        <v>44</v>
      </c>
      <c r="AA5" s="188" t="s">
        <v>45</v>
      </c>
      <c r="AB5" s="188" t="s">
        <v>46</v>
      </c>
      <c r="AC5" s="186" t="s">
        <v>47</v>
      </c>
      <c r="AD5" s="188" t="s">
        <v>43</v>
      </c>
      <c r="AE5" s="186" t="s">
        <v>44</v>
      </c>
      <c r="AF5" s="188" t="s">
        <v>48</v>
      </c>
      <c r="AG5" s="186" t="s">
        <v>49</v>
      </c>
      <c r="AH5" s="188" t="s">
        <v>50</v>
      </c>
      <c r="AI5" s="15" t="s">
        <v>51</v>
      </c>
      <c r="AJ5" s="14" t="s">
        <v>52</v>
      </c>
      <c r="AK5" s="16" t="s">
        <v>53</v>
      </c>
      <c r="AL5" s="229"/>
    </row>
    <row r="6" spans="1:41" s="141" customFormat="1" ht="14.25" customHeight="1">
      <c r="A6" s="141">
        <v>1</v>
      </c>
      <c r="B6" s="141">
        <f>A6-$G$4</f>
        <v>-8</v>
      </c>
      <c r="C6" s="142">
        <v>45901</v>
      </c>
      <c r="D6" s="141" t="s">
        <v>54</v>
      </c>
      <c r="G6" s="142">
        <v>45902.833333333336</v>
      </c>
      <c r="H6" s="141" t="s">
        <v>55</v>
      </c>
      <c r="I6" s="439">
        <v>0.85</v>
      </c>
      <c r="J6" s="459">
        <f t="shared" ref="J6:J37" si="0">K6/AG6</f>
        <v>0.89093701996927799</v>
      </c>
      <c r="K6" s="35">
        <f t="shared" ref="K6:K13" si="1">S6+AC6</f>
        <v>1160</v>
      </c>
      <c r="L6" s="37">
        <f t="shared" ref="L6:M8" si="2">Y6+AD6</f>
        <v>137698</v>
      </c>
      <c r="M6" s="30">
        <f t="shared" si="2"/>
        <v>153473</v>
      </c>
      <c r="N6" s="448">
        <f>L6-M6</f>
        <v>-15775</v>
      </c>
      <c r="O6" s="29" t="e">
        <f>IF(P6="Too early",P6,P6/AG6)</f>
        <v>#N/A</v>
      </c>
      <c r="P6" s="36" t="e">
        <f>IF(V6="Too early",V6,V6+AC6)</f>
        <v>#N/A</v>
      </c>
      <c r="Q6" s="37" t="e">
        <f t="shared" ref="Q6:Q12" si="3">AD6+V6*AH6</f>
        <v>#N/A</v>
      </c>
      <c r="R6" s="443" t="e">
        <f t="shared" ref="R6:R12" si="4">IF(V6="Too early",V6,Q6-M6)</f>
        <v>#N/A</v>
      </c>
      <c r="S6" s="460">
        <v>1160</v>
      </c>
      <c r="T6" s="461">
        <f>AG6-AC6</f>
        <v>1302</v>
      </c>
      <c r="U6" s="461">
        <f t="shared" ref="U6:U37" si="5">(AG6-AC6)*I6</f>
        <v>1106.7</v>
      </c>
      <c r="V6" s="462" t="e">
        <f>IF(B6&lt;11,MIN((S6/VLOOKUP(B6,'Sales Pacing'!$A$23:$E$36,2)),T6),"Too early")</f>
        <v>#N/A</v>
      </c>
      <c r="W6" s="522" t="e">
        <f>Q6-AD6</f>
        <v>#N/A</v>
      </c>
      <c r="X6" s="463" t="e">
        <f>IF(V6="Too early","Too early",V6/U6)</f>
        <v>#N/A</v>
      </c>
      <c r="Y6" s="464">
        <v>137698</v>
      </c>
      <c r="Z6" s="465">
        <v>153473</v>
      </c>
      <c r="AA6" s="193">
        <f>IF(Y6&gt;0,Y6/Z6,"")</f>
        <v>0.89721319059378524</v>
      </c>
      <c r="AB6" s="29" t="e">
        <f>IF($V6="Too early",V6,V6*AH6/Z6)</f>
        <v>#N/A</v>
      </c>
      <c r="AC6" s="466"/>
      <c r="AD6" s="467"/>
      <c r="AE6" s="465">
        <v>0</v>
      </c>
      <c r="AF6" s="29" t="str">
        <f>IF(AD6&gt;0,AD6/AE6,"")</f>
        <v/>
      </c>
      <c r="AG6" s="468">
        <v>1302</v>
      </c>
      <c r="AH6" s="30">
        <f>Y6/S6</f>
        <v>118.70517241379311</v>
      </c>
      <c r="AI6" s="469">
        <v>228</v>
      </c>
      <c r="AJ6" s="469">
        <v>295</v>
      </c>
      <c r="AK6" s="469">
        <v>523</v>
      </c>
      <c r="AL6" s="470">
        <v>137698</v>
      </c>
      <c r="AM6" s="471">
        <f>L6-AL6</f>
        <v>0</v>
      </c>
    </row>
    <row r="7" spans="1:41" s="141" customFormat="1" ht="14.25" customHeight="1">
      <c r="A7" s="141">
        <v>1</v>
      </c>
      <c r="B7" s="141">
        <f t="shared" ref="B7:B70" si="6">A7-$G$4</f>
        <v>-8</v>
      </c>
      <c r="C7" s="142">
        <v>45901</v>
      </c>
      <c r="D7" s="141" t="s">
        <v>54</v>
      </c>
      <c r="G7" s="142">
        <v>45903.833333333336</v>
      </c>
      <c r="H7" s="141" t="s">
        <v>55</v>
      </c>
      <c r="I7" s="439">
        <v>0.85</v>
      </c>
      <c r="J7" s="459">
        <f t="shared" si="0"/>
        <v>0.87480798771121349</v>
      </c>
      <c r="K7" s="35">
        <f t="shared" si="1"/>
        <v>1139</v>
      </c>
      <c r="L7" s="37">
        <f t="shared" si="2"/>
        <v>134386</v>
      </c>
      <c r="M7" s="30">
        <f t="shared" si="2"/>
        <v>153474</v>
      </c>
      <c r="N7" s="448">
        <f>L7-M7</f>
        <v>-19088</v>
      </c>
      <c r="O7" s="29" t="e">
        <f>IF(P7="Too early",P7,P7/AG7)</f>
        <v>#N/A</v>
      </c>
      <c r="P7" s="36" t="e">
        <f t="shared" ref="P7:P70" si="7">IF(V7="Too early",V7,V7+AC7)</f>
        <v>#N/A</v>
      </c>
      <c r="Q7" s="37" t="e">
        <f t="shared" si="3"/>
        <v>#N/A</v>
      </c>
      <c r="R7" s="443" t="e">
        <f t="shared" si="4"/>
        <v>#N/A</v>
      </c>
      <c r="S7" s="460">
        <v>1139</v>
      </c>
      <c r="T7" s="461">
        <f t="shared" ref="T7:T70" si="8">AG7-AC7</f>
        <v>1302</v>
      </c>
      <c r="U7" s="461">
        <f t="shared" si="5"/>
        <v>1106.7</v>
      </c>
      <c r="V7" s="462" t="e">
        <f>IF(B7&lt;11,MIN((S7/VLOOKUP(B7,'Sales Pacing'!$A$23:$E$36,2)),T7),"Too early")</f>
        <v>#N/A</v>
      </c>
      <c r="W7" s="522" t="e">
        <f t="shared" ref="W7:W70" si="9">Q7-AD7</f>
        <v>#N/A</v>
      </c>
      <c r="X7" s="463" t="e">
        <f>IF(V7="Too early","Too early",V7/U7)</f>
        <v>#N/A</v>
      </c>
      <c r="Y7" s="472">
        <v>134386</v>
      </c>
      <c r="Z7" s="465">
        <v>153474</v>
      </c>
      <c r="AA7" s="473">
        <f t="shared" ref="AA7:AA70" si="10">IF(Y7&gt;0,Y7/Z7,"")</f>
        <v>0.87562714205663505</v>
      </c>
      <c r="AB7" s="29" t="e">
        <f>IF($V7="Too early",V7,V7*AH7/Z7)</f>
        <v>#N/A</v>
      </c>
      <c r="AC7" s="466"/>
      <c r="AD7" s="467"/>
      <c r="AE7" s="465">
        <v>0</v>
      </c>
      <c r="AF7" s="29" t="str">
        <f t="shared" ref="AF7:AF70" si="11">IF(AD7&gt;0,AD7/AE7,"")</f>
        <v/>
      </c>
      <c r="AG7" s="468">
        <v>1302</v>
      </c>
      <c r="AH7" s="30">
        <f>Y7/S7</f>
        <v>117.98595258999121</v>
      </c>
      <c r="AI7" s="469">
        <v>227</v>
      </c>
      <c r="AJ7" s="469">
        <v>289</v>
      </c>
      <c r="AK7" s="469">
        <v>516</v>
      </c>
      <c r="AL7" s="470">
        <v>134386</v>
      </c>
      <c r="AM7" s="471">
        <f>L7-AL7</f>
        <v>0</v>
      </c>
    </row>
    <row r="8" spans="1:41" s="145" customFormat="1" ht="14.25" customHeight="1">
      <c r="A8" s="145">
        <v>1</v>
      </c>
      <c r="B8" s="145">
        <f t="shared" si="6"/>
        <v>-8</v>
      </c>
      <c r="C8" s="146">
        <v>45901</v>
      </c>
      <c r="D8" s="145" t="s">
        <v>56</v>
      </c>
      <c r="G8" s="146">
        <v>45905.833333333336</v>
      </c>
      <c r="H8" s="145" t="s">
        <v>55</v>
      </c>
      <c r="I8" s="439">
        <v>0.85</v>
      </c>
      <c r="J8" s="459">
        <f t="shared" si="0"/>
        <v>1.165</v>
      </c>
      <c r="K8" s="147">
        <f t="shared" si="1"/>
        <v>699</v>
      </c>
      <c r="L8" s="33">
        <f t="shared" si="2"/>
        <v>20005</v>
      </c>
      <c r="M8" s="34">
        <f t="shared" si="2"/>
        <v>55000</v>
      </c>
      <c r="N8" s="449">
        <f>L8-M8</f>
        <v>-34995</v>
      </c>
      <c r="O8" s="32" t="e">
        <f>IF(P8="Too early",P8,P8/AG8)</f>
        <v>#N/A</v>
      </c>
      <c r="P8" s="31" t="e">
        <f t="shared" si="7"/>
        <v>#N/A</v>
      </c>
      <c r="Q8" s="33" t="e">
        <f t="shared" si="3"/>
        <v>#N/A</v>
      </c>
      <c r="R8" s="444" t="e">
        <f t="shared" si="4"/>
        <v>#N/A</v>
      </c>
      <c r="S8" s="474">
        <v>699</v>
      </c>
      <c r="T8" s="461">
        <f t="shared" si="8"/>
        <v>600</v>
      </c>
      <c r="U8" s="461">
        <f t="shared" si="5"/>
        <v>510</v>
      </c>
      <c r="V8" s="462" t="e">
        <f>IF(B8&lt;11,MIN((S8/VLOOKUP(B8,'Sales Pacing'!$A$23:$E$36,2)),T8),"Too early")</f>
        <v>#N/A</v>
      </c>
      <c r="W8" s="522" t="e">
        <f t="shared" si="9"/>
        <v>#N/A</v>
      </c>
      <c r="X8" s="463" t="e">
        <f>IF(V8="Too early","Too early",V8/U8)</f>
        <v>#N/A</v>
      </c>
      <c r="Y8" s="475">
        <v>20005</v>
      </c>
      <c r="Z8" s="476">
        <v>55000</v>
      </c>
      <c r="AA8" s="477">
        <f t="shared" si="10"/>
        <v>0.36372727272727273</v>
      </c>
      <c r="AB8" s="32" t="e">
        <f>IF($V8="Too early",V8,V8*AH8/Z8)</f>
        <v>#N/A</v>
      </c>
      <c r="AC8" s="478"/>
      <c r="AD8" s="479"/>
      <c r="AE8" s="476">
        <v>0</v>
      </c>
      <c r="AF8" s="32" t="str">
        <f t="shared" si="11"/>
        <v/>
      </c>
      <c r="AG8" s="480">
        <v>600</v>
      </c>
      <c r="AH8" s="34">
        <f>Y8/S8</f>
        <v>28.619456366237483</v>
      </c>
      <c r="AI8" s="481">
        <v>86</v>
      </c>
      <c r="AJ8" s="481">
        <v>209</v>
      </c>
      <c r="AK8" s="481">
        <v>295</v>
      </c>
      <c r="AL8" s="470">
        <v>20005</v>
      </c>
      <c r="AM8" s="471">
        <f>L8-AL8</f>
        <v>0</v>
      </c>
    </row>
    <row r="9" spans="1:41" s="184" customFormat="1" ht="14.25" customHeight="1">
      <c r="A9" s="184">
        <v>2</v>
      </c>
      <c r="B9" s="184">
        <f t="shared" si="6"/>
        <v>-7</v>
      </c>
      <c r="C9" s="185">
        <v>45908</v>
      </c>
      <c r="D9" s="184" t="s">
        <v>57</v>
      </c>
      <c r="G9" s="194"/>
      <c r="H9" s="195"/>
      <c r="I9" s="442"/>
      <c r="J9" s="198" t="e">
        <f t="shared" si="0"/>
        <v>#DIV/0!</v>
      </c>
      <c r="K9" s="196">
        <f t="shared" si="1"/>
        <v>0</v>
      </c>
      <c r="L9" s="199"/>
      <c r="M9" s="200"/>
      <c r="N9" s="430"/>
      <c r="O9" s="198"/>
      <c r="P9" s="197" t="e">
        <f t="shared" si="7"/>
        <v>#N/A</v>
      </c>
      <c r="Q9" s="199" t="e">
        <f t="shared" si="3"/>
        <v>#N/A</v>
      </c>
      <c r="R9" s="445" t="e">
        <f t="shared" si="4"/>
        <v>#N/A</v>
      </c>
      <c r="S9" s="482"/>
      <c r="T9" s="482">
        <f t="shared" si="8"/>
        <v>0</v>
      </c>
      <c r="U9" s="482">
        <f t="shared" si="5"/>
        <v>0</v>
      </c>
      <c r="V9" s="483" t="e">
        <f>IF(B9&lt;11,MIN((S9/VLOOKUP(B9,'Sales Pacing'!$A$23:$E$36,2)),T9),"Too early")</f>
        <v>#N/A</v>
      </c>
      <c r="W9" s="523" t="e">
        <f t="shared" si="9"/>
        <v>#N/A</v>
      </c>
      <c r="X9" s="483"/>
      <c r="Y9" s="484"/>
      <c r="Z9" s="484"/>
      <c r="AA9" s="485" t="str">
        <f t="shared" si="10"/>
        <v/>
      </c>
      <c r="AB9" s="198"/>
      <c r="AC9" s="482"/>
      <c r="AD9" s="484"/>
      <c r="AE9" s="484"/>
      <c r="AF9" s="198" t="s">
        <v>58</v>
      </c>
      <c r="AG9" s="482"/>
      <c r="AH9" s="200"/>
      <c r="AI9" s="486"/>
      <c r="AJ9" s="486"/>
      <c r="AK9" s="486"/>
      <c r="AL9" s="487"/>
      <c r="AM9" s="294"/>
    </row>
    <row r="10" spans="1:41" s="141" customFormat="1" ht="14.25" customHeight="1">
      <c r="A10" s="141">
        <v>3</v>
      </c>
      <c r="B10" s="141">
        <f t="shared" si="6"/>
        <v>-6</v>
      </c>
      <c r="C10" s="142">
        <v>45915</v>
      </c>
      <c r="D10" s="141" t="s">
        <v>59</v>
      </c>
      <c r="G10" s="142">
        <v>45919.833333333336</v>
      </c>
      <c r="H10" s="141" t="s">
        <v>60</v>
      </c>
      <c r="I10" s="439">
        <v>0.85</v>
      </c>
      <c r="J10" s="488">
        <f t="shared" si="0"/>
        <v>0.70880503144654083</v>
      </c>
      <c r="K10" s="260">
        <f t="shared" si="1"/>
        <v>1127</v>
      </c>
      <c r="L10" s="37">
        <f t="shared" ref="L10:M13" si="12">Y10+AD10</f>
        <v>75282.600000000006</v>
      </c>
      <c r="M10" s="30">
        <f t="shared" si="12"/>
        <v>100666</v>
      </c>
      <c r="N10" s="448">
        <f>L10-M10</f>
        <v>-25383.399999999994</v>
      </c>
      <c r="O10" s="29" t="e">
        <f>IF(P10="Too early",P10,P10/AG10)</f>
        <v>#N/A</v>
      </c>
      <c r="P10" s="36" t="e">
        <f t="shared" si="7"/>
        <v>#N/A</v>
      </c>
      <c r="Q10" s="37" t="e">
        <f t="shared" si="3"/>
        <v>#N/A</v>
      </c>
      <c r="R10" s="443" t="e">
        <f t="shared" si="4"/>
        <v>#N/A</v>
      </c>
      <c r="S10" s="460">
        <f>508+4</f>
        <v>512</v>
      </c>
      <c r="T10" s="461">
        <f t="shared" si="8"/>
        <v>975</v>
      </c>
      <c r="U10" s="461">
        <f t="shared" si="5"/>
        <v>828.75</v>
      </c>
      <c r="V10" s="462" t="e">
        <f>IF(B10&lt;11,MIN((S10/VLOOKUP(B10,'Sales Pacing'!$A$23:$E$36,2)),T10),"Too early")</f>
        <v>#N/A</v>
      </c>
      <c r="W10" s="522" t="e">
        <f t="shared" si="9"/>
        <v>#N/A</v>
      </c>
      <c r="X10" s="463" t="e">
        <f>IF(V10="Too early","Too early",V10/U10)</f>
        <v>#N/A</v>
      </c>
      <c r="Y10" s="467">
        <f>29619+295</f>
        <v>29914</v>
      </c>
      <c r="Z10" s="465">
        <v>59333</v>
      </c>
      <c r="AA10" s="473">
        <f t="shared" si="10"/>
        <v>0.50417137174927951</v>
      </c>
      <c r="AB10" s="29" t="e">
        <f>IF($V10="Too early",V10,V10*AH10/Z10)</f>
        <v>#N/A</v>
      </c>
      <c r="AC10" s="466">
        <v>615</v>
      </c>
      <c r="AD10" s="467">
        <v>45368.6</v>
      </c>
      <c r="AE10" s="465">
        <v>41333</v>
      </c>
      <c r="AF10" s="29">
        <f t="shared" si="11"/>
        <v>1.0976362712602521</v>
      </c>
      <c r="AG10" s="468">
        <v>1590</v>
      </c>
      <c r="AH10" s="30">
        <f>Y10/S10</f>
        <v>58.42578125</v>
      </c>
      <c r="AI10" s="469">
        <v>67</v>
      </c>
      <c r="AJ10" s="469">
        <v>416</v>
      </c>
      <c r="AK10" s="469">
        <v>483</v>
      </c>
      <c r="AL10" s="470">
        <v>71854.600000000006</v>
      </c>
      <c r="AM10" s="471">
        <f>L10-AL10</f>
        <v>3428</v>
      </c>
    </row>
    <row r="11" spans="1:41" s="141" customFormat="1" ht="14.25" customHeight="1">
      <c r="A11" s="141">
        <v>3</v>
      </c>
      <c r="B11" s="141">
        <f t="shared" si="6"/>
        <v>-6</v>
      </c>
      <c r="C11" s="142">
        <v>45915</v>
      </c>
      <c r="D11" s="141" t="s">
        <v>59</v>
      </c>
      <c r="G11" s="142">
        <v>45920.833333333336</v>
      </c>
      <c r="H11" s="141" t="s">
        <v>60</v>
      </c>
      <c r="I11" s="439">
        <v>0.85</v>
      </c>
      <c r="J11" s="488">
        <f t="shared" si="0"/>
        <v>0.67169811320754713</v>
      </c>
      <c r="K11" s="260">
        <f t="shared" si="1"/>
        <v>1068</v>
      </c>
      <c r="L11" s="37">
        <f t="shared" si="12"/>
        <v>74220.3</v>
      </c>
      <c r="M11" s="30">
        <f t="shared" si="12"/>
        <v>100667</v>
      </c>
      <c r="N11" s="448">
        <f>L11-M11</f>
        <v>-26446.699999999997</v>
      </c>
      <c r="O11" s="29" t="e">
        <f>IF(P11="Too early",P11,P11/AG11)</f>
        <v>#N/A</v>
      </c>
      <c r="P11" s="36" t="e">
        <f t="shared" si="7"/>
        <v>#N/A</v>
      </c>
      <c r="Q11" s="37" t="e">
        <f t="shared" si="3"/>
        <v>#N/A</v>
      </c>
      <c r="R11" s="443" t="e">
        <f t="shared" si="4"/>
        <v>#N/A</v>
      </c>
      <c r="S11" s="460">
        <f>550+4</f>
        <v>554</v>
      </c>
      <c r="T11" s="461">
        <f t="shared" si="8"/>
        <v>1076</v>
      </c>
      <c r="U11" s="461">
        <f t="shared" si="5"/>
        <v>914.6</v>
      </c>
      <c r="V11" s="462" t="e">
        <f>IF(B11&lt;11,MIN((S11/VLOOKUP(B11,'Sales Pacing'!$A$23:$E$36,2)),T11),"Too early")</f>
        <v>#N/A</v>
      </c>
      <c r="W11" s="522" t="e">
        <f t="shared" si="9"/>
        <v>#N/A</v>
      </c>
      <c r="X11" s="463" t="e">
        <f>IF(V11="Too early","Too early",V11/U11)</f>
        <v>#N/A</v>
      </c>
      <c r="Y11" s="467">
        <f>35384+288</f>
        <v>35672</v>
      </c>
      <c r="Z11" s="465">
        <v>59333</v>
      </c>
      <c r="AA11" s="473">
        <f t="shared" si="10"/>
        <v>0.6012168607688807</v>
      </c>
      <c r="AB11" s="29" t="e">
        <f>IF($V11="Too early",V11,V11*AH11/Z11)</f>
        <v>#N/A</v>
      </c>
      <c r="AC11" s="466">
        <v>514</v>
      </c>
      <c r="AD11" s="467">
        <v>38548.300000000003</v>
      </c>
      <c r="AE11" s="465">
        <v>41334</v>
      </c>
      <c r="AF11" s="29">
        <f t="shared" si="11"/>
        <v>0.93260511927226986</v>
      </c>
      <c r="AG11" s="468">
        <v>1590</v>
      </c>
      <c r="AH11" s="30">
        <f>Y11/S11</f>
        <v>64.389891696750908</v>
      </c>
      <c r="AI11" s="469">
        <v>78</v>
      </c>
      <c r="AJ11" s="469">
        <v>376</v>
      </c>
      <c r="AK11" s="469">
        <v>454</v>
      </c>
      <c r="AL11" s="470">
        <v>70013.3</v>
      </c>
      <c r="AM11" s="471">
        <f>L11-AL11</f>
        <v>4207</v>
      </c>
    </row>
    <row r="12" spans="1:41" s="145" customFormat="1" ht="14.25" customHeight="1">
      <c r="A12" s="145">
        <v>3</v>
      </c>
      <c r="B12" s="145">
        <f t="shared" si="6"/>
        <v>-6</v>
      </c>
      <c r="C12" s="146">
        <v>45915</v>
      </c>
      <c r="D12" s="145" t="s">
        <v>59</v>
      </c>
      <c r="G12" s="146">
        <v>45921.583333333336</v>
      </c>
      <c r="H12" s="145" t="s">
        <v>60</v>
      </c>
      <c r="I12" s="453">
        <v>0.85</v>
      </c>
      <c r="J12" s="489">
        <f t="shared" si="0"/>
        <v>0.63018867924528299</v>
      </c>
      <c r="K12" s="261">
        <f t="shared" si="1"/>
        <v>1002</v>
      </c>
      <c r="L12" s="33">
        <f t="shared" si="12"/>
        <v>63946.8</v>
      </c>
      <c r="M12" s="34">
        <f t="shared" si="12"/>
        <v>100667</v>
      </c>
      <c r="N12" s="449">
        <f>L12-M12</f>
        <v>-36720.199999999997</v>
      </c>
      <c r="O12" s="32" t="e">
        <f>IF(P12="Too early",P12,P12/AG12)</f>
        <v>#N/A</v>
      </c>
      <c r="P12" s="31" t="e">
        <f t="shared" si="7"/>
        <v>#N/A</v>
      </c>
      <c r="Q12" s="33" t="e">
        <f t="shared" si="3"/>
        <v>#N/A</v>
      </c>
      <c r="R12" s="444" t="e">
        <f t="shared" si="4"/>
        <v>#N/A</v>
      </c>
      <c r="S12" s="474">
        <f>656+2</f>
        <v>658</v>
      </c>
      <c r="T12" s="490">
        <f t="shared" si="8"/>
        <v>1246</v>
      </c>
      <c r="U12" s="490">
        <f t="shared" si="5"/>
        <v>1059.0999999999999</v>
      </c>
      <c r="V12" s="491" t="e">
        <f>IF(B12&lt;11,MIN((S12/VLOOKUP(B12,'Sales Pacing'!$A$23:$E$36,2)),T12),"Too early")</f>
        <v>#N/A</v>
      </c>
      <c r="W12" s="524" t="e">
        <f t="shared" si="9"/>
        <v>#N/A</v>
      </c>
      <c r="X12" s="492" t="e">
        <f>IF(V12="Too early","Too early",V12/U12)</f>
        <v>#N/A</v>
      </c>
      <c r="Y12" s="479">
        <f>39634+165</f>
        <v>39799</v>
      </c>
      <c r="Z12" s="476">
        <v>59334</v>
      </c>
      <c r="AA12" s="477">
        <f t="shared" si="10"/>
        <v>0.67076212626824416</v>
      </c>
      <c r="AB12" s="32" t="e">
        <f>IF($V12="Too early",V12,V12*AH12/Z12)</f>
        <v>#N/A</v>
      </c>
      <c r="AC12" s="478">
        <v>344</v>
      </c>
      <c r="AD12" s="479">
        <v>24147.8</v>
      </c>
      <c r="AE12" s="476">
        <v>41333</v>
      </c>
      <c r="AF12" s="32">
        <f t="shared" si="11"/>
        <v>0.58422567923934865</v>
      </c>
      <c r="AG12" s="480">
        <v>1590</v>
      </c>
      <c r="AH12" s="34">
        <f>Y12/S12</f>
        <v>60.484802431610944</v>
      </c>
      <c r="AI12" s="481">
        <v>74</v>
      </c>
      <c r="AJ12" s="481">
        <v>286</v>
      </c>
      <c r="AK12" s="481">
        <v>360</v>
      </c>
      <c r="AL12" s="493">
        <v>56072.3</v>
      </c>
      <c r="AM12" s="471">
        <f>L12-AL12</f>
        <v>7874.5</v>
      </c>
    </row>
    <row r="13" spans="1:41" s="145" customFormat="1" ht="14.25" customHeight="1">
      <c r="A13" s="145">
        <v>4</v>
      </c>
      <c r="B13" s="145">
        <f t="shared" si="6"/>
        <v>-5</v>
      </c>
      <c r="C13" s="146">
        <v>45922</v>
      </c>
      <c r="D13" s="145" t="s">
        <v>61</v>
      </c>
      <c r="G13" s="146">
        <v>45928.583333333336</v>
      </c>
      <c r="H13" s="145" t="s">
        <v>62</v>
      </c>
      <c r="I13" s="439">
        <v>0.5</v>
      </c>
      <c r="J13" s="494">
        <f t="shared" si="0"/>
        <v>0.55376344086021501</v>
      </c>
      <c r="K13" s="147">
        <f t="shared" si="1"/>
        <v>721</v>
      </c>
      <c r="L13" s="33">
        <f t="shared" si="12"/>
        <v>16696</v>
      </c>
      <c r="M13" s="34">
        <f t="shared" si="12"/>
        <v>19500</v>
      </c>
      <c r="N13" s="449">
        <f>L13-M13</f>
        <v>-2804</v>
      </c>
      <c r="O13" s="32" t="e">
        <f>IF(P13="Too early",P13,P13/AG13)</f>
        <v>#N/A</v>
      </c>
      <c r="P13" s="31" t="e">
        <f t="shared" si="7"/>
        <v>#N/A</v>
      </c>
      <c r="Q13" s="33" t="e">
        <f t="shared" ref="Q13:Q44" si="13">IF(V13="Too early",V13,AD13+V13*AH13)</f>
        <v>#N/A</v>
      </c>
      <c r="R13" s="443" t="e">
        <f>IF(V13="Too early",V13,Q13-M13)</f>
        <v>#N/A</v>
      </c>
      <c r="S13" s="474">
        <v>503</v>
      </c>
      <c r="T13" s="490">
        <f t="shared" si="8"/>
        <v>1084</v>
      </c>
      <c r="U13" s="490">
        <f t="shared" si="5"/>
        <v>542</v>
      </c>
      <c r="V13" s="491" t="e">
        <f>IF(B13&lt;11,MIN((S13/VLOOKUP(B13,'Sales Pacing'!$A$23:$E$36,2)),T13),"Too early")</f>
        <v>#N/A</v>
      </c>
      <c r="W13" s="524" t="e">
        <f t="shared" si="9"/>
        <v>#N/A</v>
      </c>
      <c r="X13" s="492" t="e">
        <f>IF(V13="Too early","Too early",V13/U13)</f>
        <v>#N/A</v>
      </c>
      <c r="Y13" s="479">
        <v>10721</v>
      </c>
      <c r="Z13" s="476">
        <v>10000</v>
      </c>
      <c r="AA13" s="477">
        <f t="shared" si="10"/>
        <v>1.0721000000000001</v>
      </c>
      <c r="AB13" s="32" t="e">
        <f>IF($V13="Too early",V13,V13*AH13/Z13)</f>
        <v>#N/A</v>
      </c>
      <c r="AC13" s="478">
        <v>218</v>
      </c>
      <c r="AD13" s="479">
        <v>5975</v>
      </c>
      <c r="AE13" s="476">
        <v>9500</v>
      </c>
      <c r="AF13" s="32">
        <f t="shared" si="11"/>
        <v>0.62894736842105259</v>
      </c>
      <c r="AG13" s="480">
        <v>1302</v>
      </c>
      <c r="AH13" s="34">
        <f>Y13/S13</f>
        <v>21.314115308151095</v>
      </c>
      <c r="AI13" s="481">
        <v>21</v>
      </c>
      <c r="AJ13" s="481">
        <v>104</v>
      </c>
      <c r="AK13" s="481">
        <v>125</v>
      </c>
      <c r="AL13" s="493">
        <v>12684</v>
      </c>
      <c r="AM13" s="471">
        <f>L13-AL13</f>
        <v>4012</v>
      </c>
    </row>
    <row r="14" spans="1:41" s="145" customFormat="1" ht="14.25" customHeight="1">
      <c r="A14" s="145">
        <v>5</v>
      </c>
      <c r="B14" s="145">
        <f t="shared" si="6"/>
        <v>-4</v>
      </c>
      <c r="C14" s="146">
        <v>45929</v>
      </c>
      <c r="D14" s="184" t="s">
        <v>63</v>
      </c>
      <c r="E14" s="184"/>
      <c r="F14" s="184"/>
      <c r="G14" s="194"/>
      <c r="H14" s="195"/>
      <c r="I14" s="442"/>
      <c r="J14" s="198" t="e">
        <f t="shared" si="0"/>
        <v>#DIV/0!</v>
      </c>
      <c r="K14" s="196"/>
      <c r="L14" s="199"/>
      <c r="M14" s="200"/>
      <c r="N14" s="432"/>
      <c r="O14" s="198"/>
      <c r="P14" s="197"/>
      <c r="Q14" s="199" t="e">
        <f t="shared" si="13"/>
        <v>#N/A</v>
      </c>
      <c r="R14" s="447" t="e">
        <f t="shared" ref="R14:R77" si="14">IF(V14="Too early",V14,Q14-M14)</f>
        <v>#N/A</v>
      </c>
      <c r="S14" s="482"/>
      <c r="T14" s="482">
        <f t="shared" si="8"/>
        <v>0</v>
      </c>
      <c r="U14" s="495">
        <f t="shared" si="5"/>
        <v>0</v>
      </c>
      <c r="V14" s="483" t="e">
        <f>IF(B14&lt;11,MIN((S14/VLOOKUP(B14,'Sales Pacing'!$A$23:$E$36,2)),T14),"Too early")</f>
        <v>#N/A</v>
      </c>
      <c r="W14" s="523" t="e">
        <f t="shared" si="9"/>
        <v>#N/A</v>
      </c>
      <c r="X14" s="483"/>
      <c r="Y14" s="484"/>
      <c r="Z14" s="484"/>
      <c r="AA14" s="485"/>
      <c r="AB14" s="198"/>
      <c r="AC14" s="482"/>
      <c r="AD14" s="484"/>
      <c r="AE14" s="484"/>
      <c r="AF14" s="198"/>
      <c r="AG14" s="482"/>
      <c r="AH14" s="200"/>
      <c r="AI14" s="486"/>
      <c r="AJ14" s="486"/>
      <c r="AK14" s="486"/>
      <c r="AL14" s="493"/>
      <c r="AM14" s="471"/>
    </row>
    <row r="15" spans="1:41" s="141" customFormat="1" ht="14.25" customHeight="1">
      <c r="A15" s="141">
        <v>6</v>
      </c>
      <c r="B15" s="141">
        <f t="shared" si="6"/>
        <v>-3</v>
      </c>
      <c r="C15" s="142">
        <v>45936</v>
      </c>
      <c r="D15" s="141" t="s">
        <v>64</v>
      </c>
      <c r="G15" s="142">
        <v>45940.833333333336</v>
      </c>
      <c r="H15" s="141" t="s">
        <v>65</v>
      </c>
      <c r="I15" s="439">
        <v>0.85</v>
      </c>
      <c r="J15" s="29">
        <f t="shared" si="0"/>
        <v>0.75575715282623868</v>
      </c>
      <c r="K15" s="35">
        <f t="shared" ref="K15:K46" si="15">S15+AC15</f>
        <v>1083</v>
      </c>
      <c r="L15" s="37">
        <f t="shared" ref="L15:L24" si="16">Y15+AD15</f>
        <v>62663</v>
      </c>
      <c r="M15" s="30">
        <f t="shared" ref="M15:M24" si="17">Z15+AE15</f>
        <v>50000</v>
      </c>
      <c r="N15" s="526">
        <f t="shared" ref="N15:N29" si="18">L15-M15</f>
        <v>12663</v>
      </c>
      <c r="O15" s="29" t="e">
        <f t="shared" ref="O15:O29" si="19">IF(P15="Too early",P15,P15/AG15)</f>
        <v>#N/A</v>
      </c>
      <c r="P15" s="36" t="e">
        <f t="shared" si="7"/>
        <v>#N/A</v>
      </c>
      <c r="Q15" s="37" t="e">
        <f t="shared" si="13"/>
        <v>#N/A</v>
      </c>
      <c r="R15" s="443" t="e">
        <f t="shared" si="14"/>
        <v>#N/A</v>
      </c>
      <c r="S15" s="466">
        <f>623+17</f>
        <v>640</v>
      </c>
      <c r="T15" s="468">
        <f t="shared" si="8"/>
        <v>990</v>
      </c>
      <c r="U15" s="461">
        <f t="shared" si="5"/>
        <v>841.5</v>
      </c>
      <c r="V15" s="462" t="e">
        <f>IF(B15&lt;11,MIN((S15/VLOOKUP(B15,'Sales Pacing'!$A$23:$E$36,2)),T15),"Too early")</f>
        <v>#N/A</v>
      </c>
      <c r="W15" s="522" t="e">
        <f t="shared" si="9"/>
        <v>#N/A</v>
      </c>
      <c r="X15" s="463" t="e">
        <f t="shared" ref="X15:X29" si="20">IF(V15="Too early","Too early",V15/U15)</f>
        <v>#N/A</v>
      </c>
      <c r="Y15" s="467">
        <f>31125+1209</f>
        <v>32334</v>
      </c>
      <c r="Z15" s="465">
        <v>16667</v>
      </c>
      <c r="AA15" s="473">
        <f t="shared" si="10"/>
        <v>1.9400011999760005</v>
      </c>
      <c r="AB15" s="29" t="e">
        <f t="shared" ref="AB15:AB29" si="21">IF($V15="Too early",V15,V15*AH15/Z15)</f>
        <v>#N/A</v>
      </c>
      <c r="AC15" s="466">
        <v>443</v>
      </c>
      <c r="AD15" s="467">
        <v>30329</v>
      </c>
      <c r="AE15" s="465">
        <v>33333</v>
      </c>
      <c r="AF15" s="29">
        <f t="shared" si="11"/>
        <v>0.90987909879098794</v>
      </c>
      <c r="AG15" s="468">
        <v>1433</v>
      </c>
      <c r="AH15" s="30">
        <f t="shared" ref="AH15:AH46" si="22">Y15/S15</f>
        <v>50.521875000000001</v>
      </c>
      <c r="AI15" s="469">
        <v>13</v>
      </c>
      <c r="AJ15" s="469">
        <v>370</v>
      </c>
      <c r="AK15" s="469">
        <v>383</v>
      </c>
      <c r="AL15" s="470">
        <v>47640</v>
      </c>
      <c r="AM15" s="471">
        <f t="shared" ref="AM15:AM29" si="23">L15-AL15</f>
        <v>15023</v>
      </c>
    </row>
    <row r="16" spans="1:41" s="141" customFormat="1" ht="14.25" customHeight="1">
      <c r="A16" s="141">
        <v>6</v>
      </c>
      <c r="B16" s="141">
        <f t="shared" si="6"/>
        <v>-3</v>
      </c>
      <c r="C16" s="142">
        <v>45936</v>
      </c>
      <c r="D16" s="141" t="s">
        <v>64</v>
      </c>
      <c r="G16" s="142">
        <v>45941.833333333336</v>
      </c>
      <c r="H16" s="141" t="s">
        <v>65</v>
      </c>
      <c r="I16" s="439">
        <v>0.85</v>
      </c>
      <c r="J16" s="29">
        <f t="shared" si="0"/>
        <v>0.78157711095603633</v>
      </c>
      <c r="K16" s="35">
        <f t="shared" si="15"/>
        <v>1120</v>
      </c>
      <c r="L16" s="37">
        <f t="shared" si="16"/>
        <v>67352.7</v>
      </c>
      <c r="M16" s="30">
        <f t="shared" si="17"/>
        <v>50000</v>
      </c>
      <c r="N16" s="526">
        <f t="shared" si="18"/>
        <v>17352.699999999997</v>
      </c>
      <c r="O16" s="29" t="e">
        <f t="shared" si="19"/>
        <v>#N/A</v>
      </c>
      <c r="P16" s="36" t="e">
        <f t="shared" si="7"/>
        <v>#N/A</v>
      </c>
      <c r="Q16" s="37" t="e">
        <f t="shared" si="13"/>
        <v>#N/A</v>
      </c>
      <c r="R16" s="443" t="e">
        <f t="shared" si="14"/>
        <v>#N/A</v>
      </c>
      <c r="S16" s="466">
        <f>628+28</f>
        <v>656</v>
      </c>
      <c r="T16" s="468">
        <f t="shared" si="8"/>
        <v>969</v>
      </c>
      <c r="U16" s="461">
        <f t="shared" si="5"/>
        <v>823.65</v>
      </c>
      <c r="V16" s="462" t="e">
        <f>IF(B16&lt;11,MIN((S16/VLOOKUP(B16,'Sales Pacing'!$A$23:$E$36,2)),T16),"Too early")</f>
        <v>#N/A</v>
      </c>
      <c r="W16" s="522" t="e">
        <f t="shared" si="9"/>
        <v>#N/A</v>
      </c>
      <c r="X16" s="463" t="e">
        <f t="shared" si="20"/>
        <v>#N/A</v>
      </c>
      <c r="Y16" s="467">
        <f>32749+1801</f>
        <v>34550</v>
      </c>
      <c r="Z16" s="465">
        <v>16667</v>
      </c>
      <c r="AA16" s="473">
        <f t="shared" si="10"/>
        <v>2.0729585408291835</v>
      </c>
      <c r="AB16" s="29" t="e">
        <f t="shared" si="21"/>
        <v>#N/A</v>
      </c>
      <c r="AC16" s="466">
        <v>464</v>
      </c>
      <c r="AD16" s="467">
        <v>32802.699999999997</v>
      </c>
      <c r="AE16" s="465">
        <v>33333</v>
      </c>
      <c r="AF16" s="29">
        <f t="shared" si="11"/>
        <v>0.98409084090840904</v>
      </c>
      <c r="AG16" s="468">
        <v>1433</v>
      </c>
      <c r="AH16" s="30">
        <f t="shared" si="22"/>
        <v>52.667682926829265</v>
      </c>
      <c r="AI16" s="469">
        <v>21</v>
      </c>
      <c r="AJ16" s="469">
        <v>386</v>
      </c>
      <c r="AK16" s="469">
        <v>407</v>
      </c>
      <c r="AL16" s="470">
        <v>55614.1</v>
      </c>
      <c r="AM16" s="471">
        <f t="shared" si="23"/>
        <v>11738.599999999999</v>
      </c>
    </row>
    <row r="17" spans="1:39" s="145" customFormat="1" ht="14.25" customHeight="1">
      <c r="A17" s="145">
        <v>6</v>
      </c>
      <c r="B17" s="145">
        <f t="shared" si="6"/>
        <v>-3</v>
      </c>
      <c r="C17" s="146">
        <v>45936</v>
      </c>
      <c r="D17" s="145" t="s">
        <v>64</v>
      </c>
      <c r="G17" s="146">
        <v>45942.583333333336</v>
      </c>
      <c r="H17" s="145" t="s">
        <v>65</v>
      </c>
      <c r="I17" s="453">
        <v>0.85</v>
      </c>
      <c r="J17" s="527">
        <f t="shared" si="0"/>
        <v>0.86461967899511516</v>
      </c>
      <c r="K17" s="147">
        <f>S17+AC17</f>
        <v>1239</v>
      </c>
      <c r="L17" s="33">
        <f t="shared" si="16"/>
        <v>72775.199999999997</v>
      </c>
      <c r="M17" s="34">
        <f t="shared" si="17"/>
        <v>50000</v>
      </c>
      <c r="N17" s="454">
        <f t="shared" si="18"/>
        <v>22775.199999999997</v>
      </c>
      <c r="O17" s="32" t="e">
        <f t="shared" si="19"/>
        <v>#N/A</v>
      </c>
      <c r="P17" s="31" t="e">
        <f>IF(V17="Too early",V17,V17+AC17)</f>
        <v>#N/A</v>
      </c>
      <c r="Q17" s="33" t="e">
        <f t="shared" si="13"/>
        <v>#N/A</v>
      </c>
      <c r="R17" s="444" t="e">
        <f t="shared" si="14"/>
        <v>#N/A</v>
      </c>
      <c r="S17" s="478">
        <f>708+19</f>
        <v>727</v>
      </c>
      <c r="T17" s="480">
        <f t="shared" si="8"/>
        <v>921</v>
      </c>
      <c r="U17" s="490">
        <f t="shared" si="5"/>
        <v>782.85</v>
      </c>
      <c r="V17" s="491" t="e">
        <f>IF(B17&lt;11,MIN((S17/VLOOKUP(B17,'Sales Pacing'!$A$23:$E$36,2)),T17),"Too early")</f>
        <v>#N/A</v>
      </c>
      <c r="W17" s="524" t="e">
        <f t="shared" si="9"/>
        <v>#N/A</v>
      </c>
      <c r="X17" s="492" t="e">
        <f t="shared" si="20"/>
        <v>#N/A</v>
      </c>
      <c r="Y17" s="479">
        <f>37234+1325</f>
        <v>38559</v>
      </c>
      <c r="Z17" s="476">
        <v>16666</v>
      </c>
      <c r="AA17" s="477">
        <f t="shared" si="10"/>
        <v>2.3136325453018123</v>
      </c>
      <c r="AB17" s="32" t="e">
        <f t="shared" si="21"/>
        <v>#N/A</v>
      </c>
      <c r="AC17" s="478">
        <v>512</v>
      </c>
      <c r="AD17" s="479">
        <v>34216.199999999997</v>
      </c>
      <c r="AE17" s="476">
        <v>33334</v>
      </c>
      <c r="AF17" s="32">
        <f t="shared" si="11"/>
        <v>1.026465470690586</v>
      </c>
      <c r="AG17" s="480">
        <v>1433</v>
      </c>
      <c r="AH17" s="34">
        <f t="shared" si="22"/>
        <v>53.038514442916096</v>
      </c>
      <c r="AI17" s="481">
        <v>17</v>
      </c>
      <c r="AJ17" s="481">
        <v>455</v>
      </c>
      <c r="AK17" s="481">
        <v>472</v>
      </c>
      <c r="AL17" s="493">
        <v>57932.6</v>
      </c>
      <c r="AM17" s="471">
        <f t="shared" si="23"/>
        <v>14842.599999999999</v>
      </c>
    </row>
    <row r="18" spans="1:39" s="141" customFormat="1" ht="14.25" customHeight="1">
      <c r="A18" s="141">
        <v>7</v>
      </c>
      <c r="B18" s="141">
        <f t="shared" si="6"/>
        <v>-2</v>
      </c>
      <c r="C18" s="142">
        <v>45943</v>
      </c>
      <c r="D18" s="141" t="s">
        <v>66</v>
      </c>
      <c r="G18" s="142">
        <v>45947.791666666664</v>
      </c>
      <c r="H18" s="141" t="s">
        <v>67</v>
      </c>
      <c r="I18" s="439">
        <v>0.85</v>
      </c>
      <c r="J18" s="29">
        <f t="shared" si="0"/>
        <v>0.87034277198211629</v>
      </c>
      <c r="K18" s="260">
        <f t="shared" si="15"/>
        <v>1168</v>
      </c>
      <c r="L18" s="37">
        <f t="shared" si="16"/>
        <v>87476</v>
      </c>
      <c r="M18" s="30">
        <f t="shared" si="17"/>
        <v>103497</v>
      </c>
      <c r="N18" s="429">
        <f t="shared" si="18"/>
        <v>-16021</v>
      </c>
      <c r="O18" s="29" t="e">
        <f t="shared" si="19"/>
        <v>#N/A</v>
      </c>
      <c r="P18" s="36" t="e">
        <f t="shared" si="7"/>
        <v>#N/A</v>
      </c>
      <c r="Q18" s="37" t="e">
        <f t="shared" si="13"/>
        <v>#N/A</v>
      </c>
      <c r="R18" s="443" t="e">
        <f t="shared" si="14"/>
        <v>#N/A</v>
      </c>
      <c r="S18" s="460">
        <f>1162+6</f>
        <v>1168</v>
      </c>
      <c r="T18" s="461">
        <f t="shared" si="8"/>
        <v>1342</v>
      </c>
      <c r="U18" s="461">
        <f t="shared" si="5"/>
        <v>1140.7</v>
      </c>
      <c r="V18" s="462" t="e">
        <f>IF(B18&lt;11,MIN((S18/VLOOKUP(B18,'Sales Pacing'!$A$23:$E$36,2)),T18),"Too early")</f>
        <v>#N/A</v>
      </c>
      <c r="W18" s="522" t="e">
        <f t="shared" si="9"/>
        <v>#N/A</v>
      </c>
      <c r="X18" s="463" t="e">
        <f t="shared" si="20"/>
        <v>#N/A</v>
      </c>
      <c r="Y18" s="467">
        <f>87153+323</f>
        <v>87476</v>
      </c>
      <c r="Z18" s="465">
        <v>103497</v>
      </c>
      <c r="AA18" s="473">
        <f t="shared" si="10"/>
        <v>0.84520324260606583</v>
      </c>
      <c r="AB18" s="29" t="e">
        <f t="shared" si="21"/>
        <v>#N/A</v>
      </c>
      <c r="AC18" s="466"/>
      <c r="AD18" s="467"/>
      <c r="AE18" s="465"/>
      <c r="AF18" s="29" t="str">
        <f t="shared" si="11"/>
        <v/>
      </c>
      <c r="AG18" s="468">
        <v>1342</v>
      </c>
      <c r="AH18" s="30">
        <f t="shared" si="22"/>
        <v>74.893835616438352</v>
      </c>
      <c r="AI18" s="469">
        <v>51</v>
      </c>
      <c r="AJ18" s="469">
        <v>179</v>
      </c>
      <c r="AK18" s="469">
        <v>230</v>
      </c>
      <c r="AL18" s="470">
        <v>48750</v>
      </c>
      <c r="AM18" s="471">
        <f t="shared" si="23"/>
        <v>38726</v>
      </c>
    </row>
    <row r="19" spans="1:39" s="141" customFormat="1" ht="14.25" customHeight="1">
      <c r="A19" s="141">
        <v>7</v>
      </c>
      <c r="B19" s="141">
        <f t="shared" si="6"/>
        <v>-2</v>
      </c>
      <c r="C19" s="142">
        <v>45943</v>
      </c>
      <c r="D19" s="141" t="s">
        <v>66</v>
      </c>
      <c r="G19" s="142">
        <v>45948.791666666664</v>
      </c>
      <c r="H19" s="141" t="s">
        <v>67</v>
      </c>
      <c r="I19" s="439">
        <v>0.85</v>
      </c>
      <c r="J19" s="29">
        <f t="shared" si="0"/>
        <v>0.95380029806259314</v>
      </c>
      <c r="K19" s="260">
        <f t="shared" si="15"/>
        <v>1280</v>
      </c>
      <c r="L19" s="37">
        <f t="shared" si="16"/>
        <v>97657</v>
      </c>
      <c r="M19" s="30">
        <f t="shared" si="17"/>
        <v>103497</v>
      </c>
      <c r="N19" s="429">
        <f t="shared" si="18"/>
        <v>-5840</v>
      </c>
      <c r="O19" s="29" t="e">
        <f t="shared" si="19"/>
        <v>#N/A</v>
      </c>
      <c r="P19" s="36" t="e">
        <f t="shared" si="7"/>
        <v>#N/A</v>
      </c>
      <c r="Q19" s="37" t="e">
        <f t="shared" si="13"/>
        <v>#N/A</v>
      </c>
      <c r="R19" s="443" t="e">
        <f t="shared" si="14"/>
        <v>#N/A</v>
      </c>
      <c r="S19" s="460">
        <f>1268+12</f>
        <v>1280</v>
      </c>
      <c r="T19" s="461">
        <f t="shared" si="8"/>
        <v>1342</v>
      </c>
      <c r="U19" s="461">
        <f t="shared" si="5"/>
        <v>1140.7</v>
      </c>
      <c r="V19" s="462" t="e">
        <f>IF(B19&lt;11,MIN((S19/VLOOKUP(B19,'Sales Pacing'!$A$23:$E$36,2)),T19),"Too early")</f>
        <v>#N/A</v>
      </c>
      <c r="W19" s="522" t="e">
        <f t="shared" si="9"/>
        <v>#N/A</v>
      </c>
      <c r="X19" s="463" t="e">
        <f t="shared" si="20"/>
        <v>#N/A</v>
      </c>
      <c r="Y19" s="467">
        <f>96649+1008</f>
        <v>97657</v>
      </c>
      <c r="Z19" s="465">
        <v>103497</v>
      </c>
      <c r="AA19" s="473">
        <f t="shared" si="10"/>
        <v>0.94357324366889861</v>
      </c>
      <c r="AB19" s="29" t="e">
        <f t="shared" si="21"/>
        <v>#N/A</v>
      </c>
      <c r="AC19" s="466"/>
      <c r="AD19" s="467"/>
      <c r="AE19" s="465"/>
      <c r="AF19" s="29" t="str">
        <f t="shared" si="11"/>
        <v/>
      </c>
      <c r="AG19" s="468">
        <v>1342</v>
      </c>
      <c r="AH19" s="30">
        <f t="shared" si="22"/>
        <v>76.294531250000006</v>
      </c>
      <c r="AI19" s="469">
        <v>74</v>
      </c>
      <c r="AJ19" s="469">
        <v>184</v>
      </c>
      <c r="AK19" s="469">
        <v>258</v>
      </c>
      <c r="AL19" s="470">
        <v>60628</v>
      </c>
      <c r="AM19" s="471">
        <f t="shared" si="23"/>
        <v>37029</v>
      </c>
    </row>
    <row r="20" spans="1:39" s="145" customFormat="1" ht="14.25" customHeight="1">
      <c r="A20" s="145">
        <v>7</v>
      </c>
      <c r="B20" s="145">
        <f t="shared" si="6"/>
        <v>-2</v>
      </c>
      <c r="C20" s="146">
        <v>45943</v>
      </c>
      <c r="D20" s="145" t="s">
        <v>66</v>
      </c>
      <c r="G20" s="146">
        <v>45949.583333333336</v>
      </c>
      <c r="H20" s="145" t="s">
        <v>67</v>
      </c>
      <c r="I20" s="453">
        <v>0.85</v>
      </c>
      <c r="J20" s="32">
        <f t="shared" si="0"/>
        <v>0.74217585692995525</v>
      </c>
      <c r="K20" s="261">
        <f t="shared" si="15"/>
        <v>996</v>
      </c>
      <c r="L20" s="33">
        <f t="shared" si="16"/>
        <v>78145</v>
      </c>
      <c r="M20" s="34">
        <f t="shared" si="17"/>
        <v>103496</v>
      </c>
      <c r="N20" s="431">
        <f t="shared" si="18"/>
        <v>-25351</v>
      </c>
      <c r="O20" s="32" t="e">
        <f t="shared" si="19"/>
        <v>#N/A</v>
      </c>
      <c r="P20" s="31" t="e">
        <f t="shared" si="7"/>
        <v>#N/A</v>
      </c>
      <c r="Q20" s="33" t="e">
        <f t="shared" si="13"/>
        <v>#N/A</v>
      </c>
      <c r="R20" s="444" t="e">
        <f t="shared" si="14"/>
        <v>#N/A</v>
      </c>
      <c r="S20" s="474">
        <f>982+14</f>
        <v>996</v>
      </c>
      <c r="T20" s="490">
        <f t="shared" si="8"/>
        <v>1342</v>
      </c>
      <c r="U20" s="490">
        <f t="shared" si="5"/>
        <v>1140.7</v>
      </c>
      <c r="V20" s="491" t="e">
        <f>IF(B20&lt;11,MIN((S20/VLOOKUP(B20,'Sales Pacing'!$A$23:$E$36,2)),T20),"Too early")</f>
        <v>#N/A</v>
      </c>
      <c r="W20" s="524" t="e">
        <f t="shared" si="9"/>
        <v>#N/A</v>
      </c>
      <c r="X20" s="492" t="e">
        <f t="shared" si="20"/>
        <v>#N/A</v>
      </c>
      <c r="Y20" s="479">
        <f>77074+1071</f>
        <v>78145</v>
      </c>
      <c r="Z20" s="476">
        <v>103496</v>
      </c>
      <c r="AA20" s="477">
        <f t="shared" si="10"/>
        <v>0.75505333539460462</v>
      </c>
      <c r="AB20" s="32" t="e">
        <f t="shared" si="21"/>
        <v>#N/A</v>
      </c>
      <c r="AC20" s="478"/>
      <c r="AD20" s="479"/>
      <c r="AE20" s="476"/>
      <c r="AF20" s="32" t="str">
        <f t="shared" si="11"/>
        <v/>
      </c>
      <c r="AG20" s="480">
        <v>1342</v>
      </c>
      <c r="AH20" s="34">
        <f t="shared" si="22"/>
        <v>78.458835341365457</v>
      </c>
      <c r="AI20" s="481">
        <v>38</v>
      </c>
      <c r="AJ20" s="481">
        <v>149</v>
      </c>
      <c r="AK20" s="481">
        <v>187</v>
      </c>
      <c r="AL20" s="493">
        <v>44494</v>
      </c>
      <c r="AM20" s="471">
        <f t="shared" si="23"/>
        <v>33651</v>
      </c>
    </row>
    <row r="21" spans="1:39" s="141" customFormat="1" ht="14.25" customHeight="1">
      <c r="A21" s="141">
        <v>8</v>
      </c>
      <c r="B21" s="141">
        <f t="shared" si="6"/>
        <v>-1</v>
      </c>
      <c r="C21" s="142">
        <v>45950</v>
      </c>
      <c r="D21" s="141" t="s">
        <v>68</v>
      </c>
      <c r="G21" s="142">
        <v>45952.791666666664</v>
      </c>
      <c r="H21" s="141" t="s">
        <v>67</v>
      </c>
      <c r="I21" s="453">
        <v>0.5</v>
      </c>
      <c r="J21" s="32">
        <f t="shared" si="0"/>
        <v>0.28092399403874813</v>
      </c>
      <c r="K21" s="35">
        <f t="shared" si="15"/>
        <v>377</v>
      </c>
      <c r="L21" s="37">
        <f t="shared" si="16"/>
        <v>19285</v>
      </c>
      <c r="M21" s="30">
        <f t="shared" si="17"/>
        <v>50000</v>
      </c>
      <c r="N21" s="429">
        <f t="shared" si="18"/>
        <v>-30715</v>
      </c>
      <c r="O21" s="452" t="e">
        <f t="shared" si="19"/>
        <v>#N/A</v>
      </c>
      <c r="P21" s="36" t="e">
        <f t="shared" si="7"/>
        <v>#N/A</v>
      </c>
      <c r="Q21" s="37" t="e">
        <f t="shared" si="13"/>
        <v>#N/A</v>
      </c>
      <c r="R21" s="443" t="e">
        <f t="shared" si="14"/>
        <v>#N/A</v>
      </c>
      <c r="S21" s="466">
        <f>375+2</f>
        <v>377</v>
      </c>
      <c r="T21" s="480">
        <f t="shared" si="8"/>
        <v>1342</v>
      </c>
      <c r="U21" s="490">
        <f t="shared" si="5"/>
        <v>671</v>
      </c>
      <c r="V21" s="462" t="e">
        <f>IF(B21&lt;11,MIN((S21/VLOOKUP(B21,'Sales Pacing'!$A$23:$E$36,2)),T21),"Too early")</f>
        <v>#N/A</v>
      </c>
      <c r="W21" s="524" t="e">
        <f t="shared" si="9"/>
        <v>#N/A</v>
      </c>
      <c r="X21" s="492" t="e">
        <f t="shared" si="20"/>
        <v>#N/A</v>
      </c>
      <c r="Y21" s="467">
        <v>19285</v>
      </c>
      <c r="Z21" s="465">
        <v>50000</v>
      </c>
      <c r="AA21" s="473">
        <f t="shared" si="10"/>
        <v>0.38569999999999999</v>
      </c>
      <c r="AB21" s="29" t="e">
        <f t="shared" si="21"/>
        <v>#N/A</v>
      </c>
      <c r="AC21" s="466"/>
      <c r="AD21" s="467"/>
      <c r="AE21" s="465"/>
      <c r="AF21" s="29" t="str">
        <f t="shared" si="11"/>
        <v/>
      </c>
      <c r="AG21" s="468">
        <v>1342</v>
      </c>
      <c r="AH21" s="30">
        <f t="shared" si="22"/>
        <v>51.153846153846153</v>
      </c>
      <c r="AI21" s="469">
        <v>5</v>
      </c>
      <c r="AJ21" s="469">
        <v>78</v>
      </c>
      <c r="AK21" s="469">
        <v>83</v>
      </c>
      <c r="AL21" s="470">
        <v>10588</v>
      </c>
      <c r="AM21" s="471">
        <f t="shared" si="23"/>
        <v>8697</v>
      </c>
    </row>
    <row r="22" spans="1:39" s="177" customFormat="1" ht="14.25" customHeight="1">
      <c r="A22" s="177">
        <v>8</v>
      </c>
      <c r="B22" s="177">
        <f t="shared" si="6"/>
        <v>-1</v>
      </c>
      <c r="C22" s="178">
        <v>45950</v>
      </c>
      <c r="D22" s="177" t="s">
        <v>69</v>
      </c>
      <c r="G22" s="178">
        <v>45954.833333333336</v>
      </c>
      <c r="H22" s="177" t="s">
        <v>60</v>
      </c>
      <c r="I22" s="439">
        <v>0.85</v>
      </c>
      <c r="J22" s="29">
        <f t="shared" si="0"/>
        <v>0.57026858213616494</v>
      </c>
      <c r="K22" s="179">
        <f t="shared" si="15"/>
        <v>913</v>
      </c>
      <c r="L22" s="182">
        <f t="shared" si="16"/>
        <v>63970</v>
      </c>
      <c r="M22" s="183">
        <f t="shared" si="17"/>
        <v>92333</v>
      </c>
      <c r="N22" s="433">
        <f t="shared" si="18"/>
        <v>-28363</v>
      </c>
      <c r="O22" s="181" t="e">
        <f t="shared" si="19"/>
        <v>#N/A</v>
      </c>
      <c r="P22" s="180" t="e">
        <f t="shared" si="7"/>
        <v>#N/A</v>
      </c>
      <c r="Q22" s="182" t="e">
        <f t="shared" si="13"/>
        <v>#N/A</v>
      </c>
      <c r="R22" s="446" t="e">
        <f t="shared" si="14"/>
        <v>#N/A</v>
      </c>
      <c r="S22" s="496">
        <f>271+6</f>
        <v>277</v>
      </c>
      <c r="T22" s="461">
        <f t="shared" si="8"/>
        <v>965</v>
      </c>
      <c r="U22" s="461">
        <f t="shared" si="5"/>
        <v>820.25</v>
      </c>
      <c r="V22" s="497" t="e">
        <f>IF(B22&lt;11,MIN((S22/VLOOKUP(B22,'Sales Pacing'!$A$23:$E$36,2)),T22),"Too early")</f>
        <v>#N/A</v>
      </c>
      <c r="W22" s="522" t="e">
        <f t="shared" si="9"/>
        <v>#N/A</v>
      </c>
      <c r="X22" s="463" t="e">
        <f t="shared" si="20"/>
        <v>#N/A</v>
      </c>
      <c r="Y22" s="498">
        <f>16908+370</f>
        <v>17278</v>
      </c>
      <c r="Z22" s="499">
        <v>53333</v>
      </c>
      <c r="AA22" s="500">
        <f t="shared" si="10"/>
        <v>0.32396452477827986</v>
      </c>
      <c r="AB22" s="181" t="e">
        <f t="shared" si="21"/>
        <v>#N/A</v>
      </c>
      <c r="AC22" s="501">
        <v>636</v>
      </c>
      <c r="AD22" s="498">
        <v>46692</v>
      </c>
      <c r="AE22" s="499">
        <v>39000</v>
      </c>
      <c r="AF22" s="181">
        <f t="shared" si="11"/>
        <v>1.1972307692307693</v>
      </c>
      <c r="AG22" s="502">
        <v>1601</v>
      </c>
      <c r="AH22" s="183">
        <f t="shared" si="22"/>
        <v>62.375451263537904</v>
      </c>
      <c r="AI22" s="503">
        <v>7</v>
      </c>
      <c r="AJ22" s="503">
        <v>350</v>
      </c>
      <c r="AK22" s="503">
        <v>357</v>
      </c>
      <c r="AL22" s="504">
        <v>57609.1</v>
      </c>
      <c r="AM22" s="471">
        <f t="shared" si="23"/>
        <v>6360.9000000000015</v>
      </c>
    </row>
    <row r="23" spans="1:39" s="141" customFormat="1" ht="14.25" customHeight="1">
      <c r="A23" s="141">
        <v>8</v>
      </c>
      <c r="B23" s="141">
        <f t="shared" si="6"/>
        <v>-1</v>
      </c>
      <c r="C23" s="142">
        <v>45950</v>
      </c>
      <c r="D23" s="141" t="s">
        <v>69</v>
      </c>
      <c r="G23" s="142">
        <v>45955.833333333336</v>
      </c>
      <c r="H23" s="141" t="s">
        <v>60</v>
      </c>
      <c r="I23" s="439">
        <v>0.85</v>
      </c>
      <c r="J23" s="29">
        <f t="shared" si="0"/>
        <v>0.64022485946283569</v>
      </c>
      <c r="K23" s="35">
        <f t="shared" si="15"/>
        <v>1025</v>
      </c>
      <c r="L23" s="37">
        <f t="shared" si="16"/>
        <v>63357</v>
      </c>
      <c r="M23" s="30">
        <f t="shared" si="17"/>
        <v>92333</v>
      </c>
      <c r="N23" s="429">
        <f t="shared" si="18"/>
        <v>-28976</v>
      </c>
      <c r="O23" s="29" t="e">
        <f t="shared" si="19"/>
        <v>#N/A</v>
      </c>
      <c r="P23" s="36" t="e">
        <f t="shared" si="7"/>
        <v>#N/A</v>
      </c>
      <c r="Q23" s="37" t="e">
        <f t="shared" si="13"/>
        <v>#N/A</v>
      </c>
      <c r="R23" s="443" t="e">
        <f t="shared" si="14"/>
        <v>#N/A</v>
      </c>
      <c r="S23" s="460">
        <f>488+3</f>
        <v>491</v>
      </c>
      <c r="T23" s="461">
        <f t="shared" si="8"/>
        <v>1067</v>
      </c>
      <c r="U23" s="461">
        <f t="shared" si="5"/>
        <v>906.94999999999993</v>
      </c>
      <c r="V23" s="462" t="e">
        <f>IF(B23&lt;11,MIN((S23/VLOOKUP(B23,'Sales Pacing'!$A$23:$E$36,2)),T23),"Too early")</f>
        <v>#N/A</v>
      </c>
      <c r="W23" s="522" t="e">
        <f t="shared" si="9"/>
        <v>#N/A</v>
      </c>
      <c r="X23" s="463" t="e">
        <f t="shared" si="20"/>
        <v>#N/A</v>
      </c>
      <c r="Y23" s="467">
        <f>24042+217</f>
        <v>24259</v>
      </c>
      <c r="Z23" s="465">
        <v>53333</v>
      </c>
      <c r="AA23" s="473">
        <f t="shared" si="10"/>
        <v>0.45485909286933041</v>
      </c>
      <c r="AB23" s="29" t="e">
        <f t="shared" si="21"/>
        <v>#N/A</v>
      </c>
      <c r="AC23" s="466">
        <v>534</v>
      </c>
      <c r="AD23" s="467">
        <v>39098</v>
      </c>
      <c r="AE23" s="465">
        <v>39000</v>
      </c>
      <c r="AF23" s="29">
        <f t="shared" si="11"/>
        <v>1.0025128205128204</v>
      </c>
      <c r="AG23" s="468">
        <v>1601</v>
      </c>
      <c r="AH23" s="30">
        <f t="shared" si="22"/>
        <v>49.407331975560083</v>
      </c>
      <c r="AI23" s="469">
        <v>11</v>
      </c>
      <c r="AJ23" s="469">
        <v>320</v>
      </c>
      <c r="AK23" s="469">
        <v>311</v>
      </c>
      <c r="AL23" s="470">
        <v>52382.8</v>
      </c>
      <c r="AM23" s="471">
        <f t="shared" si="23"/>
        <v>10974.199999999997</v>
      </c>
    </row>
    <row r="24" spans="1:39" s="145" customFormat="1" ht="14.25" customHeight="1">
      <c r="A24" s="145">
        <v>8</v>
      </c>
      <c r="B24" s="145">
        <f t="shared" si="6"/>
        <v>-1</v>
      </c>
      <c r="C24" s="146">
        <v>45950</v>
      </c>
      <c r="D24" s="311" t="s">
        <v>69</v>
      </c>
      <c r="G24" s="146">
        <v>45956.583333333336</v>
      </c>
      <c r="H24" s="145" t="s">
        <v>60</v>
      </c>
      <c r="I24" s="453">
        <v>0.85</v>
      </c>
      <c r="J24" s="32">
        <f t="shared" si="0"/>
        <v>0.53216739537788882</v>
      </c>
      <c r="K24" s="147">
        <f t="shared" si="15"/>
        <v>852</v>
      </c>
      <c r="L24" s="33">
        <f t="shared" si="16"/>
        <v>44080</v>
      </c>
      <c r="M24" s="34">
        <f t="shared" si="17"/>
        <v>92334</v>
      </c>
      <c r="N24" s="431">
        <f t="shared" si="18"/>
        <v>-48254</v>
      </c>
      <c r="O24" s="32" t="e">
        <f t="shared" si="19"/>
        <v>#N/A</v>
      </c>
      <c r="P24" s="31" t="e">
        <f t="shared" si="7"/>
        <v>#N/A</v>
      </c>
      <c r="Q24" s="33" t="e">
        <f t="shared" si="13"/>
        <v>#N/A</v>
      </c>
      <c r="R24" s="444" t="e">
        <f t="shared" si="14"/>
        <v>#N/A</v>
      </c>
      <c r="S24" s="474">
        <f>515+4</f>
        <v>519</v>
      </c>
      <c r="T24" s="490">
        <f t="shared" si="8"/>
        <v>1268</v>
      </c>
      <c r="U24" s="490">
        <f t="shared" si="5"/>
        <v>1077.8</v>
      </c>
      <c r="V24" s="491" t="e">
        <f>IF(B24&lt;11,MIN((S24/VLOOKUP(B24,'Sales Pacing'!$A$23:$E$36,2)),T24),"Too early")</f>
        <v>#N/A</v>
      </c>
      <c r="W24" s="524" t="e">
        <f t="shared" si="9"/>
        <v>#N/A</v>
      </c>
      <c r="X24" s="492" t="e">
        <f t="shared" si="20"/>
        <v>#N/A</v>
      </c>
      <c r="Y24" s="479">
        <f>20477+360</f>
        <v>20837</v>
      </c>
      <c r="Z24" s="476">
        <v>53334</v>
      </c>
      <c r="AA24" s="477">
        <f t="shared" si="10"/>
        <v>0.39068886638917011</v>
      </c>
      <c r="AB24" s="32" t="e">
        <f t="shared" si="21"/>
        <v>#N/A</v>
      </c>
      <c r="AC24" s="478">
        <v>333</v>
      </c>
      <c r="AD24" s="479">
        <v>23243</v>
      </c>
      <c r="AE24" s="476">
        <v>39000</v>
      </c>
      <c r="AF24" s="32">
        <f t="shared" si="11"/>
        <v>0.59597435897435902</v>
      </c>
      <c r="AG24" s="480">
        <v>1601</v>
      </c>
      <c r="AH24" s="34">
        <f t="shared" si="22"/>
        <v>40.148362235067438</v>
      </c>
      <c r="AI24" s="481">
        <v>6</v>
      </c>
      <c r="AJ24" s="481">
        <v>209</v>
      </c>
      <c r="AK24" s="481">
        <v>203</v>
      </c>
      <c r="AL24" s="493">
        <v>31818.5</v>
      </c>
      <c r="AM24" s="471">
        <f t="shared" si="23"/>
        <v>12261.5</v>
      </c>
    </row>
    <row r="25" spans="1:39" s="141" customFormat="1" ht="14.25" customHeight="1">
      <c r="A25" s="141">
        <v>9</v>
      </c>
      <c r="B25" s="141">
        <f t="shared" si="6"/>
        <v>0</v>
      </c>
      <c r="C25" s="142">
        <v>45957</v>
      </c>
      <c r="D25" s="141" t="s">
        <v>70</v>
      </c>
      <c r="G25" s="142">
        <v>45959.833333333336</v>
      </c>
      <c r="H25" s="141" t="s">
        <v>71</v>
      </c>
      <c r="I25" s="439">
        <v>0.85</v>
      </c>
      <c r="J25" s="29">
        <f t="shared" si="0"/>
        <v>0.38</v>
      </c>
      <c r="K25" s="35">
        <f t="shared" si="15"/>
        <v>38</v>
      </c>
      <c r="L25" s="37">
        <f t="shared" ref="L25:L56" si="24">Y25+AD25</f>
        <v>4620</v>
      </c>
      <c r="M25" s="30">
        <v>11200</v>
      </c>
      <c r="N25" s="429">
        <f t="shared" si="18"/>
        <v>-6580</v>
      </c>
      <c r="O25" s="29">
        <f t="shared" si="19"/>
        <v>0.38</v>
      </c>
      <c r="P25" s="36">
        <f t="shared" si="7"/>
        <v>38</v>
      </c>
      <c r="Q25" s="37">
        <f t="shared" si="13"/>
        <v>4620</v>
      </c>
      <c r="R25" s="443">
        <f t="shared" si="14"/>
        <v>-6580</v>
      </c>
      <c r="S25" s="466">
        <v>38</v>
      </c>
      <c r="T25" s="468">
        <f t="shared" si="8"/>
        <v>100</v>
      </c>
      <c r="U25" s="461">
        <f t="shared" si="5"/>
        <v>85</v>
      </c>
      <c r="V25" s="462">
        <f>IF(B25&lt;11,MIN((S25/VLOOKUP(B25,'Sales Pacing'!$A$23:$E$36,2)),T25),"Too early")</f>
        <v>38</v>
      </c>
      <c r="W25" s="522">
        <f t="shared" si="9"/>
        <v>4620</v>
      </c>
      <c r="X25" s="463">
        <f t="shared" si="20"/>
        <v>0.44705882352941179</v>
      </c>
      <c r="Y25" s="467">
        <v>4620</v>
      </c>
      <c r="Z25" s="465">
        <v>11200</v>
      </c>
      <c r="AA25" s="473">
        <f t="shared" si="10"/>
        <v>0.41249999999999998</v>
      </c>
      <c r="AB25" s="29">
        <f t="shared" si="21"/>
        <v>0.41249999999999998</v>
      </c>
      <c r="AC25" s="466"/>
      <c r="AD25" s="467"/>
      <c r="AE25" s="465"/>
      <c r="AF25" s="29" t="str">
        <f t="shared" si="11"/>
        <v/>
      </c>
      <c r="AG25" s="468">
        <v>100</v>
      </c>
      <c r="AH25" s="30">
        <f t="shared" si="22"/>
        <v>121.57894736842105</v>
      </c>
      <c r="AI25" s="469">
        <v>0</v>
      </c>
      <c r="AJ25" s="469">
        <v>11</v>
      </c>
      <c r="AK25" s="469">
        <v>11</v>
      </c>
      <c r="AL25" s="470">
        <v>2800</v>
      </c>
      <c r="AM25" s="471">
        <f t="shared" si="23"/>
        <v>1820</v>
      </c>
    </row>
    <row r="26" spans="1:39" s="141" customFormat="1" ht="14.25" customHeight="1">
      <c r="A26" s="141">
        <v>9</v>
      </c>
      <c r="B26" s="141">
        <f t="shared" si="6"/>
        <v>0</v>
      </c>
      <c r="C26" s="175">
        <v>45957</v>
      </c>
      <c r="D26" s="176" t="s">
        <v>72</v>
      </c>
      <c r="E26" s="176"/>
      <c r="F26" s="176"/>
      <c r="G26" s="175">
        <v>45961.833333333336</v>
      </c>
      <c r="H26" s="176" t="s">
        <v>65</v>
      </c>
      <c r="I26" s="439">
        <v>0.5</v>
      </c>
      <c r="J26" s="29">
        <f t="shared" si="0"/>
        <v>0.44</v>
      </c>
      <c r="K26" s="35">
        <f t="shared" si="15"/>
        <v>638</v>
      </c>
      <c r="L26" s="37">
        <f t="shared" si="24"/>
        <v>37062</v>
      </c>
      <c r="M26" s="30">
        <f t="shared" ref="M26:M64" si="25">Z26+AE26</f>
        <v>52000</v>
      </c>
      <c r="N26" s="429">
        <f t="shared" si="18"/>
        <v>-14938</v>
      </c>
      <c r="O26" s="450">
        <f t="shared" si="19"/>
        <v>0.44</v>
      </c>
      <c r="P26" s="36">
        <f t="shared" si="7"/>
        <v>638</v>
      </c>
      <c r="Q26" s="37">
        <f t="shared" si="13"/>
        <v>37062</v>
      </c>
      <c r="R26" s="443">
        <f t="shared" si="14"/>
        <v>-14938</v>
      </c>
      <c r="S26" s="466">
        <f>316+14</f>
        <v>330</v>
      </c>
      <c r="T26" s="468">
        <f t="shared" si="8"/>
        <v>1142</v>
      </c>
      <c r="U26" s="461">
        <f t="shared" si="5"/>
        <v>571</v>
      </c>
      <c r="V26" s="462">
        <f>IF(B26&lt;11,MIN((S26/VLOOKUP(B26,'Sales Pacing'!$A$23:$E$36,2)),T26),"Too early")</f>
        <v>330</v>
      </c>
      <c r="W26" s="522">
        <f t="shared" si="9"/>
        <v>15733</v>
      </c>
      <c r="X26" s="463">
        <f t="shared" si="20"/>
        <v>0.57793345008756569</v>
      </c>
      <c r="Y26" s="467">
        <f>14842+891</f>
        <v>15733</v>
      </c>
      <c r="Z26" s="465">
        <v>22000</v>
      </c>
      <c r="AA26" s="473">
        <f t="shared" si="10"/>
        <v>0.71513636363636368</v>
      </c>
      <c r="AB26" s="29">
        <f t="shared" si="21"/>
        <v>0.71513636363636357</v>
      </c>
      <c r="AC26" s="466">
        <v>308</v>
      </c>
      <c r="AD26" s="467">
        <v>21329</v>
      </c>
      <c r="AE26" s="465">
        <v>30000</v>
      </c>
      <c r="AF26" s="29">
        <f t="shared" si="11"/>
        <v>0.71096666666666664</v>
      </c>
      <c r="AG26" s="468">
        <v>1450</v>
      </c>
      <c r="AH26" s="30">
        <f t="shared" si="22"/>
        <v>47.675757575757572</v>
      </c>
      <c r="AI26" s="469">
        <v>10</v>
      </c>
      <c r="AJ26" s="469">
        <v>222</v>
      </c>
      <c r="AK26" s="469">
        <v>232</v>
      </c>
      <c r="AL26" s="470">
        <v>30757</v>
      </c>
      <c r="AM26" s="471">
        <f t="shared" si="23"/>
        <v>6305</v>
      </c>
    </row>
    <row r="27" spans="1:39" s="141" customFormat="1" ht="14.25" customHeight="1">
      <c r="A27" s="141">
        <v>9</v>
      </c>
      <c r="B27" s="141">
        <f t="shared" si="6"/>
        <v>0</v>
      </c>
      <c r="C27" s="142">
        <v>45957</v>
      </c>
      <c r="D27" s="141" t="s">
        <v>72</v>
      </c>
      <c r="G27" s="142">
        <v>45962.833333333336</v>
      </c>
      <c r="H27" s="141" t="s">
        <v>65</v>
      </c>
      <c r="I27" s="439">
        <v>0.85</v>
      </c>
      <c r="J27" s="29">
        <f t="shared" si="0"/>
        <v>0.90965517241379312</v>
      </c>
      <c r="K27" s="35">
        <f t="shared" si="15"/>
        <v>1319</v>
      </c>
      <c r="L27" s="37">
        <f t="shared" si="24"/>
        <v>77243</v>
      </c>
      <c r="M27" s="30">
        <f t="shared" si="25"/>
        <v>86500</v>
      </c>
      <c r="N27" s="429">
        <f t="shared" si="18"/>
        <v>-9257</v>
      </c>
      <c r="O27" s="29">
        <f t="shared" si="19"/>
        <v>0.90965517241379312</v>
      </c>
      <c r="P27" s="36">
        <f t="shared" si="7"/>
        <v>1319</v>
      </c>
      <c r="Q27" s="37">
        <f t="shared" si="13"/>
        <v>77243</v>
      </c>
      <c r="R27" s="443">
        <f t="shared" si="14"/>
        <v>-9257</v>
      </c>
      <c r="S27" s="466">
        <f>790+22</f>
        <v>812</v>
      </c>
      <c r="T27" s="468">
        <f t="shared" si="8"/>
        <v>943</v>
      </c>
      <c r="U27" s="461">
        <f t="shared" si="5"/>
        <v>801.55</v>
      </c>
      <c r="V27" s="462">
        <f>IF(B27&lt;11,MIN((S27/VLOOKUP(B27,'Sales Pacing'!$A$23:$E$36,2)),T27),"Too early")</f>
        <v>812</v>
      </c>
      <c r="W27" s="522">
        <f t="shared" si="9"/>
        <v>43676</v>
      </c>
      <c r="X27" s="463">
        <f t="shared" si="20"/>
        <v>1.0130372403468282</v>
      </c>
      <c r="Y27" s="467">
        <f>42354+1322</f>
        <v>43676</v>
      </c>
      <c r="Z27" s="465">
        <v>31500</v>
      </c>
      <c r="AA27" s="473">
        <f t="shared" si="10"/>
        <v>1.3865396825396825</v>
      </c>
      <c r="AB27" s="29">
        <f t="shared" si="21"/>
        <v>1.3865396825396825</v>
      </c>
      <c r="AC27" s="466">
        <v>507</v>
      </c>
      <c r="AD27" s="467">
        <v>33567</v>
      </c>
      <c r="AE27" s="465">
        <v>55000</v>
      </c>
      <c r="AF27" s="29">
        <f t="shared" si="11"/>
        <v>0.61030909090909091</v>
      </c>
      <c r="AG27" s="468">
        <v>1450</v>
      </c>
      <c r="AH27" s="30">
        <f t="shared" si="22"/>
        <v>53.78817733990148</v>
      </c>
      <c r="AI27" s="469">
        <v>26</v>
      </c>
      <c r="AJ27" s="469">
        <v>397</v>
      </c>
      <c r="AK27" s="469">
        <v>423</v>
      </c>
      <c r="AL27" s="470">
        <v>57693</v>
      </c>
      <c r="AM27" s="471">
        <f t="shared" si="23"/>
        <v>19550</v>
      </c>
    </row>
    <row r="28" spans="1:39" s="145" customFormat="1" ht="14.25" customHeight="1">
      <c r="A28" s="145">
        <v>9</v>
      </c>
      <c r="B28" s="145">
        <f t="shared" si="6"/>
        <v>0</v>
      </c>
      <c r="C28" s="146">
        <v>45957</v>
      </c>
      <c r="D28" s="145" t="s">
        <v>72</v>
      </c>
      <c r="G28" s="146">
        <v>45963.583333333336</v>
      </c>
      <c r="H28" s="145" t="s">
        <v>65</v>
      </c>
      <c r="I28" s="453">
        <v>0.85</v>
      </c>
      <c r="J28" s="32">
        <f t="shared" si="0"/>
        <v>0.77862068965517239</v>
      </c>
      <c r="K28" s="147">
        <f t="shared" si="15"/>
        <v>1129</v>
      </c>
      <c r="L28" s="33">
        <f t="shared" si="24"/>
        <v>68813</v>
      </c>
      <c r="M28" s="34">
        <f t="shared" si="25"/>
        <v>86500</v>
      </c>
      <c r="N28" s="431">
        <f t="shared" si="18"/>
        <v>-17687</v>
      </c>
      <c r="O28" s="32">
        <f t="shared" si="19"/>
        <v>0.77862068965517239</v>
      </c>
      <c r="P28" s="31">
        <f t="shared" si="7"/>
        <v>1129</v>
      </c>
      <c r="Q28" s="33">
        <f t="shared" si="13"/>
        <v>68813</v>
      </c>
      <c r="R28" s="444">
        <f t="shared" si="14"/>
        <v>-17687</v>
      </c>
      <c r="S28" s="478">
        <f>568+25</f>
        <v>593</v>
      </c>
      <c r="T28" s="480">
        <f t="shared" si="8"/>
        <v>914</v>
      </c>
      <c r="U28" s="490">
        <f t="shared" si="5"/>
        <v>776.9</v>
      </c>
      <c r="V28" s="491">
        <f>IF(B28&lt;11,MIN((S28/VLOOKUP(B28,'Sales Pacing'!$A$23:$E$36,2)),T28),"Too early")</f>
        <v>593</v>
      </c>
      <c r="W28" s="524">
        <f t="shared" si="9"/>
        <v>34069</v>
      </c>
      <c r="X28" s="492">
        <f t="shared" si="20"/>
        <v>0.7632899987128331</v>
      </c>
      <c r="Y28" s="479">
        <f>32590+1479</f>
        <v>34069</v>
      </c>
      <c r="Z28" s="476">
        <v>31500</v>
      </c>
      <c r="AA28" s="477">
        <f t="shared" si="10"/>
        <v>1.0815555555555556</v>
      </c>
      <c r="AB28" s="32">
        <f t="shared" si="21"/>
        <v>1.0815555555555556</v>
      </c>
      <c r="AC28" s="478">
        <v>536</v>
      </c>
      <c r="AD28" s="479">
        <v>34744</v>
      </c>
      <c r="AE28" s="476">
        <v>55000</v>
      </c>
      <c r="AF28" s="32">
        <f t="shared" si="11"/>
        <v>0.63170909090909089</v>
      </c>
      <c r="AG28" s="480">
        <v>1450</v>
      </c>
      <c r="AH28" s="34">
        <f t="shared" si="22"/>
        <v>57.451939291736927</v>
      </c>
      <c r="AI28" s="481">
        <v>17</v>
      </c>
      <c r="AJ28" s="481">
        <v>407</v>
      </c>
      <c r="AK28" s="481">
        <v>424</v>
      </c>
      <c r="AL28" s="493">
        <v>51432.1</v>
      </c>
      <c r="AM28" s="471">
        <f t="shared" si="23"/>
        <v>17380.900000000001</v>
      </c>
    </row>
    <row r="29" spans="1:39" s="145" customFormat="1" ht="14.25" customHeight="1">
      <c r="A29" s="145">
        <v>10</v>
      </c>
      <c r="B29" s="145">
        <f t="shared" si="6"/>
        <v>1</v>
      </c>
      <c r="C29" s="146">
        <v>45964</v>
      </c>
      <c r="D29" s="145" t="s">
        <v>73</v>
      </c>
      <c r="G29" s="146">
        <v>45970.583333333336</v>
      </c>
      <c r="H29" s="145" t="s">
        <v>62</v>
      </c>
      <c r="I29" s="439">
        <v>0.5</v>
      </c>
      <c r="J29" s="29">
        <f t="shared" si="0"/>
        <v>0.42391304347826086</v>
      </c>
      <c r="K29" s="147">
        <f t="shared" si="15"/>
        <v>585</v>
      </c>
      <c r="L29" s="33">
        <f t="shared" si="24"/>
        <v>15626</v>
      </c>
      <c r="M29" s="34">
        <f t="shared" si="25"/>
        <v>19500</v>
      </c>
      <c r="N29" s="431">
        <f t="shared" si="18"/>
        <v>-3874</v>
      </c>
      <c r="O29" s="451">
        <f t="shared" si="19"/>
        <v>0.55282485875706211</v>
      </c>
      <c r="P29" s="31">
        <f t="shared" si="7"/>
        <v>762.89830508474574</v>
      </c>
      <c r="Q29" s="33">
        <f t="shared" si="13"/>
        <v>21207.5593220339</v>
      </c>
      <c r="R29" s="444">
        <f t="shared" si="14"/>
        <v>1707.5593220338997</v>
      </c>
      <c r="S29" s="478">
        <f>252+4</f>
        <v>256</v>
      </c>
      <c r="T29" s="468">
        <f t="shared" si="8"/>
        <v>1051</v>
      </c>
      <c r="U29" s="461">
        <f t="shared" si="5"/>
        <v>525.5</v>
      </c>
      <c r="V29" s="491">
        <f>IF(B29&lt;11,MIN((S29/VLOOKUP(B29,'Sales Pacing'!$A$23:$E$36,2)),T29),"Too early")</f>
        <v>433.8983050847458</v>
      </c>
      <c r="W29" s="522">
        <f t="shared" si="9"/>
        <v>13613.5593220339</v>
      </c>
      <c r="X29" s="463">
        <f t="shared" si="20"/>
        <v>0.82568659388153343</v>
      </c>
      <c r="Y29" s="479">
        <f>7888+144</f>
        <v>8032</v>
      </c>
      <c r="Z29" s="476">
        <v>10000</v>
      </c>
      <c r="AA29" s="477">
        <f t="shared" si="10"/>
        <v>0.80320000000000003</v>
      </c>
      <c r="AB29" s="32">
        <f t="shared" si="21"/>
        <v>1.3613559322033899</v>
      </c>
      <c r="AC29" s="478">
        <v>329</v>
      </c>
      <c r="AD29" s="479">
        <v>7594</v>
      </c>
      <c r="AE29" s="476">
        <v>9500</v>
      </c>
      <c r="AF29" s="32">
        <f t="shared" si="11"/>
        <v>0.79936842105263162</v>
      </c>
      <c r="AG29" s="480">
        <v>1380</v>
      </c>
      <c r="AH29" s="34">
        <f t="shared" si="22"/>
        <v>31.375</v>
      </c>
      <c r="AI29" s="481">
        <v>9</v>
      </c>
      <c r="AJ29" s="481">
        <v>103</v>
      </c>
      <c r="AK29" s="481">
        <v>112</v>
      </c>
      <c r="AL29" s="493">
        <v>10703</v>
      </c>
      <c r="AM29" s="471">
        <f t="shared" si="23"/>
        <v>4923</v>
      </c>
    </row>
    <row r="30" spans="1:39" s="184" customFormat="1" ht="14.25" customHeight="1">
      <c r="A30" s="184">
        <v>11</v>
      </c>
      <c r="B30" s="184">
        <f t="shared" si="6"/>
        <v>2</v>
      </c>
      <c r="C30" s="185">
        <v>45971</v>
      </c>
      <c r="D30" s="184" t="s">
        <v>74</v>
      </c>
      <c r="G30" s="194"/>
      <c r="H30" s="195"/>
      <c r="I30" s="442"/>
      <c r="J30" s="198" t="e">
        <f t="shared" si="0"/>
        <v>#DIV/0!</v>
      </c>
      <c r="K30" s="196">
        <f t="shared" si="15"/>
        <v>0</v>
      </c>
      <c r="L30" s="199">
        <f t="shared" si="24"/>
        <v>0</v>
      </c>
      <c r="M30" s="200">
        <f t="shared" si="25"/>
        <v>0</v>
      </c>
      <c r="N30" s="430"/>
      <c r="O30" s="198"/>
      <c r="P30" s="197">
        <f t="shared" si="7"/>
        <v>0</v>
      </c>
      <c r="Q30" s="199" t="e">
        <f t="shared" si="13"/>
        <v>#DIV/0!</v>
      </c>
      <c r="R30" s="445" t="e">
        <f t="shared" si="14"/>
        <v>#DIV/0!</v>
      </c>
      <c r="S30" s="482"/>
      <c r="T30" s="482">
        <f t="shared" si="8"/>
        <v>0</v>
      </c>
      <c r="U30" s="482">
        <f t="shared" si="5"/>
        <v>0</v>
      </c>
      <c r="V30" s="483">
        <f>IF(B30&lt;7,(S30/VLOOKUP(B30,'Sales Pacing'!$A$23:$E$36,2)),"Too early")</f>
        <v>0</v>
      </c>
      <c r="W30" s="523" t="e">
        <f t="shared" si="9"/>
        <v>#DIV/0!</v>
      </c>
      <c r="X30" s="483"/>
      <c r="Y30" s="484"/>
      <c r="Z30" s="484"/>
      <c r="AA30" s="485" t="str">
        <f t="shared" si="10"/>
        <v/>
      </c>
      <c r="AB30" s="198"/>
      <c r="AC30" s="482"/>
      <c r="AD30" s="484"/>
      <c r="AE30" s="484"/>
      <c r="AF30" s="198" t="s">
        <v>58</v>
      </c>
      <c r="AG30" s="482"/>
      <c r="AH30" s="200" t="e">
        <f t="shared" si="22"/>
        <v>#DIV/0!</v>
      </c>
      <c r="AI30" s="486"/>
      <c r="AJ30" s="486"/>
      <c r="AK30" s="486"/>
      <c r="AL30" s="487">
        <v>0</v>
      </c>
      <c r="AM30" s="294"/>
    </row>
    <row r="31" spans="1:39" s="141" customFormat="1" ht="14.25" customHeight="1">
      <c r="A31" s="141">
        <v>12</v>
      </c>
      <c r="B31" s="141">
        <f t="shared" si="6"/>
        <v>3</v>
      </c>
      <c r="C31" s="175">
        <v>45978</v>
      </c>
      <c r="D31" s="176" t="s">
        <v>75</v>
      </c>
      <c r="E31" s="176"/>
      <c r="F31" s="176"/>
      <c r="G31" s="175">
        <v>45982.833333333336</v>
      </c>
      <c r="H31" s="176" t="s">
        <v>65</v>
      </c>
      <c r="I31" s="439">
        <v>0.5</v>
      </c>
      <c r="J31" s="29">
        <f t="shared" si="0"/>
        <v>0.33416303671437458</v>
      </c>
      <c r="K31" s="35">
        <f t="shared" si="15"/>
        <v>537</v>
      </c>
      <c r="L31" s="37">
        <f t="shared" si="24"/>
        <v>34142</v>
      </c>
      <c r="M31" s="30">
        <f t="shared" si="25"/>
        <v>40000</v>
      </c>
      <c r="N31" s="429">
        <f t="shared" ref="N31:N50" si="26">L31-M31</f>
        <v>-5858</v>
      </c>
      <c r="O31" s="452">
        <f t="shared" ref="O31:O50" si="27">IF(P31="Too early",P31,P31/AG31)</f>
        <v>0.50935809678809052</v>
      </c>
      <c r="P31" s="36">
        <f t="shared" si="7"/>
        <v>818.53846153846155</v>
      </c>
      <c r="Q31" s="37">
        <f t="shared" si="13"/>
        <v>48775.743589743593</v>
      </c>
      <c r="R31" s="443">
        <f t="shared" si="14"/>
        <v>8775.7435897435935</v>
      </c>
      <c r="S31" s="460">
        <f>167+13</f>
        <v>180</v>
      </c>
      <c r="T31" s="461">
        <f t="shared" si="8"/>
        <v>1250</v>
      </c>
      <c r="U31" s="461">
        <f t="shared" si="5"/>
        <v>625</v>
      </c>
      <c r="V31" s="462">
        <f>IF(B31&lt;11,MIN((S31/VLOOKUP(B31,'Sales Pacing'!$A$23:$E$36,2)),T31),"Too early")</f>
        <v>461.53846153846155</v>
      </c>
      <c r="W31" s="522">
        <f t="shared" si="9"/>
        <v>23989.743589743593</v>
      </c>
      <c r="X31" s="463">
        <f t="shared" ref="X31:X50" si="28">IF(V31="Too early","Too early",V31/U31)</f>
        <v>0.7384615384615385</v>
      </c>
      <c r="Y31" s="467">
        <f>8573+783</f>
        <v>9356</v>
      </c>
      <c r="Z31" s="465">
        <v>15000</v>
      </c>
      <c r="AA31" s="473">
        <f t="shared" si="10"/>
        <v>0.62373333333333336</v>
      </c>
      <c r="AB31" s="29">
        <f t="shared" ref="AB31:AB50" si="29">IF($V31="Too early",V31,V31*AH31/Z31)</f>
        <v>1.5993162393162392</v>
      </c>
      <c r="AC31" s="466">
        <v>357</v>
      </c>
      <c r="AD31" s="467">
        <v>24786</v>
      </c>
      <c r="AE31" s="465">
        <v>25000</v>
      </c>
      <c r="AF31" s="29">
        <f t="shared" si="11"/>
        <v>0.99143999999999999</v>
      </c>
      <c r="AG31" s="468">
        <v>1607</v>
      </c>
      <c r="AH31" s="30">
        <f t="shared" si="22"/>
        <v>51.977777777777774</v>
      </c>
      <c r="AI31" s="469">
        <v>1</v>
      </c>
      <c r="AJ31" s="469">
        <v>221</v>
      </c>
      <c r="AK31" s="469">
        <v>222</v>
      </c>
      <c r="AL31" s="470">
        <v>29114</v>
      </c>
      <c r="AM31" s="471">
        <f t="shared" ref="AM31:AM50" si="30">L31-AL31</f>
        <v>5028</v>
      </c>
    </row>
    <row r="32" spans="1:39" s="141" customFormat="1" ht="14.25" customHeight="1">
      <c r="A32" s="141">
        <v>12</v>
      </c>
      <c r="B32" s="141">
        <f t="shared" si="6"/>
        <v>3</v>
      </c>
      <c r="C32" s="142">
        <v>45978</v>
      </c>
      <c r="D32" s="141" t="s">
        <v>75</v>
      </c>
      <c r="G32" s="142">
        <v>45983.833333333336</v>
      </c>
      <c r="H32" s="141" t="s">
        <v>65</v>
      </c>
      <c r="I32" s="439">
        <v>0.85</v>
      </c>
      <c r="J32" s="29">
        <f t="shared" si="0"/>
        <v>0.5034225264467953</v>
      </c>
      <c r="K32" s="35">
        <f t="shared" si="15"/>
        <v>809</v>
      </c>
      <c r="L32" s="37">
        <f t="shared" si="24"/>
        <v>52590</v>
      </c>
      <c r="M32" s="30">
        <f t="shared" si="25"/>
        <v>66500</v>
      </c>
      <c r="N32" s="429">
        <f t="shared" si="26"/>
        <v>-13910</v>
      </c>
      <c r="O32" s="29">
        <f t="shared" si="27"/>
        <v>0.73214941043192439</v>
      </c>
      <c r="P32" s="36">
        <f t="shared" si="7"/>
        <v>1176.5641025641025</v>
      </c>
      <c r="Q32" s="37">
        <f t="shared" si="13"/>
        <v>73522.384615384624</v>
      </c>
      <c r="R32" s="443">
        <f t="shared" si="14"/>
        <v>7022.3846153846243</v>
      </c>
      <c r="S32" s="460">
        <f>225+10</f>
        <v>235</v>
      </c>
      <c r="T32" s="461">
        <f t="shared" si="8"/>
        <v>1033</v>
      </c>
      <c r="U32" s="461">
        <f t="shared" si="5"/>
        <v>878.05</v>
      </c>
      <c r="V32" s="462">
        <f>IF(B32&lt;11,MIN((S32/VLOOKUP(B32,'Sales Pacing'!$A$23:$E$36,2)),T32),"Too early")</f>
        <v>602.56410256410254</v>
      </c>
      <c r="W32" s="522">
        <f t="shared" si="9"/>
        <v>34315.384615384624</v>
      </c>
      <c r="X32" s="463">
        <f t="shared" si="28"/>
        <v>0.68625260812493882</v>
      </c>
      <c r="Y32" s="467">
        <f>12689+694</f>
        <v>13383</v>
      </c>
      <c r="Z32" s="465">
        <v>11500</v>
      </c>
      <c r="AA32" s="473">
        <f t="shared" si="10"/>
        <v>1.1637391304347826</v>
      </c>
      <c r="AB32" s="29">
        <f t="shared" si="29"/>
        <v>2.9839464882943147</v>
      </c>
      <c r="AC32" s="466">
        <v>574</v>
      </c>
      <c r="AD32" s="467">
        <v>39207</v>
      </c>
      <c r="AE32" s="465">
        <v>55000</v>
      </c>
      <c r="AF32" s="29">
        <f t="shared" si="11"/>
        <v>0.71285454545454541</v>
      </c>
      <c r="AG32" s="468">
        <v>1607</v>
      </c>
      <c r="AH32" s="30">
        <f t="shared" si="22"/>
        <v>56.948936170212768</v>
      </c>
      <c r="AI32" s="469">
        <v>4</v>
      </c>
      <c r="AJ32" s="469">
        <v>347</v>
      </c>
      <c r="AK32" s="469">
        <v>351</v>
      </c>
      <c r="AL32" s="470">
        <v>47477.9</v>
      </c>
      <c r="AM32" s="471">
        <f t="shared" si="30"/>
        <v>5112.0999999999985</v>
      </c>
    </row>
    <row r="33" spans="1:39" s="145" customFormat="1" ht="14.25" customHeight="1">
      <c r="A33" s="145">
        <v>12</v>
      </c>
      <c r="B33" s="145">
        <f t="shared" si="6"/>
        <v>3</v>
      </c>
      <c r="C33" s="146">
        <v>45978</v>
      </c>
      <c r="D33" s="145" t="s">
        <v>75</v>
      </c>
      <c r="G33" s="146">
        <v>45984.583333333336</v>
      </c>
      <c r="H33" s="145" t="s">
        <v>65</v>
      </c>
      <c r="I33" s="453">
        <v>0.85</v>
      </c>
      <c r="J33" s="32">
        <f t="shared" si="0"/>
        <v>0.48911014312383322</v>
      </c>
      <c r="K33" s="147">
        <f t="shared" si="15"/>
        <v>786</v>
      </c>
      <c r="L33" s="33">
        <f t="shared" si="24"/>
        <v>50274</v>
      </c>
      <c r="M33" s="34">
        <f t="shared" si="25"/>
        <v>66500</v>
      </c>
      <c r="N33" s="431">
        <f t="shared" si="26"/>
        <v>-16226</v>
      </c>
      <c r="O33" s="32">
        <f t="shared" si="27"/>
        <v>0.67209165031193652</v>
      </c>
      <c r="P33" s="31">
        <f t="shared" si="7"/>
        <v>1080.051282051282</v>
      </c>
      <c r="Q33" s="33">
        <f t="shared" si="13"/>
        <v>68447.307692307688</v>
      </c>
      <c r="R33" s="444">
        <f t="shared" si="14"/>
        <v>1947.3076923076878</v>
      </c>
      <c r="S33" s="474">
        <f>172+16</f>
        <v>188</v>
      </c>
      <c r="T33" s="490">
        <f t="shared" si="8"/>
        <v>1009</v>
      </c>
      <c r="U33" s="490">
        <f t="shared" si="5"/>
        <v>857.65</v>
      </c>
      <c r="V33" s="491">
        <f>IF(B33&lt;11,MIN((S33/VLOOKUP(B33,'Sales Pacing'!$A$23:$E$36,2)),T33),"Too early")</f>
        <v>482.05128205128204</v>
      </c>
      <c r="W33" s="524">
        <f t="shared" si="9"/>
        <v>29792.307692307688</v>
      </c>
      <c r="X33" s="492">
        <f t="shared" si="28"/>
        <v>0.56206060986565853</v>
      </c>
      <c r="Y33" s="479">
        <f>10778+841</f>
        <v>11619</v>
      </c>
      <c r="Z33" s="476">
        <v>11500</v>
      </c>
      <c r="AA33" s="477">
        <f t="shared" si="10"/>
        <v>1.0103478260869565</v>
      </c>
      <c r="AB33" s="32">
        <f t="shared" si="29"/>
        <v>2.5906354515050167</v>
      </c>
      <c r="AC33" s="478">
        <v>598</v>
      </c>
      <c r="AD33" s="479">
        <v>38655</v>
      </c>
      <c r="AE33" s="476">
        <v>55000</v>
      </c>
      <c r="AF33" s="32">
        <f t="shared" si="11"/>
        <v>0.70281818181818179</v>
      </c>
      <c r="AG33" s="480">
        <v>1607</v>
      </c>
      <c r="AH33" s="34">
        <f t="shared" si="22"/>
        <v>61.803191489361701</v>
      </c>
      <c r="AI33" s="481">
        <v>3</v>
      </c>
      <c r="AJ33" s="481">
        <v>391</v>
      </c>
      <c r="AK33" s="481">
        <v>394</v>
      </c>
      <c r="AL33" s="493">
        <v>46613.2</v>
      </c>
      <c r="AM33" s="471">
        <f t="shared" si="30"/>
        <v>3660.8000000000029</v>
      </c>
    </row>
    <row r="34" spans="1:39" s="141" customFormat="1" ht="15.95">
      <c r="A34" s="141">
        <v>13</v>
      </c>
      <c r="B34" s="141">
        <f t="shared" si="6"/>
        <v>4</v>
      </c>
      <c r="C34" s="142">
        <v>45985</v>
      </c>
      <c r="D34" s="141" t="s">
        <v>76</v>
      </c>
      <c r="G34" s="142">
        <v>45989.791666666664</v>
      </c>
      <c r="H34" s="141" t="s">
        <v>67</v>
      </c>
      <c r="I34" s="439">
        <v>0.85</v>
      </c>
      <c r="J34" s="29">
        <f t="shared" si="0"/>
        <v>0.57603686635944695</v>
      </c>
      <c r="K34" s="260">
        <f t="shared" si="15"/>
        <v>750</v>
      </c>
      <c r="L34" s="37">
        <f t="shared" si="24"/>
        <v>52612</v>
      </c>
      <c r="M34" s="30">
        <f t="shared" si="25"/>
        <v>107500</v>
      </c>
      <c r="N34" s="429">
        <f t="shared" si="26"/>
        <v>-54888</v>
      </c>
      <c r="O34" s="29">
        <f t="shared" si="27"/>
        <v>1</v>
      </c>
      <c r="P34" s="36">
        <f t="shared" si="7"/>
        <v>1302</v>
      </c>
      <c r="Q34" s="37">
        <f t="shared" si="13"/>
        <v>91334.432000000001</v>
      </c>
      <c r="R34" s="443">
        <f t="shared" si="14"/>
        <v>-16165.567999999999</v>
      </c>
      <c r="S34" s="460">
        <f>746+4</f>
        <v>750</v>
      </c>
      <c r="T34" s="461">
        <f t="shared" si="8"/>
        <v>1302</v>
      </c>
      <c r="U34" s="461">
        <f t="shared" si="5"/>
        <v>1106.7</v>
      </c>
      <c r="V34" s="462">
        <f>IF(B34&lt;11,MIN((S34/VLOOKUP(B34,'Sales Pacing'!$A$23:$E$36,2)),T34),"Too early")</f>
        <v>1302</v>
      </c>
      <c r="W34" s="522">
        <f t="shared" si="9"/>
        <v>91334.432000000001</v>
      </c>
      <c r="X34" s="463">
        <f t="shared" si="28"/>
        <v>1.1764705882352942</v>
      </c>
      <c r="Y34" s="467">
        <f>52269+343</f>
        <v>52612</v>
      </c>
      <c r="Z34" s="465">
        <v>107500</v>
      </c>
      <c r="AA34" s="473">
        <f t="shared" si="10"/>
        <v>0.48941395348837208</v>
      </c>
      <c r="AB34" s="29">
        <f t="shared" si="29"/>
        <v>0.84962262325581395</v>
      </c>
      <c r="AC34" s="466"/>
      <c r="AD34" s="467"/>
      <c r="AE34" s="465"/>
      <c r="AF34" s="29" t="str">
        <f t="shared" si="11"/>
        <v/>
      </c>
      <c r="AG34" s="468">
        <v>1302</v>
      </c>
      <c r="AH34" s="30">
        <f t="shared" si="22"/>
        <v>70.149333333333331</v>
      </c>
      <c r="AI34" s="469">
        <v>17</v>
      </c>
      <c r="AJ34" s="469">
        <v>45</v>
      </c>
      <c r="AK34" s="469">
        <v>62</v>
      </c>
      <c r="AL34" s="470">
        <v>20977.599999999999</v>
      </c>
      <c r="AM34" s="471">
        <f t="shared" si="30"/>
        <v>31634.400000000001</v>
      </c>
    </row>
    <row r="35" spans="1:39" s="141" customFormat="1" ht="15.95">
      <c r="A35" s="141">
        <v>13</v>
      </c>
      <c r="B35" s="141">
        <f t="shared" si="6"/>
        <v>4</v>
      </c>
      <c r="C35" s="142">
        <v>45985</v>
      </c>
      <c r="D35" s="141" t="s">
        <v>76</v>
      </c>
      <c r="G35" s="142">
        <v>45990.541666666664</v>
      </c>
      <c r="H35" s="141" t="s">
        <v>67</v>
      </c>
      <c r="I35" s="439">
        <v>0.85</v>
      </c>
      <c r="J35" s="29">
        <f t="shared" si="0"/>
        <v>0.56912442396313367</v>
      </c>
      <c r="K35" s="260">
        <f t="shared" si="15"/>
        <v>741</v>
      </c>
      <c r="L35" s="37">
        <f t="shared" si="24"/>
        <v>50110</v>
      </c>
      <c r="M35" s="30">
        <f t="shared" si="25"/>
        <v>107500</v>
      </c>
      <c r="N35" s="429">
        <f t="shared" si="26"/>
        <v>-57390</v>
      </c>
      <c r="O35" s="29">
        <f t="shared" si="27"/>
        <v>1</v>
      </c>
      <c r="P35" s="36">
        <f t="shared" si="7"/>
        <v>1302</v>
      </c>
      <c r="Q35" s="37">
        <f t="shared" si="13"/>
        <v>88047.530364372476</v>
      </c>
      <c r="R35" s="443">
        <f t="shared" si="14"/>
        <v>-19452.469635627524</v>
      </c>
      <c r="S35" s="460">
        <f>741</f>
        <v>741</v>
      </c>
      <c r="T35" s="461">
        <f t="shared" si="8"/>
        <v>1302</v>
      </c>
      <c r="U35" s="461">
        <f t="shared" si="5"/>
        <v>1106.7</v>
      </c>
      <c r="V35" s="462">
        <f>IF(B35&lt;11,MIN((S35/VLOOKUP(B35,'Sales Pacing'!$A$23:$E$36,2)),T35),"Too early")</f>
        <v>1302</v>
      </c>
      <c r="W35" s="522">
        <f t="shared" si="9"/>
        <v>88047.530364372476</v>
      </c>
      <c r="X35" s="463">
        <f t="shared" si="28"/>
        <v>1.1764705882352942</v>
      </c>
      <c r="Y35" s="467">
        <v>50110</v>
      </c>
      <c r="Z35" s="465">
        <v>107500</v>
      </c>
      <c r="AA35" s="473">
        <f t="shared" si="10"/>
        <v>0.46613953488372095</v>
      </c>
      <c r="AB35" s="29">
        <f t="shared" si="29"/>
        <v>0.81904679408718584</v>
      </c>
      <c r="AC35" s="466"/>
      <c r="AD35" s="467"/>
      <c r="AE35" s="465"/>
      <c r="AF35" s="29" t="str">
        <f t="shared" si="11"/>
        <v/>
      </c>
      <c r="AG35" s="468">
        <v>1302</v>
      </c>
      <c r="AH35" s="30">
        <f t="shared" si="22"/>
        <v>67.624831309041838</v>
      </c>
      <c r="AI35" s="469">
        <v>22</v>
      </c>
      <c r="AJ35" s="469">
        <v>53</v>
      </c>
      <c r="AK35" s="469">
        <v>75</v>
      </c>
      <c r="AL35" s="470">
        <v>24414.6</v>
      </c>
      <c r="AM35" s="471">
        <f t="shared" si="30"/>
        <v>25695.4</v>
      </c>
    </row>
    <row r="36" spans="1:39" s="141" customFormat="1" ht="15.95">
      <c r="A36" s="141">
        <v>13</v>
      </c>
      <c r="B36" s="141">
        <f t="shared" si="6"/>
        <v>4</v>
      </c>
      <c r="C36" s="142">
        <v>45985</v>
      </c>
      <c r="D36" s="141" t="s">
        <v>76</v>
      </c>
      <c r="G36" s="142">
        <v>45990.791666666664</v>
      </c>
      <c r="H36" s="141" t="s">
        <v>67</v>
      </c>
      <c r="I36" s="439">
        <v>0.85</v>
      </c>
      <c r="J36" s="29">
        <f t="shared" si="0"/>
        <v>0.49692780337941628</v>
      </c>
      <c r="K36" s="260">
        <f t="shared" si="15"/>
        <v>647</v>
      </c>
      <c r="L36" s="37">
        <f t="shared" si="24"/>
        <v>45552</v>
      </c>
      <c r="M36" s="30">
        <f t="shared" si="25"/>
        <v>107500</v>
      </c>
      <c r="N36" s="429">
        <f t="shared" si="26"/>
        <v>-61948</v>
      </c>
      <c r="O36" s="29">
        <f t="shared" si="27"/>
        <v>1</v>
      </c>
      <c r="P36" s="36">
        <f t="shared" si="7"/>
        <v>1302</v>
      </c>
      <c r="Q36" s="37">
        <f t="shared" si="13"/>
        <v>91667.239567233381</v>
      </c>
      <c r="R36" s="443">
        <f t="shared" si="14"/>
        <v>-15832.760432766619</v>
      </c>
      <c r="S36" s="460">
        <v>647</v>
      </c>
      <c r="T36" s="461">
        <f t="shared" si="8"/>
        <v>1302</v>
      </c>
      <c r="U36" s="461">
        <f t="shared" si="5"/>
        <v>1106.7</v>
      </c>
      <c r="V36" s="462">
        <f>IF(B36&lt;11,MIN((S36/VLOOKUP(B36,'Sales Pacing'!$A$23:$E$36,2)),T36),"Too early")</f>
        <v>1302</v>
      </c>
      <c r="W36" s="522">
        <f t="shared" si="9"/>
        <v>91667.239567233381</v>
      </c>
      <c r="X36" s="463">
        <f t="shared" si="28"/>
        <v>1.1764705882352942</v>
      </c>
      <c r="Y36" s="467">
        <v>45552</v>
      </c>
      <c r="Z36" s="465">
        <v>107500</v>
      </c>
      <c r="AA36" s="473">
        <f t="shared" si="10"/>
        <v>0.4237395348837209</v>
      </c>
      <c r="AB36" s="29">
        <f t="shared" si="29"/>
        <v>0.85271850760217094</v>
      </c>
      <c r="AC36" s="466"/>
      <c r="AD36" s="467"/>
      <c r="AE36" s="465"/>
      <c r="AF36" s="29" t="str">
        <f t="shared" si="11"/>
        <v/>
      </c>
      <c r="AG36" s="468">
        <v>1302</v>
      </c>
      <c r="AH36" s="30">
        <f t="shared" si="22"/>
        <v>70.404945904173104</v>
      </c>
      <c r="AI36" s="469">
        <v>12</v>
      </c>
      <c r="AJ36" s="469">
        <v>56</v>
      </c>
      <c r="AK36" s="469">
        <v>68</v>
      </c>
      <c r="AL36" s="470">
        <v>19000</v>
      </c>
      <c r="AM36" s="471">
        <f t="shared" si="30"/>
        <v>26552</v>
      </c>
    </row>
    <row r="37" spans="1:39" s="145" customFormat="1" ht="15.95">
      <c r="A37" s="145">
        <v>13</v>
      </c>
      <c r="B37" s="145">
        <f t="shared" si="6"/>
        <v>4</v>
      </c>
      <c r="C37" s="146">
        <v>45985</v>
      </c>
      <c r="D37" s="145" t="s">
        <v>76</v>
      </c>
      <c r="G37" s="146">
        <v>45991.583333333336</v>
      </c>
      <c r="H37" s="145" t="s">
        <v>67</v>
      </c>
      <c r="I37" s="453">
        <v>0.85</v>
      </c>
      <c r="J37" s="32">
        <f t="shared" si="0"/>
        <v>0.66589861751152069</v>
      </c>
      <c r="K37" s="261">
        <f t="shared" si="15"/>
        <v>867</v>
      </c>
      <c r="L37" s="33">
        <f t="shared" si="24"/>
        <v>60390</v>
      </c>
      <c r="M37" s="34">
        <f t="shared" si="25"/>
        <v>107500</v>
      </c>
      <c r="N37" s="431">
        <f t="shared" si="26"/>
        <v>-47110</v>
      </c>
      <c r="O37" s="32">
        <f t="shared" si="27"/>
        <v>1</v>
      </c>
      <c r="P37" s="31">
        <f t="shared" si="7"/>
        <v>1302</v>
      </c>
      <c r="Q37" s="33">
        <f t="shared" si="13"/>
        <v>90689.480968858144</v>
      </c>
      <c r="R37" s="444">
        <f t="shared" si="14"/>
        <v>-16810.519031141856</v>
      </c>
      <c r="S37" s="474">
        <f>857+10</f>
        <v>867</v>
      </c>
      <c r="T37" s="490">
        <f t="shared" si="8"/>
        <v>1302</v>
      </c>
      <c r="U37" s="490">
        <f t="shared" si="5"/>
        <v>1106.7</v>
      </c>
      <c r="V37" s="491">
        <f>IF(B37&lt;11,MIN((S37/VLOOKUP(B37,'Sales Pacing'!$A$23:$E$36,2)),T37),"Too early")</f>
        <v>1302</v>
      </c>
      <c r="W37" s="524">
        <f t="shared" si="9"/>
        <v>90689.480968858144</v>
      </c>
      <c r="X37" s="492">
        <f t="shared" si="28"/>
        <v>1.1764705882352942</v>
      </c>
      <c r="Y37" s="479">
        <v>60390</v>
      </c>
      <c r="Z37" s="476">
        <v>107500</v>
      </c>
      <c r="AA37" s="477">
        <f t="shared" si="10"/>
        <v>0.56176744186046512</v>
      </c>
      <c r="AB37" s="32">
        <f t="shared" si="29"/>
        <v>0.84362307878007581</v>
      </c>
      <c r="AC37" s="478"/>
      <c r="AD37" s="479"/>
      <c r="AE37" s="476"/>
      <c r="AF37" s="32" t="str">
        <f t="shared" si="11"/>
        <v/>
      </c>
      <c r="AG37" s="480">
        <v>1302</v>
      </c>
      <c r="AH37" s="34">
        <f t="shared" si="22"/>
        <v>69.653979238754332</v>
      </c>
      <c r="AI37" s="481">
        <v>21</v>
      </c>
      <c r="AJ37" s="481">
        <v>88</v>
      </c>
      <c r="AK37" s="481">
        <v>109</v>
      </c>
      <c r="AL37" s="470">
        <v>34569.599999999999</v>
      </c>
      <c r="AM37" s="471">
        <f t="shared" si="30"/>
        <v>25820.400000000001</v>
      </c>
    </row>
    <row r="38" spans="1:39" s="141" customFormat="1" ht="15.95">
      <c r="A38" s="141">
        <v>14</v>
      </c>
      <c r="B38" s="141">
        <f t="shared" si="6"/>
        <v>5</v>
      </c>
      <c r="C38" s="142">
        <v>45992</v>
      </c>
      <c r="D38" s="141" t="s">
        <v>77</v>
      </c>
      <c r="G38" s="142">
        <v>45996.791666666664</v>
      </c>
      <c r="H38" s="141" t="s">
        <v>78</v>
      </c>
      <c r="I38" s="439">
        <v>0.85</v>
      </c>
      <c r="J38" s="29">
        <f t="shared" ref="J38:J69" si="31">K38/AG38</f>
        <v>0.43628808864265928</v>
      </c>
      <c r="K38" s="35">
        <f t="shared" si="15"/>
        <v>630</v>
      </c>
      <c r="L38" s="37">
        <f t="shared" si="24"/>
        <v>33156</v>
      </c>
      <c r="M38" s="30">
        <f t="shared" si="25"/>
        <v>78333</v>
      </c>
      <c r="N38" s="429">
        <f t="shared" si="26"/>
        <v>-45177</v>
      </c>
      <c r="O38" s="29">
        <f t="shared" si="27"/>
        <v>1</v>
      </c>
      <c r="P38" s="36">
        <f t="shared" si="7"/>
        <v>1444</v>
      </c>
      <c r="Q38" s="37">
        <f t="shared" si="13"/>
        <v>75995.657142857133</v>
      </c>
      <c r="R38" s="443">
        <f t="shared" si="14"/>
        <v>-2337.3428571428667</v>
      </c>
      <c r="S38" s="466">
        <f>626+4</f>
        <v>630</v>
      </c>
      <c r="T38" s="468">
        <f t="shared" si="8"/>
        <v>1444</v>
      </c>
      <c r="U38" s="461">
        <f t="shared" ref="U38:U69" si="32">(AG38-AC38)*I38</f>
        <v>1227.3999999999999</v>
      </c>
      <c r="V38" s="462">
        <f>IF(B38&lt;11,MIN((S38/VLOOKUP(B38,'Sales Pacing'!$A$23:$E$36,2)),T38),"Too early")</f>
        <v>1444</v>
      </c>
      <c r="W38" s="522">
        <f t="shared" si="9"/>
        <v>75995.657142857133</v>
      </c>
      <c r="X38" s="463">
        <f t="shared" si="28"/>
        <v>1.1764705882352942</v>
      </c>
      <c r="Y38" s="467">
        <f>32850+306</f>
        <v>33156</v>
      </c>
      <c r="Z38" s="465">
        <v>78333</v>
      </c>
      <c r="AA38" s="473">
        <f t="shared" si="10"/>
        <v>0.42326988625483514</v>
      </c>
      <c r="AB38" s="29">
        <f t="shared" si="29"/>
        <v>0.9701614535745744</v>
      </c>
      <c r="AC38" s="466"/>
      <c r="AD38" s="467"/>
      <c r="AE38" s="465"/>
      <c r="AF38" s="29" t="str">
        <f t="shared" si="11"/>
        <v/>
      </c>
      <c r="AG38" s="468">
        <v>1444</v>
      </c>
      <c r="AH38" s="30">
        <f t="shared" si="22"/>
        <v>52.628571428571426</v>
      </c>
      <c r="AI38" s="469">
        <v>19</v>
      </c>
      <c r="AJ38" s="469">
        <v>86</v>
      </c>
      <c r="AK38" s="469">
        <v>105</v>
      </c>
      <c r="AL38" s="470">
        <v>18853.5</v>
      </c>
      <c r="AM38" s="471">
        <f t="shared" si="30"/>
        <v>14302.5</v>
      </c>
    </row>
    <row r="39" spans="1:39" s="141" customFormat="1" ht="15.95">
      <c r="A39" s="141">
        <v>14</v>
      </c>
      <c r="B39" s="141">
        <f t="shared" si="6"/>
        <v>5</v>
      </c>
      <c r="C39" s="142">
        <v>45992</v>
      </c>
      <c r="D39" s="141" t="s">
        <v>77</v>
      </c>
      <c r="G39" s="142">
        <v>45997.791666666664</v>
      </c>
      <c r="H39" s="141" t="s">
        <v>78</v>
      </c>
      <c r="I39" s="439">
        <v>0.85</v>
      </c>
      <c r="J39" s="29">
        <f t="shared" si="31"/>
        <v>0.46052631578947367</v>
      </c>
      <c r="K39" s="35">
        <f t="shared" si="15"/>
        <v>665</v>
      </c>
      <c r="L39" s="37">
        <f t="shared" si="24"/>
        <v>35973</v>
      </c>
      <c r="M39" s="30">
        <f t="shared" si="25"/>
        <v>78334</v>
      </c>
      <c r="N39" s="429">
        <f t="shared" si="26"/>
        <v>-42361</v>
      </c>
      <c r="O39" s="29">
        <f t="shared" si="27"/>
        <v>1</v>
      </c>
      <c r="P39" s="36">
        <f t="shared" si="7"/>
        <v>1444</v>
      </c>
      <c r="Q39" s="37">
        <f t="shared" si="13"/>
        <v>78112.800000000003</v>
      </c>
      <c r="R39" s="443">
        <f t="shared" si="14"/>
        <v>-221.19999999999709</v>
      </c>
      <c r="S39" s="466">
        <f>656+9</f>
        <v>665</v>
      </c>
      <c r="T39" s="468">
        <f t="shared" si="8"/>
        <v>1444</v>
      </c>
      <c r="U39" s="461">
        <f t="shared" si="32"/>
        <v>1227.3999999999999</v>
      </c>
      <c r="V39" s="462">
        <f>IF(B39&lt;11,MIN((S39/VLOOKUP(B39,'Sales Pacing'!$A$23:$E$36,2)),T39),"Too early")</f>
        <v>1444</v>
      </c>
      <c r="W39" s="522">
        <f t="shared" si="9"/>
        <v>78112.800000000003</v>
      </c>
      <c r="X39" s="463">
        <f t="shared" si="28"/>
        <v>1.1764705882352942</v>
      </c>
      <c r="Y39" s="467">
        <f>35501+472</f>
        <v>35973</v>
      </c>
      <c r="Z39" s="465">
        <v>78334</v>
      </c>
      <c r="AA39" s="473">
        <f t="shared" si="10"/>
        <v>0.45922587892868999</v>
      </c>
      <c r="AB39" s="29">
        <f t="shared" si="29"/>
        <v>0.99717619424515536</v>
      </c>
      <c r="AC39" s="466"/>
      <c r="AD39" s="467"/>
      <c r="AE39" s="465"/>
      <c r="AF39" s="29" t="str">
        <f t="shared" si="11"/>
        <v/>
      </c>
      <c r="AG39" s="468">
        <v>1444</v>
      </c>
      <c r="AH39" s="30">
        <f t="shared" si="22"/>
        <v>54.094736842105263</v>
      </c>
      <c r="AI39" s="469">
        <v>20</v>
      </c>
      <c r="AJ39" s="469">
        <v>95</v>
      </c>
      <c r="AK39" s="469">
        <v>115</v>
      </c>
      <c r="AL39" s="470">
        <v>22001.5</v>
      </c>
      <c r="AM39" s="471">
        <f t="shared" si="30"/>
        <v>13971.5</v>
      </c>
    </row>
    <row r="40" spans="1:39" s="145" customFormat="1" ht="15.95">
      <c r="A40" s="145">
        <v>14</v>
      </c>
      <c r="B40" s="145">
        <f t="shared" si="6"/>
        <v>5</v>
      </c>
      <c r="C40" s="146">
        <v>45992</v>
      </c>
      <c r="D40" s="145" t="s">
        <v>77</v>
      </c>
      <c r="G40" s="146">
        <v>45998.583333333336</v>
      </c>
      <c r="H40" s="145" t="s">
        <v>78</v>
      </c>
      <c r="I40" s="453">
        <v>0.85</v>
      </c>
      <c r="J40" s="32">
        <f t="shared" si="31"/>
        <v>0.49099722991689748</v>
      </c>
      <c r="K40" s="147">
        <f t="shared" si="15"/>
        <v>709</v>
      </c>
      <c r="L40" s="33">
        <f t="shared" si="24"/>
        <v>38151</v>
      </c>
      <c r="M40" s="34">
        <f t="shared" si="25"/>
        <v>78333</v>
      </c>
      <c r="N40" s="431">
        <f t="shared" si="26"/>
        <v>-40182</v>
      </c>
      <c r="O40" s="32">
        <f t="shared" si="27"/>
        <v>1</v>
      </c>
      <c r="P40" s="31">
        <f t="shared" si="7"/>
        <v>1444</v>
      </c>
      <c r="Q40" s="33">
        <f t="shared" si="13"/>
        <v>77701.049365303246</v>
      </c>
      <c r="R40" s="444">
        <f t="shared" si="14"/>
        <v>-631.9506346967537</v>
      </c>
      <c r="S40" s="478">
        <f>695+14</f>
        <v>709</v>
      </c>
      <c r="T40" s="480">
        <f t="shared" si="8"/>
        <v>1444</v>
      </c>
      <c r="U40" s="490">
        <f t="shared" si="32"/>
        <v>1227.3999999999999</v>
      </c>
      <c r="V40" s="491">
        <f>IF(B40&lt;11,MIN((S40/VLOOKUP(B40,'Sales Pacing'!$A$23:$E$36,2)),T40),"Too early")</f>
        <v>1444</v>
      </c>
      <c r="W40" s="524">
        <f t="shared" si="9"/>
        <v>77701.049365303246</v>
      </c>
      <c r="X40" s="492">
        <f t="shared" si="28"/>
        <v>1.1764705882352942</v>
      </c>
      <c r="Y40" s="479">
        <f>37495+656</f>
        <v>38151</v>
      </c>
      <c r="Z40" s="476">
        <v>78333</v>
      </c>
      <c r="AA40" s="477">
        <f t="shared" si="10"/>
        <v>0.48703611504729805</v>
      </c>
      <c r="AB40" s="32">
        <f t="shared" si="29"/>
        <v>0.99193251075923616</v>
      </c>
      <c r="AC40" s="478"/>
      <c r="AD40" s="479"/>
      <c r="AE40" s="476"/>
      <c r="AF40" s="32" t="str">
        <f t="shared" si="11"/>
        <v/>
      </c>
      <c r="AG40" s="480">
        <v>1444</v>
      </c>
      <c r="AH40" s="34">
        <f t="shared" si="22"/>
        <v>53.809590973201693</v>
      </c>
      <c r="AI40" s="481">
        <v>26</v>
      </c>
      <c r="AJ40" s="481">
        <v>105</v>
      </c>
      <c r="AK40" s="481">
        <v>131</v>
      </c>
      <c r="AL40" s="493">
        <v>21652.5</v>
      </c>
      <c r="AM40" s="471">
        <f t="shared" si="30"/>
        <v>16498.5</v>
      </c>
    </row>
    <row r="41" spans="1:39" s="141" customFormat="1" ht="15.95">
      <c r="A41" s="141">
        <v>15</v>
      </c>
      <c r="B41" s="141">
        <f t="shared" si="6"/>
        <v>6</v>
      </c>
      <c r="C41" s="142">
        <v>45999</v>
      </c>
      <c r="D41" s="141" t="s">
        <v>79</v>
      </c>
      <c r="G41" s="142">
        <v>46003.791666666664</v>
      </c>
      <c r="H41" s="141" t="s">
        <v>55</v>
      </c>
      <c r="I41" s="439">
        <v>0.85</v>
      </c>
      <c r="J41" s="29">
        <f t="shared" si="31"/>
        <v>0.78427672955974848</v>
      </c>
      <c r="K41" s="35">
        <f t="shared" si="15"/>
        <v>1247</v>
      </c>
      <c r="L41" s="37">
        <f t="shared" si="24"/>
        <v>125125</v>
      </c>
      <c r="M41" s="30">
        <f t="shared" si="25"/>
        <v>150000</v>
      </c>
      <c r="N41" s="429">
        <f t="shared" si="26"/>
        <v>-24875</v>
      </c>
      <c r="O41" s="29">
        <f t="shared" si="27"/>
        <v>1</v>
      </c>
      <c r="P41" s="36">
        <f t="shared" si="7"/>
        <v>1590</v>
      </c>
      <c r="Q41" s="37">
        <f t="shared" si="13"/>
        <v>159541.90056134723</v>
      </c>
      <c r="R41" s="443">
        <f t="shared" si="14"/>
        <v>9541.9005613472254</v>
      </c>
      <c r="S41" s="466">
        <f>1245+2</f>
        <v>1247</v>
      </c>
      <c r="T41" s="468">
        <f t="shared" si="8"/>
        <v>1590</v>
      </c>
      <c r="U41" s="461">
        <f t="shared" si="32"/>
        <v>1351.5</v>
      </c>
      <c r="V41" s="462">
        <f>IF(B41&lt;11,MIN((S41/VLOOKUP(B41,'Sales Pacing'!$A$23:$E$36,2)),T41),"Too early")</f>
        <v>1590</v>
      </c>
      <c r="W41" s="522">
        <f t="shared" si="9"/>
        <v>159541.90056134723</v>
      </c>
      <c r="X41" s="463">
        <f t="shared" si="28"/>
        <v>1.1764705882352942</v>
      </c>
      <c r="Y41" s="464">
        <f>125125</f>
        <v>125125</v>
      </c>
      <c r="Z41" s="465">
        <v>150000</v>
      </c>
      <c r="AA41" s="473">
        <f t="shared" si="10"/>
        <v>0.83416666666666661</v>
      </c>
      <c r="AB41" s="29">
        <f t="shared" si="29"/>
        <v>1.0636126704089814</v>
      </c>
      <c r="AC41" s="466"/>
      <c r="AD41" s="467"/>
      <c r="AE41" s="465"/>
      <c r="AF41" s="29" t="str">
        <f t="shared" si="11"/>
        <v/>
      </c>
      <c r="AG41" s="468">
        <v>1590</v>
      </c>
      <c r="AH41" s="30">
        <f t="shared" si="22"/>
        <v>100.34081796311146</v>
      </c>
      <c r="AI41" s="469">
        <v>87</v>
      </c>
      <c r="AJ41" s="469">
        <v>264</v>
      </c>
      <c r="AK41" s="469">
        <v>351</v>
      </c>
      <c r="AL41" s="470">
        <v>103427</v>
      </c>
      <c r="AM41" s="471">
        <f t="shared" si="30"/>
        <v>21698</v>
      </c>
    </row>
    <row r="42" spans="1:39" s="145" customFormat="1" ht="15.95">
      <c r="A42" s="145">
        <v>15</v>
      </c>
      <c r="B42" s="145">
        <f t="shared" si="6"/>
        <v>6</v>
      </c>
      <c r="C42" s="146">
        <v>45999</v>
      </c>
      <c r="D42" s="145" t="s">
        <v>79</v>
      </c>
      <c r="G42" s="146">
        <v>46004.791666666664</v>
      </c>
      <c r="H42" s="145" t="s">
        <v>55</v>
      </c>
      <c r="I42" s="453">
        <v>0.85</v>
      </c>
      <c r="J42" s="32">
        <f t="shared" si="31"/>
        <v>0.91006289308176103</v>
      </c>
      <c r="K42" s="147">
        <f t="shared" si="15"/>
        <v>1447</v>
      </c>
      <c r="L42" s="33">
        <f t="shared" si="24"/>
        <v>140904</v>
      </c>
      <c r="M42" s="34">
        <f t="shared" si="25"/>
        <v>150000</v>
      </c>
      <c r="N42" s="431">
        <f t="shared" si="26"/>
        <v>-9096</v>
      </c>
      <c r="O42" s="32">
        <f t="shared" si="27"/>
        <v>1</v>
      </c>
      <c r="P42" s="31">
        <f t="shared" si="7"/>
        <v>1590</v>
      </c>
      <c r="Q42" s="33">
        <f t="shared" si="13"/>
        <v>154828.85970974428</v>
      </c>
      <c r="R42" s="444">
        <f t="shared" si="14"/>
        <v>4828.8597097442835</v>
      </c>
      <c r="S42" s="478">
        <f>1443+4</f>
        <v>1447</v>
      </c>
      <c r="T42" s="480">
        <f t="shared" si="8"/>
        <v>1590</v>
      </c>
      <c r="U42" s="490">
        <f t="shared" si="32"/>
        <v>1351.5</v>
      </c>
      <c r="V42" s="491">
        <f>IF(B42&lt;11,MIN((S42/VLOOKUP(B42,'Sales Pacing'!$A$23:$E$36,2)),T42),"Too early")</f>
        <v>1590</v>
      </c>
      <c r="W42" s="524">
        <f t="shared" si="9"/>
        <v>154828.85970974428</v>
      </c>
      <c r="X42" s="492">
        <f t="shared" si="28"/>
        <v>1.1764705882352942</v>
      </c>
      <c r="Y42" s="475">
        <f>140904</f>
        <v>140904</v>
      </c>
      <c r="Z42" s="476">
        <v>150000</v>
      </c>
      <c r="AA42" s="477">
        <f t="shared" si="10"/>
        <v>0.93935999999999997</v>
      </c>
      <c r="AB42" s="32">
        <f t="shared" si="29"/>
        <v>1.0321923980649619</v>
      </c>
      <c r="AC42" s="478"/>
      <c r="AD42" s="479"/>
      <c r="AE42" s="476"/>
      <c r="AF42" s="32" t="str">
        <f t="shared" si="11"/>
        <v/>
      </c>
      <c r="AG42" s="480">
        <v>1590</v>
      </c>
      <c r="AH42" s="34">
        <f t="shared" si="22"/>
        <v>97.376641326883203</v>
      </c>
      <c r="AI42" s="481">
        <v>128</v>
      </c>
      <c r="AJ42" s="481">
        <v>291</v>
      </c>
      <c r="AK42" s="481">
        <v>419</v>
      </c>
      <c r="AL42" s="470">
        <v>123198</v>
      </c>
      <c r="AM42" s="471">
        <f t="shared" si="30"/>
        <v>17706</v>
      </c>
    </row>
    <row r="43" spans="1:39" s="141" customFormat="1" ht="15.95">
      <c r="A43" s="141">
        <v>16</v>
      </c>
      <c r="B43" s="141">
        <f t="shared" si="6"/>
        <v>7</v>
      </c>
      <c r="C43" s="142">
        <v>46006</v>
      </c>
      <c r="D43" s="141" t="s">
        <v>80</v>
      </c>
      <c r="G43" s="142">
        <v>46009.791666666664</v>
      </c>
      <c r="H43" s="141" t="s">
        <v>78</v>
      </c>
      <c r="I43" s="439">
        <v>0.85</v>
      </c>
      <c r="J43" s="29">
        <f t="shared" si="31"/>
        <v>0.23866015352407538</v>
      </c>
      <c r="K43" s="35">
        <f t="shared" si="15"/>
        <v>342</v>
      </c>
      <c r="L43" s="37">
        <f t="shared" si="24"/>
        <v>20480</v>
      </c>
      <c r="M43" s="30">
        <f t="shared" si="25"/>
        <v>75833</v>
      </c>
      <c r="N43" s="429">
        <f t="shared" si="26"/>
        <v>-55353</v>
      </c>
      <c r="O43" s="29">
        <f t="shared" si="27"/>
        <v>0.994417306350314</v>
      </c>
      <c r="P43" s="36">
        <f t="shared" si="7"/>
        <v>1425</v>
      </c>
      <c r="Q43" s="37">
        <f t="shared" si="13"/>
        <v>85333.333333333328</v>
      </c>
      <c r="R43" s="443">
        <f t="shared" si="14"/>
        <v>9500.3333333333285</v>
      </c>
      <c r="S43" s="466">
        <f>334+8</f>
        <v>342</v>
      </c>
      <c r="T43" s="468">
        <f t="shared" si="8"/>
        <v>1433</v>
      </c>
      <c r="U43" s="461">
        <f t="shared" si="32"/>
        <v>1218.05</v>
      </c>
      <c r="V43" s="462">
        <f>IF(B43&lt;11,MIN((S43/VLOOKUP(B43,'Sales Pacing'!$A$23:$E$36,2)),T43),"Too early")</f>
        <v>1425</v>
      </c>
      <c r="W43" s="522">
        <f t="shared" si="9"/>
        <v>85333.333333333328</v>
      </c>
      <c r="X43" s="463">
        <f t="shared" si="28"/>
        <v>1.1699027133533106</v>
      </c>
      <c r="Y43" s="467">
        <f>20039+441</f>
        <v>20480</v>
      </c>
      <c r="Z43" s="465">
        <v>75833</v>
      </c>
      <c r="AA43" s="473">
        <f t="shared" si="10"/>
        <v>0.27006712117415899</v>
      </c>
      <c r="AB43" s="29">
        <f t="shared" si="29"/>
        <v>1.1252796715589959</v>
      </c>
      <c r="AC43" s="466"/>
      <c r="AD43" s="467"/>
      <c r="AE43" s="465"/>
      <c r="AF43" s="29" t="str">
        <f t="shared" si="11"/>
        <v/>
      </c>
      <c r="AG43" s="468">
        <v>1433</v>
      </c>
      <c r="AH43" s="30">
        <f t="shared" si="22"/>
        <v>59.883040935672511</v>
      </c>
      <c r="AI43" s="469"/>
      <c r="AJ43" s="469"/>
      <c r="AK43" s="469"/>
      <c r="AL43" s="470">
        <v>13189</v>
      </c>
      <c r="AM43" s="471">
        <f t="shared" si="30"/>
        <v>7291</v>
      </c>
    </row>
    <row r="44" spans="1:39" s="141" customFormat="1" ht="15.95">
      <c r="A44" s="141">
        <v>16</v>
      </c>
      <c r="B44" s="141">
        <f t="shared" si="6"/>
        <v>7</v>
      </c>
      <c r="C44" s="142">
        <v>46006</v>
      </c>
      <c r="D44" s="141" t="s">
        <v>80</v>
      </c>
      <c r="G44" s="142">
        <v>46010.791666666664</v>
      </c>
      <c r="H44" s="141" t="s">
        <v>78</v>
      </c>
      <c r="I44" s="439">
        <v>0.85</v>
      </c>
      <c r="J44" s="29">
        <f t="shared" si="31"/>
        <v>0.24424284717376135</v>
      </c>
      <c r="K44" s="35">
        <f t="shared" si="15"/>
        <v>350</v>
      </c>
      <c r="L44" s="37">
        <f t="shared" si="24"/>
        <v>21602</v>
      </c>
      <c r="M44" s="30">
        <f t="shared" si="25"/>
        <v>75833</v>
      </c>
      <c r="N44" s="429">
        <f t="shared" si="26"/>
        <v>-54231</v>
      </c>
      <c r="O44" s="29">
        <f t="shared" si="27"/>
        <v>1</v>
      </c>
      <c r="P44" s="36">
        <f t="shared" si="7"/>
        <v>1433</v>
      </c>
      <c r="Q44" s="37">
        <f t="shared" si="13"/>
        <v>88444.76</v>
      </c>
      <c r="R44" s="443">
        <f t="shared" si="14"/>
        <v>12611.759999999995</v>
      </c>
      <c r="S44" s="466">
        <f>348+2</f>
        <v>350</v>
      </c>
      <c r="T44" s="468">
        <f t="shared" si="8"/>
        <v>1433</v>
      </c>
      <c r="U44" s="461">
        <f t="shared" si="32"/>
        <v>1218.05</v>
      </c>
      <c r="V44" s="462">
        <f>IF(B44&lt;11,MIN((S44/VLOOKUP(B44,'Sales Pacing'!$A$23:$E$36,2)),T44),"Too early")</f>
        <v>1433</v>
      </c>
      <c r="W44" s="522">
        <f t="shared" si="9"/>
        <v>88444.76</v>
      </c>
      <c r="X44" s="463">
        <f t="shared" si="28"/>
        <v>1.1764705882352942</v>
      </c>
      <c r="Y44" s="467">
        <f>21503+99</f>
        <v>21602</v>
      </c>
      <c r="Z44" s="465">
        <v>75833</v>
      </c>
      <c r="AA44" s="473">
        <f t="shared" si="10"/>
        <v>0.28486279060567299</v>
      </c>
      <c r="AB44" s="29">
        <f t="shared" si="29"/>
        <v>1.1663096541083697</v>
      </c>
      <c r="AC44" s="466"/>
      <c r="AD44" s="467"/>
      <c r="AE44" s="465"/>
      <c r="AF44" s="29" t="str">
        <f t="shared" si="11"/>
        <v/>
      </c>
      <c r="AG44" s="468">
        <v>1433</v>
      </c>
      <c r="AH44" s="30">
        <f t="shared" si="22"/>
        <v>61.72</v>
      </c>
      <c r="AI44" s="469"/>
      <c r="AJ44" s="469"/>
      <c r="AK44" s="469"/>
      <c r="AL44" s="470">
        <v>11666.5</v>
      </c>
      <c r="AM44" s="471">
        <f t="shared" si="30"/>
        <v>9935.5</v>
      </c>
    </row>
    <row r="45" spans="1:39" s="141" customFormat="1" ht="15.95">
      <c r="A45" s="141">
        <v>16</v>
      </c>
      <c r="B45" s="141">
        <f t="shared" si="6"/>
        <v>7</v>
      </c>
      <c r="C45" s="142">
        <v>46006</v>
      </c>
      <c r="D45" s="141" t="s">
        <v>80</v>
      </c>
      <c r="G45" s="142">
        <v>46011.541666666664</v>
      </c>
      <c r="H45" s="141" t="s">
        <v>78</v>
      </c>
      <c r="I45" s="439">
        <v>0.85</v>
      </c>
      <c r="J45" s="29">
        <f t="shared" si="31"/>
        <v>0.36775994417306351</v>
      </c>
      <c r="K45" s="35">
        <f t="shared" si="15"/>
        <v>527</v>
      </c>
      <c r="L45" s="37">
        <f t="shared" si="24"/>
        <v>31952</v>
      </c>
      <c r="M45" s="30">
        <f t="shared" si="25"/>
        <v>75833</v>
      </c>
      <c r="N45" s="429">
        <f t="shared" si="26"/>
        <v>-43881</v>
      </c>
      <c r="O45" s="29">
        <f t="shared" si="27"/>
        <v>1</v>
      </c>
      <c r="P45" s="36">
        <f t="shared" si="7"/>
        <v>1433</v>
      </c>
      <c r="Q45" s="37">
        <f t="shared" ref="Q45:Q76" si="33">IF(V45="Too early",V45,AD45+V45*AH45)</f>
        <v>86882.762808349144</v>
      </c>
      <c r="R45" s="443">
        <f t="shared" si="14"/>
        <v>11049.762808349144</v>
      </c>
      <c r="S45" s="466">
        <f>519+8</f>
        <v>527</v>
      </c>
      <c r="T45" s="468">
        <f t="shared" si="8"/>
        <v>1433</v>
      </c>
      <c r="U45" s="461">
        <f t="shared" si="32"/>
        <v>1218.05</v>
      </c>
      <c r="V45" s="462">
        <f>IF(B45&lt;11,MIN((S45/VLOOKUP(B45,'Sales Pacing'!$A$23:$E$36,2)),T45),"Too early")</f>
        <v>1433</v>
      </c>
      <c r="W45" s="522">
        <f t="shared" si="9"/>
        <v>86882.762808349144</v>
      </c>
      <c r="X45" s="463">
        <f t="shared" si="28"/>
        <v>1.1764705882352942</v>
      </c>
      <c r="Y45" s="467">
        <f>31520+432</f>
        <v>31952</v>
      </c>
      <c r="Z45" s="465">
        <v>75833</v>
      </c>
      <c r="AA45" s="473">
        <f t="shared" si="10"/>
        <v>0.4213469070193715</v>
      </c>
      <c r="AB45" s="29">
        <f t="shared" si="29"/>
        <v>1.145711798403718</v>
      </c>
      <c r="AC45" s="466"/>
      <c r="AD45" s="467"/>
      <c r="AE45" s="465"/>
      <c r="AF45" s="29" t="str">
        <f t="shared" si="11"/>
        <v/>
      </c>
      <c r="AG45" s="468">
        <v>1433</v>
      </c>
      <c r="AH45" s="30">
        <f t="shared" si="22"/>
        <v>60.629981024667934</v>
      </c>
      <c r="AI45" s="469"/>
      <c r="AJ45" s="469"/>
      <c r="AK45" s="469"/>
      <c r="AL45" s="470">
        <v>21404.5</v>
      </c>
      <c r="AM45" s="471">
        <f t="shared" si="30"/>
        <v>10547.5</v>
      </c>
    </row>
    <row r="46" spans="1:39" s="141" customFormat="1" ht="15.95">
      <c r="A46" s="141">
        <v>16</v>
      </c>
      <c r="B46" s="141">
        <f t="shared" si="6"/>
        <v>7</v>
      </c>
      <c r="C46" s="142">
        <v>46006</v>
      </c>
      <c r="D46" s="141" t="s">
        <v>80</v>
      </c>
      <c r="G46" s="142">
        <v>46011.791666666664</v>
      </c>
      <c r="H46" s="141" t="s">
        <v>78</v>
      </c>
      <c r="I46" s="439">
        <v>0.85</v>
      </c>
      <c r="J46" s="29">
        <f t="shared" si="31"/>
        <v>0.26099092812281927</v>
      </c>
      <c r="K46" s="35">
        <f t="shared" si="15"/>
        <v>374</v>
      </c>
      <c r="L46" s="37">
        <f t="shared" si="24"/>
        <v>23759</v>
      </c>
      <c r="M46" s="30">
        <f t="shared" si="25"/>
        <v>75833</v>
      </c>
      <c r="N46" s="429">
        <f t="shared" si="26"/>
        <v>-52074</v>
      </c>
      <c r="O46" s="29">
        <f t="shared" si="27"/>
        <v>1</v>
      </c>
      <c r="P46" s="36">
        <f t="shared" si="7"/>
        <v>1433</v>
      </c>
      <c r="Q46" s="37">
        <f t="shared" si="33"/>
        <v>91033.815508021391</v>
      </c>
      <c r="R46" s="443">
        <f t="shared" si="14"/>
        <v>15200.815508021391</v>
      </c>
      <c r="S46" s="466">
        <f>365+9</f>
        <v>374</v>
      </c>
      <c r="T46" s="468">
        <f t="shared" si="8"/>
        <v>1433</v>
      </c>
      <c r="U46" s="461">
        <f t="shared" si="32"/>
        <v>1218.05</v>
      </c>
      <c r="V46" s="462">
        <f>IF(B46&lt;11,MIN((S46/VLOOKUP(B46,'Sales Pacing'!$A$23:$E$36,2)),T46),"Too early")</f>
        <v>1433</v>
      </c>
      <c r="W46" s="522">
        <f t="shared" si="9"/>
        <v>91033.815508021391</v>
      </c>
      <c r="X46" s="463">
        <f t="shared" si="28"/>
        <v>1.1764705882352942</v>
      </c>
      <c r="Y46" s="467">
        <f>23134+625</f>
        <v>23759</v>
      </c>
      <c r="Z46" s="465">
        <v>75833</v>
      </c>
      <c r="AA46" s="473">
        <f t="shared" si="10"/>
        <v>0.31330687167855681</v>
      </c>
      <c r="AB46" s="29">
        <f t="shared" si="29"/>
        <v>1.2004511954956469</v>
      </c>
      <c r="AC46" s="466"/>
      <c r="AD46" s="467"/>
      <c r="AE46" s="465"/>
      <c r="AF46" s="29" t="str">
        <f t="shared" si="11"/>
        <v/>
      </c>
      <c r="AG46" s="468">
        <v>1433</v>
      </c>
      <c r="AH46" s="30">
        <f t="shared" si="22"/>
        <v>63.526737967914436</v>
      </c>
      <c r="AI46" s="469"/>
      <c r="AJ46" s="469"/>
      <c r="AK46" s="469"/>
      <c r="AL46" s="470">
        <v>13817</v>
      </c>
      <c r="AM46" s="471">
        <f t="shared" si="30"/>
        <v>9942</v>
      </c>
    </row>
    <row r="47" spans="1:39" s="141" customFormat="1" ht="15.95">
      <c r="A47" s="141">
        <v>16</v>
      </c>
      <c r="B47" s="141">
        <f t="shared" si="6"/>
        <v>7</v>
      </c>
      <c r="C47" s="142">
        <v>46006</v>
      </c>
      <c r="D47" s="141" t="s">
        <v>80</v>
      </c>
      <c r="G47" s="142">
        <v>46012.583333333336</v>
      </c>
      <c r="H47" s="141" t="s">
        <v>78</v>
      </c>
      <c r="I47" s="439">
        <v>0.85</v>
      </c>
      <c r="J47" s="29">
        <f t="shared" si="31"/>
        <v>0.54501046755059313</v>
      </c>
      <c r="K47" s="35">
        <f t="shared" ref="K47:K78" si="34">S47+AC47</f>
        <v>781</v>
      </c>
      <c r="L47" s="37">
        <f t="shared" si="24"/>
        <v>34319</v>
      </c>
      <c r="M47" s="30">
        <f t="shared" si="25"/>
        <v>88284</v>
      </c>
      <c r="N47" s="429">
        <f t="shared" si="26"/>
        <v>-53965</v>
      </c>
      <c r="O47" s="29">
        <f t="shared" si="27"/>
        <v>1</v>
      </c>
      <c r="P47" s="36">
        <f t="shared" si="7"/>
        <v>1433</v>
      </c>
      <c r="Q47" s="37">
        <f t="shared" si="33"/>
        <v>72225.944206008586</v>
      </c>
      <c r="R47" s="443">
        <f t="shared" si="14"/>
        <v>-16058.055793991414</v>
      </c>
      <c r="S47" s="466">
        <f>457+9</f>
        <v>466</v>
      </c>
      <c r="T47" s="468">
        <f t="shared" si="8"/>
        <v>1118</v>
      </c>
      <c r="U47" s="461">
        <f t="shared" si="32"/>
        <v>950.3</v>
      </c>
      <c r="V47" s="462">
        <f>IF(B47&lt;11,MIN((S47/VLOOKUP(B47,'Sales Pacing'!$A$23:$E$36,2)),T47),"Too early")</f>
        <v>1118</v>
      </c>
      <c r="W47" s="522">
        <f t="shared" si="9"/>
        <v>64999.944206008586</v>
      </c>
      <c r="X47" s="463">
        <f t="shared" si="28"/>
        <v>1.1764705882352942</v>
      </c>
      <c r="Y47" s="467">
        <f>26775+318</f>
        <v>27093</v>
      </c>
      <c r="Z47" s="465">
        <v>75834</v>
      </c>
      <c r="AA47" s="473">
        <f t="shared" si="10"/>
        <v>0.35726718885987818</v>
      </c>
      <c r="AB47" s="29">
        <f t="shared" si="29"/>
        <v>0.85713458614880644</v>
      </c>
      <c r="AC47" s="466">
        <v>315</v>
      </c>
      <c r="AD47" s="467">
        <v>7226</v>
      </c>
      <c r="AE47" s="465">
        <v>12450</v>
      </c>
      <c r="AF47" s="29">
        <f t="shared" si="11"/>
        <v>0.58040160642570282</v>
      </c>
      <c r="AG47" s="468">
        <v>1433</v>
      </c>
      <c r="AH47" s="30">
        <f t="shared" ref="AH47:AH78" si="35">Y47/S47</f>
        <v>58.139484978540771</v>
      </c>
      <c r="AI47" s="469"/>
      <c r="AJ47" s="469"/>
      <c r="AK47" s="469"/>
      <c r="AL47" s="470">
        <v>23553</v>
      </c>
      <c r="AM47" s="471">
        <f t="shared" si="30"/>
        <v>10766</v>
      </c>
    </row>
    <row r="48" spans="1:39" s="145" customFormat="1" ht="15.95">
      <c r="A48" s="145">
        <v>16</v>
      </c>
      <c r="B48" s="145">
        <f t="shared" si="6"/>
        <v>7</v>
      </c>
      <c r="C48" s="146">
        <v>46006</v>
      </c>
      <c r="D48" s="145" t="s">
        <v>80</v>
      </c>
      <c r="G48" s="146">
        <v>46012.791666666664</v>
      </c>
      <c r="H48" s="145" t="s">
        <v>78</v>
      </c>
      <c r="I48" s="453">
        <v>0.85</v>
      </c>
      <c r="J48" s="32">
        <f t="shared" si="31"/>
        <v>0.1793440334961619</v>
      </c>
      <c r="K48" s="147">
        <f t="shared" si="34"/>
        <v>257</v>
      </c>
      <c r="L48" s="33">
        <f t="shared" si="24"/>
        <v>13613</v>
      </c>
      <c r="M48" s="34">
        <f t="shared" si="25"/>
        <v>75834</v>
      </c>
      <c r="N48" s="431">
        <f t="shared" si="26"/>
        <v>-62221</v>
      </c>
      <c r="O48" s="32">
        <f t="shared" si="27"/>
        <v>0.74726680623400799</v>
      </c>
      <c r="P48" s="31">
        <f t="shared" si="7"/>
        <v>1070.8333333333335</v>
      </c>
      <c r="Q48" s="33">
        <f t="shared" si="33"/>
        <v>56720.833333333343</v>
      </c>
      <c r="R48" s="444">
        <f t="shared" si="14"/>
        <v>-19113.166666666657</v>
      </c>
      <c r="S48" s="478">
        <f>255+2</f>
        <v>257</v>
      </c>
      <c r="T48" s="480">
        <f t="shared" si="8"/>
        <v>1433</v>
      </c>
      <c r="U48" s="490">
        <f t="shared" si="32"/>
        <v>1218.05</v>
      </c>
      <c r="V48" s="491">
        <f>IF(B48&lt;11,MIN((S48/VLOOKUP(B48,'Sales Pacing'!$A$23:$E$36,2)),T48),"Too early")</f>
        <v>1070.8333333333335</v>
      </c>
      <c r="W48" s="524">
        <f t="shared" si="9"/>
        <v>56720.833333333343</v>
      </c>
      <c r="X48" s="492">
        <f t="shared" si="28"/>
        <v>0.87913741909883303</v>
      </c>
      <c r="Y48" s="479">
        <f>13469+144</f>
        <v>13613</v>
      </c>
      <c r="Z48" s="476">
        <v>75834</v>
      </c>
      <c r="AA48" s="477">
        <f t="shared" si="10"/>
        <v>0.17951050979771607</v>
      </c>
      <c r="AB48" s="32">
        <f t="shared" si="29"/>
        <v>0.74796045749048368</v>
      </c>
      <c r="AC48" s="478"/>
      <c r="AD48" s="479"/>
      <c r="AE48" s="476"/>
      <c r="AF48" s="32" t="str">
        <f t="shared" si="11"/>
        <v/>
      </c>
      <c r="AG48" s="480">
        <v>1433</v>
      </c>
      <c r="AH48" s="34">
        <f t="shared" si="35"/>
        <v>52.968871595330739</v>
      </c>
      <c r="AI48" s="481"/>
      <c r="AJ48" s="481"/>
      <c r="AK48" s="481"/>
      <c r="AL48" s="493">
        <v>7896</v>
      </c>
      <c r="AM48" s="471">
        <f t="shared" si="30"/>
        <v>5717</v>
      </c>
    </row>
    <row r="49" spans="1:39" s="141" customFormat="1" ht="15.95">
      <c r="A49" s="141">
        <v>17</v>
      </c>
      <c r="B49" s="141">
        <f t="shared" si="6"/>
        <v>8</v>
      </c>
      <c r="C49" s="142">
        <v>46013</v>
      </c>
      <c r="D49" s="141" t="s">
        <v>81</v>
      </c>
      <c r="G49" s="142">
        <v>46014.791666666664</v>
      </c>
      <c r="H49" s="141" t="s">
        <v>67</v>
      </c>
      <c r="I49" s="439">
        <v>0.85</v>
      </c>
      <c r="J49" s="29">
        <f t="shared" si="31"/>
        <v>0.9178187403993856</v>
      </c>
      <c r="K49" s="35">
        <f t="shared" si="34"/>
        <v>1195</v>
      </c>
      <c r="L49" s="37">
        <f t="shared" si="24"/>
        <v>100155</v>
      </c>
      <c r="M49" s="30">
        <f t="shared" si="25"/>
        <v>100000</v>
      </c>
      <c r="N49" s="429">
        <f t="shared" si="26"/>
        <v>155</v>
      </c>
      <c r="O49" s="29">
        <f t="shared" si="27"/>
        <v>1</v>
      </c>
      <c r="P49" s="36">
        <f t="shared" si="7"/>
        <v>1302</v>
      </c>
      <c r="Q49" s="37">
        <f t="shared" si="33"/>
        <v>109122.85355648535</v>
      </c>
      <c r="R49" s="443">
        <f t="shared" si="14"/>
        <v>9122.8535564853519</v>
      </c>
      <c r="S49" s="460">
        <f>1191+4</f>
        <v>1195</v>
      </c>
      <c r="T49" s="461">
        <f t="shared" si="8"/>
        <v>1302</v>
      </c>
      <c r="U49" s="461">
        <f t="shared" si="32"/>
        <v>1106.7</v>
      </c>
      <c r="V49" s="462">
        <f>IF(B49&lt;11,MIN((S49/VLOOKUP(B49,'Sales Pacing'!$A$23:$E$36,2)),T49),"Too early")</f>
        <v>1302</v>
      </c>
      <c r="W49" s="522">
        <f t="shared" si="9"/>
        <v>109122.85355648535</v>
      </c>
      <c r="X49" s="463">
        <f t="shared" si="28"/>
        <v>1.1764705882352942</v>
      </c>
      <c r="Y49" s="467">
        <v>100155</v>
      </c>
      <c r="Z49" s="465">
        <v>100000</v>
      </c>
      <c r="AA49" s="473">
        <f t="shared" si="10"/>
        <v>1.0015499999999999</v>
      </c>
      <c r="AB49" s="29">
        <f t="shared" si="29"/>
        <v>1.0912285355648534</v>
      </c>
      <c r="AC49" s="466"/>
      <c r="AD49" s="467"/>
      <c r="AE49" s="465"/>
      <c r="AF49" s="29" t="str">
        <f t="shared" si="11"/>
        <v/>
      </c>
      <c r="AG49" s="468">
        <v>1302</v>
      </c>
      <c r="AH49" s="30">
        <f t="shared" si="35"/>
        <v>83.811715481171547</v>
      </c>
      <c r="AI49" s="469"/>
      <c r="AJ49" s="469"/>
      <c r="AK49" s="469"/>
      <c r="AL49" s="470">
        <v>66653.600000000006</v>
      </c>
      <c r="AM49" s="471">
        <f t="shared" si="30"/>
        <v>33501.399999999994</v>
      </c>
    </row>
    <row r="50" spans="1:39" s="145" customFormat="1" ht="15.95">
      <c r="A50" s="145">
        <v>17</v>
      </c>
      <c r="B50" s="145">
        <f t="shared" si="6"/>
        <v>8</v>
      </c>
      <c r="C50" s="146">
        <v>46013</v>
      </c>
      <c r="D50" s="145" t="s">
        <v>81</v>
      </c>
      <c r="G50" s="146">
        <v>46015.458333333336</v>
      </c>
      <c r="H50" s="145" t="s">
        <v>67</v>
      </c>
      <c r="I50" s="439">
        <v>0.85</v>
      </c>
      <c r="J50" s="29">
        <f t="shared" si="31"/>
        <v>0.29723502304147464</v>
      </c>
      <c r="K50" s="147">
        <f t="shared" si="34"/>
        <v>387</v>
      </c>
      <c r="L50" s="33">
        <f t="shared" si="24"/>
        <v>28140</v>
      </c>
      <c r="M50" s="34">
        <f t="shared" si="25"/>
        <v>100000</v>
      </c>
      <c r="N50" s="431">
        <f t="shared" si="26"/>
        <v>-71860</v>
      </c>
      <c r="O50" s="32">
        <f t="shared" si="27"/>
        <v>1</v>
      </c>
      <c r="P50" s="31">
        <f t="shared" si="7"/>
        <v>1302</v>
      </c>
      <c r="Q50" s="33">
        <f t="shared" si="33"/>
        <v>94672.558139534871</v>
      </c>
      <c r="R50" s="444">
        <f t="shared" si="14"/>
        <v>-5327.4418604651291</v>
      </c>
      <c r="S50" s="474">
        <f>385+2</f>
        <v>387</v>
      </c>
      <c r="T50" s="461">
        <f t="shared" si="8"/>
        <v>1302</v>
      </c>
      <c r="U50" s="461">
        <f t="shared" si="32"/>
        <v>1106.7</v>
      </c>
      <c r="V50" s="491">
        <f>IF(B50&lt;11,MIN((S50/VLOOKUP(B50,'Sales Pacing'!$A$23:$E$36,2)),T50),"Too early")</f>
        <v>1302</v>
      </c>
      <c r="W50" s="522">
        <f t="shared" si="9"/>
        <v>94672.558139534871</v>
      </c>
      <c r="X50" s="463">
        <f t="shared" si="28"/>
        <v>1.1764705882352942</v>
      </c>
      <c r="Y50" s="479">
        <v>28140</v>
      </c>
      <c r="Z50" s="476">
        <v>100000</v>
      </c>
      <c r="AA50" s="477">
        <f t="shared" si="10"/>
        <v>0.28139999999999998</v>
      </c>
      <c r="AB50" s="32">
        <f t="shared" si="29"/>
        <v>0.94672558139534868</v>
      </c>
      <c r="AC50" s="478"/>
      <c r="AD50" s="479"/>
      <c r="AE50" s="476"/>
      <c r="AF50" s="32" t="str">
        <f t="shared" si="11"/>
        <v/>
      </c>
      <c r="AG50" s="480">
        <v>1302</v>
      </c>
      <c r="AH50" s="34">
        <f t="shared" si="35"/>
        <v>72.713178294573638</v>
      </c>
      <c r="AI50" s="481"/>
      <c r="AJ50" s="481"/>
      <c r="AK50" s="481"/>
      <c r="AL50" s="493">
        <v>14364.4</v>
      </c>
      <c r="AM50" s="471">
        <f t="shared" si="30"/>
        <v>13775.6</v>
      </c>
    </row>
    <row r="51" spans="1:39" s="184" customFormat="1" ht="15.95">
      <c r="A51" s="184">
        <v>18</v>
      </c>
      <c r="B51" s="184">
        <f t="shared" si="6"/>
        <v>9</v>
      </c>
      <c r="C51" s="185">
        <v>46020</v>
      </c>
      <c r="D51" s="184" t="s">
        <v>74</v>
      </c>
      <c r="G51" s="194"/>
      <c r="H51" s="195"/>
      <c r="I51" s="442"/>
      <c r="J51" s="198" t="e">
        <f t="shared" si="31"/>
        <v>#DIV/0!</v>
      </c>
      <c r="K51" s="196">
        <f t="shared" si="34"/>
        <v>0</v>
      </c>
      <c r="L51" s="199">
        <f t="shared" si="24"/>
        <v>0</v>
      </c>
      <c r="M51" s="200">
        <f t="shared" si="25"/>
        <v>0</v>
      </c>
      <c r="N51" s="430"/>
      <c r="O51" s="198"/>
      <c r="P51" s="197">
        <f t="shared" si="7"/>
        <v>0</v>
      </c>
      <c r="Q51" s="199" t="e">
        <f t="shared" si="33"/>
        <v>#DIV/0!</v>
      </c>
      <c r="R51" s="445" t="e">
        <f t="shared" si="14"/>
        <v>#DIV/0!</v>
      </c>
      <c r="S51" s="482"/>
      <c r="T51" s="482">
        <f t="shared" si="8"/>
        <v>0</v>
      </c>
      <c r="U51" s="482">
        <f t="shared" si="32"/>
        <v>0</v>
      </c>
      <c r="V51" s="483">
        <f>IF(B51&lt;11,MIN((S51/VLOOKUP(B51,'Sales Pacing'!$A$23:$E$36,2)),T51),"Too early")</f>
        <v>0</v>
      </c>
      <c r="W51" s="523" t="e">
        <f t="shared" si="9"/>
        <v>#DIV/0!</v>
      </c>
      <c r="X51" s="483"/>
      <c r="Y51" s="484"/>
      <c r="Z51" s="484"/>
      <c r="AA51" s="485" t="str">
        <f t="shared" si="10"/>
        <v/>
      </c>
      <c r="AB51" s="198"/>
      <c r="AC51" s="482"/>
      <c r="AD51" s="484"/>
      <c r="AE51" s="484"/>
      <c r="AF51" s="198" t="s">
        <v>58</v>
      </c>
      <c r="AG51" s="482"/>
      <c r="AH51" s="200" t="e">
        <f t="shared" si="35"/>
        <v>#DIV/0!</v>
      </c>
      <c r="AI51" s="486"/>
      <c r="AJ51" s="486"/>
      <c r="AK51" s="486"/>
      <c r="AL51" s="487">
        <v>0</v>
      </c>
    </row>
    <row r="52" spans="1:39" s="141" customFormat="1" ht="15.95">
      <c r="A52" s="141">
        <v>19</v>
      </c>
      <c r="B52" s="141">
        <f t="shared" si="6"/>
        <v>10</v>
      </c>
      <c r="C52" s="142">
        <v>46027</v>
      </c>
      <c r="D52" s="141" t="s">
        <v>82</v>
      </c>
      <c r="G52" s="142">
        <v>46031.833333333336</v>
      </c>
      <c r="H52" s="141" t="s">
        <v>65</v>
      </c>
      <c r="I52" s="439">
        <v>0.85</v>
      </c>
      <c r="J52" s="29">
        <f t="shared" si="31"/>
        <v>0.39119496855345914</v>
      </c>
      <c r="K52" s="35">
        <f t="shared" si="34"/>
        <v>622</v>
      </c>
      <c r="L52" s="37">
        <f t="shared" si="24"/>
        <v>40404</v>
      </c>
      <c r="M52" s="30">
        <f t="shared" si="25"/>
        <v>54999</v>
      </c>
      <c r="N52" s="429">
        <f t="shared" ref="N52:N77" si="36">L52-M52</f>
        <v>-14595</v>
      </c>
      <c r="O52" s="29">
        <f t="shared" ref="O52:O77" si="37">IF(P52="Too early",P52,P52/AG52)</f>
        <v>0.60146750524109016</v>
      </c>
      <c r="P52" s="36">
        <f t="shared" si="7"/>
        <v>956.33333333333337</v>
      </c>
      <c r="Q52" s="37">
        <f t="shared" si="33"/>
        <v>54372.333333333336</v>
      </c>
      <c r="R52" s="443">
        <f t="shared" si="14"/>
        <v>-626.66666666666424</v>
      </c>
      <c r="S52" s="466">
        <f>54+5</f>
        <v>59</v>
      </c>
      <c r="T52" s="468">
        <f t="shared" si="8"/>
        <v>1027</v>
      </c>
      <c r="U52" s="461">
        <f t="shared" si="32"/>
        <v>872.94999999999993</v>
      </c>
      <c r="V52" s="462">
        <f>IF(B52&lt;11,MIN((S52/VLOOKUP(B52,'Sales Pacing'!$A$23:$E$36,2)),T52),"Too early")</f>
        <v>393.33333333333337</v>
      </c>
      <c r="W52" s="522">
        <f t="shared" si="9"/>
        <v>16433.333333333336</v>
      </c>
      <c r="X52" s="463">
        <f t="shared" ref="X52:X77" si="38">IF(V52="Too early","Too early",V52/U52)</f>
        <v>0.45057945281325779</v>
      </c>
      <c r="Y52" s="467">
        <f>2238+227</f>
        <v>2465</v>
      </c>
      <c r="Z52" s="465">
        <v>21666</v>
      </c>
      <c r="AA52" s="473">
        <f t="shared" si="10"/>
        <v>0.11377273146866057</v>
      </c>
      <c r="AB52" s="29">
        <f t="shared" ref="AB52:AB77" si="39">IF($V52="Too early",V52,V52*AH52/Z52)</f>
        <v>0.75848487645773732</v>
      </c>
      <c r="AC52" s="466">
        <v>563</v>
      </c>
      <c r="AD52" s="467">
        <v>37939</v>
      </c>
      <c r="AE52" s="465">
        <v>33333</v>
      </c>
      <c r="AF52" s="29">
        <f t="shared" si="11"/>
        <v>1.1381813818138182</v>
      </c>
      <c r="AG52" s="468">
        <v>1590</v>
      </c>
      <c r="AH52" s="30">
        <f t="shared" si="35"/>
        <v>41.779661016949156</v>
      </c>
      <c r="AI52" s="469"/>
      <c r="AJ52" s="469"/>
      <c r="AK52" s="469"/>
      <c r="AL52" s="470">
        <v>39591</v>
      </c>
      <c r="AM52" s="471">
        <f t="shared" ref="AM52:AM77" si="40">L52-AL52</f>
        <v>813</v>
      </c>
    </row>
    <row r="53" spans="1:39" s="141" customFormat="1" ht="15.95">
      <c r="A53" s="141">
        <v>19</v>
      </c>
      <c r="B53" s="141">
        <f t="shared" si="6"/>
        <v>10</v>
      </c>
      <c r="C53" s="142">
        <v>46027</v>
      </c>
      <c r="D53" s="141" t="s">
        <v>83</v>
      </c>
      <c r="G53" s="142">
        <v>46032.833333333336</v>
      </c>
      <c r="H53" s="141" t="s">
        <v>65</v>
      </c>
      <c r="I53" s="439">
        <v>0.85</v>
      </c>
      <c r="J53" s="29">
        <f t="shared" si="31"/>
        <v>0.41194968553459121</v>
      </c>
      <c r="K53" s="35">
        <f t="shared" si="34"/>
        <v>655</v>
      </c>
      <c r="L53" s="37">
        <f t="shared" si="24"/>
        <v>41616</v>
      </c>
      <c r="M53" s="30">
        <f t="shared" si="25"/>
        <v>54999</v>
      </c>
      <c r="N53" s="429">
        <f t="shared" si="36"/>
        <v>-13383</v>
      </c>
      <c r="O53" s="29">
        <f t="shared" si="37"/>
        <v>0.77903563941299792</v>
      </c>
      <c r="P53" s="36">
        <f t="shared" si="7"/>
        <v>1238.6666666666667</v>
      </c>
      <c r="Q53" s="37">
        <f t="shared" si="33"/>
        <v>71581.333333333343</v>
      </c>
      <c r="R53" s="443">
        <f t="shared" si="14"/>
        <v>16582.333333333343</v>
      </c>
      <c r="S53" s="466">
        <f>89+14</f>
        <v>103</v>
      </c>
      <c r="T53" s="468">
        <f t="shared" si="8"/>
        <v>1038</v>
      </c>
      <c r="U53" s="461">
        <f t="shared" si="32"/>
        <v>882.3</v>
      </c>
      <c r="V53" s="462">
        <f>IF(B53&lt;11,MIN((S53/VLOOKUP(B53,'Sales Pacing'!$A$23:$E$36,2)),T53),"Too early")</f>
        <v>686.66666666666674</v>
      </c>
      <c r="W53" s="522">
        <f t="shared" si="9"/>
        <v>35253.333333333343</v>
      </c>
      <c r="X53" s="463">
        <f t="shared" si="38"/>
        <v>0.77826891835732381</v>
      </c>
      <c r="Y53" s="467">
        <f>4317+971</f>
        <v>5288</v>
      </c>
      <c r="Z53" s="465">
        <v>21666</v>
      </c>
      <c r="AA53" s="473">
        <f t="shared" si="10"/>
        <v>0.24406904827840856</v>
      </c>
      <c r="AB53" s="29">
        <f t="shared" si="39"/>
        <v>1.627126988522724</v>
      </c>
      <c r="AC53" s="466">
        <v>552</v>
      </c>
      <c r="AD53" s="467">
        <v>36328</v>
      </c>
      <c r="AE53" s="465">
        <v>33333</v>
      </c>
      <c r="AF53" s="29">
        <f t="shared" si="11"/>
        <v>1.0898508985089852</v>
      </c>
      <c r="AG53" s="468">
        <v>1590</v>
      </c>
      <c r="AH53" s="30">
        <f t="shared" si="35"/>
        <v>51.339805825242721</v>
      </c>
      <c r="AI53" s="469"/>
      <c r="AJ53" s="469"/>
      <c r="AK53" s="469"/>
      <c r="AL53" s="470">
        <v>40128</v>
      </c>
      <c r="AM53" s="471">
        <f t="shared" si="40"/>
        <v>1488</v>
      </c>
    </row>
    <row r="54" spans="1:39" s="145" customFormat="1" ht="15.95">
      <c r="A54" s="145">
        <v>19</v>
      </c>
      <c r="B54" s="145">
        <f t="shared" si="6"/>
        <v>10</v>
      </c>
      <c r="C54" s="146">
        <v>46027</v>
      </c>
      <c r="D54" s="311" t="s">
        <v>84</v>
      </c>
      <c r="G54" s="146">
        <v>46033.583333333336</v>
      </c>
      <c r="H54" s="145" t="s">
        <v>65</v>
      </c>
      <c r="I54" s="453">
        <v>0.85</v>
      </c>
      <c r="J54" s="32">
        <f t="shared" si="31"/>
        <v>0.40628930817610065</v>
      </c>
      <c r="K54" s="147">
        <f t="shared" si="34"/>
        <v>646</v>
      </c>
      <c r="L54" s="33">
        <f t="shared" si="24"/>
        <v>40616</v>
      </c>
      <c r="M54" s="34">
        <f t="shared" si="25"/>
        <v>55002</v>
      </c>
      <c r="N54" s="431">
        <f t="shared" si="36"/>
        <v>-14386</v>
      </c>
      <c r="O54" s="32">
        <f t="shared" si="37"/>
        <v>0.68784067085953882</v>
      </c>
      <c r="P54" s="31">
        <f t="shared" si="7"/>
        <v>1093.6666666666667</v>
      </c>
      <c r="Q54" s="33">
        <f t="shared" si="33"/>
        <v>63044.666666666672</v>
      </c>
      <c r="R54" s="444">
        <f t="shared" si="14"/>
        <v>8042.6666666666715</v>
      </c>
      <c r="S54" s="478">
        <f>72+7</f>
        <v>79</v>
      </c>
      <c r="T54" s="480">
        <f t="shared" si="8"/>
        <v>1023</v>
      </c>
      <c r="U54" s="490">
        <f t="shared" si="32"/>
        <v>869.55</v>
      </c>
      <c r="V54" s="491">
        <f>IF(B54&lt;11,MIN((S54/VLOOKUP(B54,'Sales Pacing'!$A$23:$E$36,2)),T54),"Too early")</f>
        <v>526.66666666666674</v>
      </c>
      <c r="W54" s="524">
        <f t="shared" si="9"/>
        <v>26386.666666666672</v>
      </c>
      <c r="X54" s="492">
        <f t="shared" si="38"/>
        <v>0.6056772660188221</v>
      </c>
      <c r="Y54" s="479">
        <f>3599+359</f>
        <v>3958</v>
      </c>
      <c r="Z54" s="476">
        <v>21668</v>
      </c>
      <c r="AA54" s="477">
        <f t="shared" si="10"/>
        <v>0.18266568211187004</v>
      </c>
      <c r="AB54" s="32">
        <f t="shared" si="39"/>
        <v>1.2177712140791339</v>
      </c>
      <c r="AC54" s="478">
        <v>567</v>
      </c>
      <c r="AD54" s="479">
        <v>36658</v>
      </c>
      <c r="AE54" s="476">
        <v>33334</v>
      </c>
      <c r="AF54" s="32">
        <f t="shared" si="11"/>
        <v>1.0997180056398872</v>
      </c>
      <c r="AG54" s="480">
        <v>1590</v>
      </c>
      <c r="AH54" s="34">
        <f t="shared" si="35"/>
        <v>50.101265822784811</v>
      </c>
      <c r="AI54" s="481"/>
      <c r="AJ54" s="481"/>
      <c r="AK54" s="481"/>
      <c r="AL54" s="493">
        <v>39791.5</v>
      </c>
      <c r="AM54" s="471">
        <f t="shared" si="40"/>
        <v>824.5</v>
      </c>
    </row>
    <row r="55" spans="1:39" s="141" customFormat="1" ht="15.95">
      <c r="A55" s="141">
        <v>20</v>
      </c>
      <c r="B55" s="141">
        <f t="shared" si="6"/>
        <v>11</v>
      </c>
      <c r="C55" s="175">
        <v>46034</v>
      </c>
      <c r="D55" s="176" t="s">
        <v>85</v>
      </c>
      <c r="E55" s="176"/>
      <c r="F55" s="176"/>
      <c r="G55" s="175">
        <v>46038.833333333336</v>
      </c>
      <c r="H55" s="176" t="s">
        <v>65</v>
      </c>
      <c r="I55" s="439">
        <v>0.85</v>
      </c>
      <c r="J55" s="29">
        <f t="shared" si="31"/>
        <v>0.26352201257861635</v>
      </c>
      <c r="K55" s="35">
        <f t="shared" si="34"/>
        <v>419</v>
      </c>
      <c r="L55" s="37">
        <f t="shared" si="24"/>
        <v>28302</v>
      </c>
      <c r="M55" s="30">
        <f t="shared" si="25"/>
        <v>60000</v>
      </c>
      <c r="N55" s="429">
        <f t="shared" si="36"/>
        <v>-31698</v>
      </c>
      <c r="O55" s="29" t="str">
        <f t="shared" si="37"/>
        <v>Too early</v>
      </c>
      <c r="P55" s="36" t="str">
        <f t="shared" si="7"/>
        <v>Too early</v>
      </c>
      <c r="Q55" s="37" t="str">
        <f t="shared" si="33"/>
        <v>Too early</v>
      </c>
      <c r="R55" s="443" t="str">
        <f t="shared" si="14"/>
        <v>Too early</v>
      </c>
      <c r="S55" s="460">
        <v>51</v>
      </c>
      <c r="T55" s="461">
        <f t="shared" si="8"/>
        <v>1222</v>
      </c>
      <c r="U55" s="461">
        <f t="shared" si="32"/>
        <v>1038.7</v>
      </c>
      <c r="V55" s="462" t="str">
        <f>IF(B55&lt;11,MIN((S55/VLOOKUP(B55,'Sales Pacing'!$A$23:$E$36,2)),T55),"Too early")</f>
        <v>Too early</v>
      </c>
      <c r="W55" s="522" t="e">
        <f t="shared" si="9"/>
        <v>#VALUE!</v>
      </c>
      <c r="X55" s="463" t="str">
        <f t="shared" si="38"/>
        <v>Too early</v>
      </c>
      <c r="Y55" s="467">
        <v>2960</v>
      </c>
      <c r="Z55" s="465">
        <v>30000</v>
      </c>
      <c r="AA55" s="473">
        <f t="shared" si="10"/>
        <v>9.8666666666666666E-2</v>
      </c>
      <c r="AB55" s="29" t="str">
        <f t="shared" si="39"/>
        <v>Too early</v>
      </c>
      <c r="AC55" s="466">
        <v>368</v>
      </c>
      <c r="AD55" s="467">
        <v>25342</v>
      </c>
      <c r="AE55" s="465">
        <v>30000</v>
      </c>
      <c r="AF55" s="29">
        <f t="shared" si="11"/>
        <v>0.84473333333333334</v>
      </c>
      <c r="AG55" s="468">
        <v>1590</v>
      </c>
      <c r="AH55" s="30">
        <f t="shared" si="35"/>
        <v>58.03921568627451</v>
      </c>
      <c r="AI55" s="469"/>
      <c r="AJ55" s="469"/>
      <c r="AK55" s="469"/>
      <c r="AL55" s="470">
        <v>28243</v>
      </c>
      <c r="AM55" s="471">
        <f t="shared" si="40"/>
        <v>59</v>
      </c>
    </row>
    <row r="56" spans="1:39" s="141" customFormat="1" ht="15.95">
      <c r="A56" s="141">
        <v>20</v>
      </c>
      <c r="B56" s="141">
        <f t="shared" si="6"/>
        <v>11</v>
      </c>
      <c r="C56" s="142">
        <v>46034</v>
      </c>
      <c r="D56" s="141" t="s">
        <v>85</v>
      </c>
      <c r="G56" s="142">
        <v>46039.833333333336</v>
      </c>
      <c r="H56" s="141" t="s">
        <v>65</v>
      </c>
      <c r="I56" s="439">
        <v>0.85</v>
      </c>
      <c r="J56" s="29">
        <f t="shared" si="31"/>
        <v>0.45660377358490567</v>
      </c>
      <c r="K56" s="35">
        <f t="shared" si="34"/>
        <v>726</v>
      </c>
      <c r="L56" s="37">
        <f t="shared" si="24"/>
        <v>47864.9</v>
      </c>
      <c r="M56" s="30">
        <f t="shared" si="25"/>
        <v>75000</v>
      </c>
      <c r="N56" s="429">
        <f t="shared" si="36"/>
        <v>-27135.1</v>
      </c>
      <c r="O56" s="29" t="str">
        <f t="shared" si="37"/>
        <v>Too early</v>
      </c>
      <c r="P56" s="36" t="str">
        <f t="shared" si="7"/>
        <v>Too early</v>
      </c>
      <c r="Q56" s="37" t="str">
        <f t="shared" si="33"/>
        <v>Too early</v>
      </c>
      <c r="R56" s="443" t="str">
        <f t="shared" si="14"/>
        <v>Too early</v>
      </c>
      <c r="S56" s="460">
        <v>126</v>
      </c>
      <c r="T56" s="461">
        <f t="shared" si="8"/>
        <v>990</v>
      </c>
      <c r="U56" s="461">
        <f t="shared" si="32"/>
        <v>841.5</v>
      </c>
      <c r="V56" s="462" t="str">
        <f>IF(B56&lt;11,MIN((S56/VLOOKUP(B56,'Sales Pacing'!$A$23:$E$36,2)),T56),"Too early")</f>
        <v>Too early</v>
      </c>
      <c r="W56" s="522" t="e">
        <f t="shared" si="9"/>
        <v>#VALUE!</v>
      </c>
      <c r="X56" s="463" t="str">
        <f t="shared" si="38"/>
        <v>Too early</v>
      </c>
      <c r="Y56" s="467">
        <v>7358</v>
      </c>
      <c r="Z56" s="465">
        <v>20000</v>
      </c>
      <c r="AA56" s="473">
        <f t="shared" si="10"/>
        <v>0.3679</v>
      </c>
      <c r="AB56" s="29" t="str">
        <f t="shared" si="39"/>
        <v>Too early</v>
      </c>
      <c r="AC56" s="466">
        <v>600</v>
      </c>
      <c r="AD56" s="467">
        <v>40506.9</v>
      </c>
      <c r="AE56" s="465">
        <v>55000</v>
      </c>
      <c r="AF56" s="29">
        <f t="shared" si="11"/>
        <v>0.73648909090909098</v>
      </c>
      <c r="AG56" s="468">
        <v>1590</v>
      </c>
      <c r="AH56" s="30">
        <f t="shared" si="35"/>
        <v>58.396825396825399</v>
      </c>
      <c r="AI56" s="469"/>
      <c r="AJ56" s="469"/>
      <c r="AK56" s="469"/>
      <c r="AL56" s="470">
        <v>47394.9</v>
      </c>
      <c r="AM56" s="471">
        <f t="shared" si="40"/>
        <v>470</v>
      </c>
    </row>
    <row r="57" spans="1:39" s="145" customFormat="1" ht="15.95">
      <c r="A57" s="145">
        <v>20</v>
      </c>
      <c r="B57" s="145">
        <f t="shared" si="6"/>
        <v>11</v>
      </c>
      <c r="C57" s="146">
        <v>46034</v>
      </c>
      <c r="D57" s="145" t="s">
        <v>85</v>
      </c>
      <c r="G57" s="146">
        <v>46040.583333333336</v>
      </c>
      <c r="H57" s="145" t="s">
        <v>65</v>
      </c>
      <c r="I57" s="453">
        <v>0.85</v>
      </c>
      <c r="J57" s="32">
        <f t="shared" si="31"/>
        <v>0.4408805031446541</v>
      </c>
      <c r="K57" s="147">
        <f t="shared" si="34"/>
        <v>701</v>
      </c>
      <c r="L57" s="33">
        <f t="shared" ref="L57:L88" si="41">Y57+AD57</f>
        <v>44947.199999999997</v>
      </c>
      <c r="M57" s="34">
        <f t="shared" si="25"/>
        <v>75000</v>
      </c>
      <c r="N57" s="431">
        <f t="shared" si="36"/>
        <v>-30052.800000000003</v>
      </c>
      <c r="O57" s="32" t="str">
        <f t="shared" si="37"/>
        <v>Too early</v>
      </c>
      <c r="P57" s="31" t="str">
        <f t="shared" si="7"/>
        <v>Too early</v>
      </c>
      <c r="Q57" s="33" t="str">
        <f t="shared" si="33"/>
        <v>Too early</v>
      </c>
      <c r="R57" s="444" t="str">
        <f t="shared" si="14"/>
        <v>Too early</v>
      </c>
      <c r="S57" s="474">
        <v>93</v>
      </c>
      <c r="T57" s="490">
        <f t="shared" si="8"/>
        <v>982</v>
      </c>
      <c r="U57" s="490">
        <f t="shared" si="32"/>
        <v>834.69999999999993</v>
      </c>
      <c r="V57" s="491" t="str">
        <f>IF(B57&lt;11,MIN((S57/VLOOKUP(B57,'Sales Pacing'!$A$23:$E$36,2)),T57),"Too early")</f>
        <v>Too early</v>
      </c>
      <c r="W57" s="524" t="e">
        <f t="shared" si="9"/>
        <v>#VALUE!</v>
      </c>
      <c r="X57" s="492" t="str">
        <f t="shared" si="38"/>
        <v>Too early</v>
      </c>
      <c r="Y57" s="479">
        <v>5931</v>
      </c>
      <c r="Z57" s="476">
        <v>20000</v>
      </c>
      <c r="AA57" s="477">
        <f t="shared" si="10"/>
        <v>0.29654999999999998</v>
      </c>
      <c r="AB57" s="32" t="str">
        <f t="shared" si="39"/>
        <v>Too early</v>
      </c>
      <c r="AC57" s="478">
        <v>608</v>
      </c>
      <c r="AD57" s="479">
        <v>39016.199999999997</v>
      </c>
      <c r="AE57" s="476">
        <v>55000</v>
      </c>
      <c r="AF57" s="32">
        <f t="shared" si="11"/>
        <v>0.70938545454545454</v>
      </c>
      <c r="AG57" s="480">
        <v>1590</v>
      </c>
      <c r="AH57" s="34">
        <f t="shared" si="35"/>
        <v>63.774193548387096</v>
      </c>
      <c r="AI57" s="481"/>
      <c r="AJ57" s="481"/>
      <c r="AK57" s="481"/>
      <c r="AL57" s="493">
        <v>44600.2</v>
      </c>
      <c r="AM57" s="471">
        <f t="shared" si="40"/>
        <v>347</v>
      </c>
    </row>
    <row r="58" spans="1:39" s="141" customFormat="1" ht="15.95">
      <c r="A58" s="141">
        <v>21</v>
      </c>
      <c r="B58" s="141">
        <f t="shared" si="6"/>
        <v>12</v>
      </c>
      <c r="C58" s="142">
        <v>46041</v>
      </c>
      <c r="D58" s="141" t="s">
        <v>86</v>
      </c>
      <c r="G58" s="142">
        <v>46044.791666666664</v>
      </c>
      <c r="H58" s="141" t="s">
        <v>67</v>
      </c>
      <c r="I58" s="439">
        <v>0.85</v>
      </c>
      <c r="J58" s="29">
        <f t="shared" si="31"/>
        <v>0.10061443932411675</v>
      </c>
      <c r="K58" s="35">
        <f t="shared" si="34"/>
        <v>131</v>
      </c>
      <c r="L58" s="37">
        <f t="shared" si="41"/>
        <v>7965</v>
      </c>
      <c r="M58" s="30">
        <f t="shared" si="25"/>
        <v>90000</v>
      </c>
      <c r="N58" s="429">
        <f t="shared" si="36"/>
        <v>-82035</v>
      </c>
      <c r="O58" s="29" t="str">
        <f t="shared" si="37"/>
        <v>Too early</v>
      </c>
      <c r="P58" s="36" t="str">
        <f t="shared" si="7"/>
        <v>Too early</v>
      </c>
      <c r="Q58" s="37" t="str">
        <f t="shared" si="33"/>
        <v>Too early</v>
      </c>
      <c r="R58" s="443" t="str">
        <f t="shared" si="14"/>
        <v>Too early</v>
      </c>
      <c r="S58" s="466">
        <v>131</v>
      </c>
      <c r="T58" s="468">
        <f t="shared" si="8"/>
        <v>1302</v>
      </c>
      <c r="U58" s="461">
        <f t="shared" si="32"/>
        <v>1106.7</v>
      </c>
      <c r="V58" s="462" t="str">
        <f>IF(B58&lt;11,MIN((S58/VLOOKUP(B58,'Sales Pacing'!$A$23:$E$36,2)),T58),"Too early")</f>
        <v>Too early</v>
      </c>
      <c r="W58" s="522" t="e">
        <f t="shared" si="9"/>
        <v>#VALUE!</v>
      </c>
      <c r="X58" s="463" t="str">
        <f t="shared" si="38"/>
        <v>Too early</v>
      </c>
      <c r="Y58" s="505">
        <v>7965</v>
      </c>
      <c r="Z58" s="465">
        <v>90000</v>
      </c>
      <c r="AA58" s="473">
        <f t="shared" si="10"/>
        <v>8.8499999999999995E-2</v>
      </c>
      <c r="AB58" s="29" t="str">
        <f t="shared" si="39"/>
        <v>Too early</v>
      </c>
      <c r="AC58" s="466"/>
      <c r="AD58" s="467"/>
      <c r="AE58" s="465"/>
      <c r="AF58" s="29" t="str">
        <f t="shared" si="11"/>
        <v/>
      </c>
      <c r="AG58" s="468">
        <v>1302</v>
      </c>
      <c r="AH58" s="30">
        <f t="shared" si="35"/>
        <v>60.801526717557252</v>
      </c>
      <c r="AI58" s="469"/>
      <c r="AJ58" s="469"/>
      <c r="AK58" s="469"/>
      <c r="AL58" s="470">
        <v>7410</v>
      </c>
      <c r="AM58" s="471">
        <f t="shared" si="40"/>
        <v>555</v>
      </c>
    </row>
    <row r="59" spans="1:39" s="141" customFormat="1" ht="15.95">
      <c r="A59" s="141">
        <v>21</v>
      </c>
      <c r="B59" s="141">
        <f t="shared" si="6"/>
        <v>12</v>
      </c>
      <c r="C59" s="142">
        <v>46041</v>
      </c>
      <c r="D59" s="141" t="s">
        <v>86</v>
      </c>
      <c r="G59" s="142">
        <v>46045.791666666664</v>
      </c>
      <c r="H59" s="141" t="s">
        <v>67</v>
      </c>
      <c r="I59" s="439">
        <v>0.85</v>
      </c>
      <c r="J59" s="29">
        <f t="shared" si="31"/>
        <v>0.23502304147465439</v>
      </c>
      <c r="K59" s="35">
        <f t="shared" si="34"/>
        <v>306</v>
      </c>
      <c r="L59" s="37">
        <f t="shared" si="41"/>
        <v>22141.9</v>
      </c>
      <c r="M59" s="30">
        <f t="shared" si="25"/>
        <v>90000</v>
      </c>
      <c r="N59" s="429">
        <f t="shared" si="36"/>
        <v>-67858.100000000006</v>
      </c>
      <c r="O59" s="29" t="str">
        <f t="shared" si="37"/>
        <v>Too early</v>
      </c>
      <c r="P59" s="36" t="str">
        <f t="shared" si="7"/>
        <v>Too early</v>
      </c>
      <c r="Q59" s="37" t="str">
        <f t="shared" si="33"/>
        <v>Too early</v>
      </c>
      <c r="R59" s="443" t="str">
        <f t="shared" si="14"/>
        <v>Too early</v>
      </c>
      <c r="S59" s="466">
        <v>306</v>
      </c>
      <c r="T59" s="468">
        <f t="shared" si="8"/>
        <v>1302</v>
      </c>
      <c r="U59" s="461">
        <f t="shared" si="32"/>
        <v>1106.7</v>
      </c>
      <c r="V59" s="462" t="str">
        <f>IF(B59&lt;11,MIN((S59/VLOOKUP(B59,'Sales Pacing'!$A$23:$E$36,2)),T59),"Too early")</f>
        <v>Too early</v>
      </c>
      <c r="W59" s="522" t="e">
        <f t="shared" si="9"/>
        <v>#VALUE!</v>
      </c>
      <c r="X59" s="463" t="str">
        <f t="shared" si="38"/>
        <v>Too early</v>
      </c>
      <c r="Y59" s="467">
        <v>22141.9</v>
      </c>
      <c r="Z59" s="465">
        <v>90000</v>
      </c>
      <c r="AA59" s="473">
        <f t="shared" si="10"/>
        <v>0.24602111111111113</v>
      </c>
      <c r="AB59" s="29" t="str">
        <f t="shared" si="39"/>
        <v>Too early</v>
      </c>
      <c r="AC59" s="466"/>
      <c r="AD59" s="467"/>
      <c r="AE59" s="465"/>
      <c r="AF59" s="29" t="str">
        <f t="shared" si="11"/>
        <v/>
      </c>
      <c r="AG59" s="468">
        <v>1302</v>
      </c>
      <c r="AH59" s="30">
        <f t="shared" si="35"/>
        <v>72.359150326797391</v>
      </c>
      <c r="AI59" s="469"/>
      <c r="AJ59" s="469"/>
      <c r="AK59" s="469"/>
      <c r="AL59" s="470">
        <v>21481.9</v>
      </c>
      <c r="AM59" s="471">
        <f t="shared" si="40"/>
        <v>660</v>
      </c>
    </row>
    <row r="60" spans="1:39" s="141" customFormat="1" ht="15.95">
      <c r="A60" s="141">
        <v>21</v>
      </c>
      <c r="B60" s="141">
        <f t="shared" si="6"/>
        <v>12</v>
      </c>
      <c r="C60" s="142">
        <v>46041</v>
      </c>
      <c r="D60" s="141" t="s">
        <v>86</v>
      </c>
      <c r="G60" s="142">
        <v>46046.791666666664</v>
      </c>
      <c r="H60" s="141" t="s">
        <v>67</v>
      </c>
      <c r="I60" s="439">
        <v>0.85</v>
      </c>
      <c r="J60" s="29">
        <f t="shared" si="31"/>
        <v>0.3847926267281106</v>
      </c>
      <c r="K60" s="35">
        <f t="shared" si="34"/>
        <v>501</v>
      </c>
      <c r="L60" s="37">
        <f t="shared" si="41"/>
        <v>36718.1</v>
      </c>
      <c r="M60" s="30">
        <f t="shared" si="25"/>
        <v>90000</v>
      </c>
      <c r="N60" s="429">
        <f t="shared" si="36"/>
        <v>-53281.9</v>
      </c>
      <c r="O60" s="29" t="str">
        <f t="shared" si="37"/>
        <v>Too early</v>
      </c>
      <c r="P60" s="36" t="str">
        <f t="shared" si="7"/>
        <v>Too early</v>
      </c>
      <c r="Q60" s="37" t="str">
        <f t="shared" si="33"/>
        <v>Too early</v>
      </c>
      <c r="R60" s="443" t="str">
        <f t="shared" si="14"/>
        <v>Too early</v>
      </c>
      <c r="S60" s="466">
        <v>501</v>
      </c>
      <c r="T60" s="468">
        <f t="shared" si="8"/>
        <v>1302</v>
      </c>
      <c r="U60" s="461">
        <f t="shared" si="32"/>
        <v>1106.7</v>
      </c>
      <c r="V60" s="462" t="str">
        <f>IF(B60&lt;11,MIN((S60/VLOOKUP(B60,'Sales Pacing'!$A$23:$E$36,2)),T60),"Too early")</f>
        <v>Too early</v>
      </c>
      <c r="W60" s="522" t="e">
        <f t="shared" si="9"/>
        <v>#VALUE!</v>
      </c>
      <c r="X60" s="463" t="str">
        <f t="shared" si="38"/>
        <v>Too early</v>
      </c>
      <c r="Y60" s="467">
        <v>36718.1</v>
      </c>
      <c r="Z60" s="465">
        <v>90000</v>
      </c>
      <c r="AA60" s="473">
        <f t="shared" si="10"/>
        <v>0.40797888888888889</v>
      </c>
      <c r="AB60" s="29" t="str">
        <f t="shared" si="39"/>
        <v>Too early</v>
      </c>
      <c r="AC60" s="466"/>
      <c r="AD60" s="467"/>
      <c r="AE60" s="465"/>
      <c r="AF60" s="29" t="str">
        <f t="shared" si="11"/>
        <v/>
      </c>
      <c r="AG60" s="468">
        <v>1302</v>
      </c>
      <c r="AH60" s="30">
        <f t="shared" si="35"/>
        <v>73.289620758483025</v>
      </c>
      <c r="AI60" s="469"/>
      <c r="AJ60" s="469"/>
      <c r="AK60" s="469"/>
      <c r="AL60" s="470">
        <v>34988.1</v>
      </c>
      <c r="AM60" s="471">
        <f t="shared" si="40"/>
        <v>1730</v>
      </c>
    </row>
    <row r="61" spans="1:39" s="145" customFormat="1" ht="15.95">
      <c r="A61" s="145">
        <v>21</v>
      </c>
      <c r="B61" s="145">
        <f t="shared" si="6"/>
        <v>12</v>
      </c>
      <c r="C61" s="146">
        <v>46041</v>
      </c>
      <c r="D61" s="145" t="s">
        <v>86</v>
      </c>
      <c r="G61" s="146">
        <v>46047.583333333336</v>
      </c>
      <c r="H61" s="145" t="s">
        <v>67</v>
      </c>
      <c r="I61" s="453">
        <v>0.85</v>
      </c>
      <c r="J61" s="32">
        <f t="shared" si="31"/>
        <v>0.29493087557603687</v>
      </c>
      <c r="K61" s="147">
        <f t="shared" si="34"/>
        <v>384</v>
      </c>
      <c r="L61" s="33">
        <f t="shared" si="41"/>
        <v>26947.1</v>
      </c>
      <c r="M61" s="34">
        <f t="shared" si="25"/>
        <v>90000</v>
      </c>
      <c r="N61" s="431">
        <f t="shared" si="36"/>
        <v>-63052.9</v>
      </c>
      <c r="O61" s="32" t="str">
        <f t="shared" si="37"/>
        <v>Too early</v>
      </c>
      <c r="P61" s="31" t="str">
        <f t="shared" si="7"/>
        <v>Too early</v>
      </c>
      <c r="Q61" s="33" t="str">
        <f t="shared" si="33"/>
        <v>Too early</v>
      </c>
      <c r="R61" s="444" t="str">
        <f t="shared" si="14"/>
        <v>Too early</v>
      </c>
      <c r="S61" s="478">
        <v>384</v>
      </c>
      <c r="T61" s="480">
        <f t="shared" si="8"/>
        <v>1302</v>
      </c>
      <c r="U61" s="490">
        <f t="shared" si="32"/>
        <v>1106.7</v>
      </c>
      <c r="V61" s="491" t="str">
        <f>IF(B61&lt;11,MIN((S61/VLOOKUP(B61,'Sales Pacing'!$A$23:$E$36,2)),T61),"Too early")</f>
        <v>Too early</v>
      </c>
      <c r="W61" s="524" t="e">
        <f t="shared" si="9"/>
        <v>#VALUE!</v>
      </c>
      <c r="X61" s="492" t="str">
        <f t="shared" si="38"/>
        <v>Too early</v>
      </c>
      <c r="Y61" s="479">
        <v>26947.1</v>
      </c>
      <c r="Z61" s="465">
        <v>90000</v>
      </c>
      <c r="AA61" s="473">
        <f t="shared" si="10"/>
        <v>0.29941222222222219</v>
      </c>
      <c r="AB61" s="32" t="str">
        <f t="shared" si="39"/>
        <v>Too early</v>
      </c>
      <c r="AC61" s="478"/>
      <c r="AD61" s="479"/>
      <c r="AE61" s="476"/>
      <c r="AF61" s="32" t="str">
        <f t="shared" si="11"/>
        <v/>
      </c>
      <c r="AG61" s="480">
        <v>1302</v>
      </c>
      <c r="AH61" s="34">
        <f t="shared" si="35"/>
        <v>70.174739583333334</v>
      </c>
      <c r="AI61" s="481"/>
      <c r="AJ61" s="481"/>
      <c r="AK61" s="481"/>
      <c r="AL61" s="493">
        <v>26457.1</v>
      </c>
      <c r="AM61" s="471">
        <f t="shared" si="40"/>
        <v>490</v>
      </c>
    </row>
    <row r="62" spans="1:39" s="141" customFormat="1" ht="15.95">
      <c r="A62" s="141">
        <v>22</v>
      </c>
      <c r="B62" s="141">
        <f t="shared" si="6"/>
        <v>13</v>
      </c>
      <c r="C62" s="175">
        <v>46048</v>
      </c>
      <c r="D62" s="176" t="s">
        <v>87</v>
      </c>
      <c r="E62" s="176"/>
      <c r="F62" s="176"/>
      <c r="G62" s="175">
        <v>46052.833333333336</v>
      </c>
      <c r="H62" s="176" t="s">
        <v>65</v>
      </c>
      <c r="I62" s="439">
        <v>0.85</v>
      </c>
      <c r="J62" s="29">
        <f t="shared" si="31"/>
        <v>0.27358490566037735</v>
      </c>
      <c r="K62" s="35">
        <f t="shared" si="34"/>
        <v>435</v>
      </c>
      <c r="L62" s="37">
        <f t="shared" si="41"/>
        <v>28716</v>
      </c>
      <c r="M62" s="30">
        <f t="shared" si="25"/>
        <v>54000</v>
      </c>
      <c r="N62" s="429">
        <f t="shared" si="36"/>
        <v>-25284</v>
      </c>
      <c r="O62" s="29" t="str">
        <f t="shared" si="37"/>
        <v>Too early</v>
      </c>
      <c r="P62" s="36" t="str">
        <f t="shared" si="7"/>
        <v>Too early</v>
      </c>
      <c r="Q62" s="37" t="str">
        <f t="shared" si="33"/>
        <v>Too early</v>
      </c>
      <c r="R62" s="443" t="str">
        <f t="shared" si="14"/>
        <v>Too early</v>
      </c>
      <c r="S62" s="460">
        <v>71</v>
      </c>
      <c r="T62" s="461">
        <f t="shared" si="8"/>
        <v>1226</v>
      </c>
      <c r="U62" s="461">
        <f t="shared" si="32"/>
        <v>1042.0999999999999</v>
      </c>
      <c r="V62" s="462" t="str">
        <f>IF(B62&lt;11,MIN((S62/VLOOKUP(B62,'Sales Pacing'!$A$23:$E$36,2)),T62),"Too early")</f>
        <v>Too early</v>
      </c>
      <c r="W62" s="522" t="e">
        <f t="shared" si="9"/>
        <v>#VALUE!</v>
      </c>
      <c r="X62" s="463" t="str">
        <f t="shared" si="38"/>
        <v>Too early</v>
      </c>
      <c r="Y62" s="467">
        <v>3847</v>
      </c>
      <c r="Z62" s="465">
        <v>24000</v>
      </c>
      <c r="AA62" s="473">
        <f t="shared" si="10"/>
        <v>0.16029166666666667</v>
      </c>
      <c r="AB62" s="29" t="str">
        <f t="shared" si="39"/>
        <v>Too early</v>
      </c>
      <c r="AC62" s="466">
        <v>364</v>
      </c>
      <c r="AD62" s="467">
        <v>24869</v>
      </c>
      <c r="AE62" s="465">
        <v>30000</v>
      </c>
      <c r="AF62" s="29">
        <f t="shared" si="11"/>
        <v>0.82896666666666663</v>
      </c>
      <c r="AG62" s="468">
        <v>1590</v>
      </c>
      <c r="AH62" s="30">
        <f t="shared" si="35"/>
        <v>54.183098591549296</v>
      </c>
      <c r="AI62" s="469"/>
      <c r="AJ62" s="469"/>
      <c r="AK62" s="469"/>
      <c r="AL62" s="470">
        <v>28368</v>
      </c>
      <c r="AM62" s="471">
        <f t="shared" si="40"/>
        <v>348</v>
      </c>
    </row>
    <row r="63" spans="1:39" s="141" customFormat="1" ht="15.95">
      <c r="A63" s="141">
        <v>22</v>
      </c>
      <c r="B63" s="141">
        <f t="shared" si="6"/>
        <v>13</v>
      </c>
      <c r="C63" s="142">
        <v>46048</v>
      </c>
      <c r="D63" s="141" t="s">
        <v>87</v>
      </c>
      <c r="G63" s="142">
        <v>46053.833333333336</v>
      </c>
      <c r="H63" s="141" t="s">
        <v>65</v>
      </c>
      <c r="I63" s="439">
        <v>0.85</v>
      </c>
      <c r="J63" s="29">
        <f t="shared" si="31"/>
        <v>0.43522012578616354</v>
      </c>
      <c r="K63" s="35">
        <f t="shared" si="34"/>
        <v>692</v>
      </c>
      <c r="L63" s="37">
        <f t="shared" si="41"/>
        <v>45477.9</v>
      </c>
      <c r="M63" s="30">
        <f t="shared" si="25"/>
        <v>75000</v>
      </c>
      <c r="N63" s="429">
        <f t="shared" si="36"/>
        <v>-29522.1</v>
      </c>
      <c r="O63" s="29" t="str">
        <f t="shared" si="37"/>
        <v>Too early</v>
      </c>
      <c r="P63" s="36" t="str">
        <f t="shared" si="7"/>
        <v>Too early</v>
      </c>
      <c r="Q63" s="37" t="str">
        <f t="shared" si="33"/>
        <v>Too early</v>
      </c>
      <c r="R63" s="443" t="str">
        <f t="shared" si="14"/>
        <v>Too early</v>
      </c>
      <c r="S63" s="460">
        <v>94</v>
      </c>
      <c r="T63" s="461">
        <f t="shared" si="8"/>
        <v>992</v>
      </c>
      <c r="U63" s="461">
        <f t="shared" si="32"/>
        <v>843.19999999999993</v>
      </c>
      <c r="V63" s="462" t="str">
        <f>IF(B63&lt;11,MIN((S63/VLOOKUP(B63,'Sales Pacing'!$A$23:$E$36,2)),T63),"Too early")</f>
        <v>Too early</v>
      </c>
      <c r="W63" s="522" t="e">
        <f t="shared" si="9"/>
        <v>#VALUE!</v>
      </c>
      <c r="X63" s="463" t="str">
        <f t="shared" si="38"/>
        <v>Too early</v>
      </c>
      <c r="Y63" s="467">
        <v>5569</v>
      </c>
      <c r="Z63" s="465">
        <v>20000</v>
      </c>
      <c r="AA63" s="473">
        <f t="shared" si="10"/>
        <v>0.27844999999999998</v>
      </c>
      <c r="AB63" s="29" t="str">
        <f t="shared" si="39"/>
        <v>Too early</v>
      </c>
      <c r="AC63" s="466">
        <v>598</v>
      </c>
      <c r="AD63" s="467">
        <v>39908.9</v>
      </c>
      <c r="AE63" s="465">
        <v>55000</v>
      </c>
      <c r="AF63" s="29">
        <f t="shared" si="11"/>
        <v>0.72561636363636361</v>
      </c>
      <c r="AG63" s="468">
        <v>1590</v>
      </c>
      <c r="AH63" s="30">
        <f t="shared" si="35"/>
        <v>59.244680851063826</v>
      </c>
      <c r="AI63" s="469"/>
      <c r="AJ63" s="469"/>
      <c r="AK63" s="469"/>
      <c r="AL63" s="470">
        <v>45500.9</v>
      </c>
      <c r="AM63" s="471">
        <f t="shared" si="40"/>
        <v>-23</v>
      </c>
    </row>
    <row r="64" spans="1:39" s="145" customFormat="1" ht="15.95">
      <c r="A64" s="145">
        <v>22</v>
      </c>
      <c r="B64" s="145">
        <f t="shared" si="6"/>
        <v>13</v>
      </c>
      <c r="C64" s="146">
        <v>46048</v>
      </c>
      <c r="D64" s="145" t="s">
        <v>87</v>
      </c>
      <c r="G64" s="146">
        <v>46054.583333333336</v>
      </c>
      <c r="H64" s="145" t="s">
        <v>65</v>
      </c>
      <c r="I64" s="453">
        <v>0.85</v>
      </c>
      <c r="J64" s="32">
        <f t="shared" si="31"/>
        <v>0.42830188679245285</v>
      </c>
      <c r="K64" s="147">
        <f t="shared" si="34"/>
        <v>681</v>
      </c>
      <c r="L64" s="33">
        <f t="shared" si="41"/>
        <v>43667.199999999997</v>
      </c>
      <c r="M64" s="34">
        <f t="shared" si="25"/>
        <v>75000</v>
      </c>
      <c r="N64" s="431">
        <f t="shared" si="36"/>
        <v>-31332.800000000003</v>
      </c>
      <c r="O64" s="32" t="str">
        <f t="shared" si="37"/>
        <v>Too early</v>
      </c>
      <c r="P64" s="31" t="str">
        <f t="shared" si="7"/>
        <v>Too early</v>
      </c>
      <c r="Q64" s="33" t="str">
        <f t="shared" si="33"/>
        <v>Too early</v>
      </c>
      <c r="R64" s="444" t="str">
        <f t="shared" si="14"/>
        <v>Too early</v>
      </c>
      <c r="S64" s="474">
        <v>72</v>
      </c>
      <c r="T64" s="490">
        <f t="shared" si="8"/>
        <v>981</v>
      </c>
      <c r="U64" s="490">
        <f t="shared" si="32"/>
        <v>833.85</v>
      </c>
      <c r="V64" s="491" t="str">
        <f>IF(B64&lt;11,MIN((S64/VLOOKUP(B64,'Sales Pacing'!$A$23:$E$36,2)),T64),"Too early")</f>
        <v>Too early</v>
      </c>
      <c r="W64" s="524" t="e">
        <f t="shared" si="9"/>
        <v>#VALUE!</v>
      </c>
      <c r="X64" s="492" t="str">
        <f t="shared" si="38"/>
        <v>Too early</v>
      </c>
      <c r="Y64" s="479">
        <v>4644</v>
      </c>
      <c r="Z64" s="476">
        <v>20000</v>
      </c>
      <c r="AA64" s="477">
        <f t="shared" si="10"/>
        <v>0.23219999999999999</v>
      </c>
      <c r="AB64" s="32" t="str">
        <f t="shared" si="39"/>
        <v>Too early</v>
      </c>
      <c r="AC64" s="478">
        <v>609</v>
      </c>
      <c r="AD64" s="479">
        <v>39023.199999999997</v>
      </c>
      <c r="AE64" s="476">
        <v>55000</v>
      </c>
      <c r="AF64" s="32">
        <f t="shared" si="11"/>
        <v>0.70951272727272718</v>
      </c>
      <c r="AG64" s="480">
        <v>1590</v>
      </c>
      <c r="AH64" s="34">
        <f t="shared" si="35"/>
        <v>64.5</v>
      </c>
      <c r="AI64" s="481"/>
      <c r="AJ64" s="481"/>
      <c r="AK64" s="481"/>
      <c r="AL64" s="493">
        <v>43394.2</v>
      </c>
      <c r="AM64" s="471">
        <f t="shared" si="40"/>
        <v>273</v>
      </c>
    </row>
    <row r="65" spans="1:39" s="141" customFormat="1" ht="15.95">
      <c r="A65" s="141">
        <v>23</v>
      </c>
      <c r="B65" s="141">
        <f t="shared" si="6"/>
        <v>14</v>
      </c>
      <c r="C65" s="142">
        <v>46055</v>
      </c>
      <c r="D65" s="141" t="s">
        <v>88</v>
      </c>
      <c r="G65" s="142">
        <v>46058.833333333336</v>
      </c>
      <c r="H65" s="141" t="s">
        <v>71</v>
      </c>
      <c r="I65" s="439">
        <v>0.85</v>
      </c>
      <c r="J65" s="29">
        <f t="shared" si="31"/>
        <v>0.19</v>
      </c>
      <c r="K65" s="35">
        <f t="shared" si="34"/>
        <v>19</v>
      </c>
      <c r="L65" s="37">
        <f t="shared" si="41"/>
        <v>1960</v>
      </c>
      <c r="M65" s="30">
        <v>9000</v>
      </c>
      <c r="N65" s="429">
        <f t="shared" si="36"/>
        <v>-7040</v>
      </c>
      <c r="O65" s="29" t="str">
        <f t="shared" si="37"/>
        <v>Too early</v>
      </c>
      <c r="P65" s="36" t="str">
        <f t="shared" si="7"/>
        <v>Too early</v>
      </c>
      <c r="Q65" s="37" t="str">
        <f t="shared" si="33"/>
        <v>Too early</v>
      </c>
      <c r="R65" s="443" t="str">
        <f t="shared" si="14"/>
        <v>Too early</v>
      </c>
      <c r="S65" s="460">
        <v>19</v>
      </c>
      <c r="T65" s="461">
        <f t="shared" si="8"/>
        <v>100</v>
      </c>
      <c r="U65" s="461">
        <f t="shared" si="32"/>
        <v>85</v>
      </c>
      <c r="V65" s="462" t="str">
        <f>IF(B65&lt;11,MIN((S65/VLOOKUP(B65,'Sales Pacing'!$A$23:$E$36,2)),T65),"Too early")</f>
        <v>Too early</v>
      </c>
      <c r="W65" s="522" t="e">
        <f t="shared" si="9"/>
        <v>#VALUE!</v>
      </c>
      <c r="X65" s="463" t="str">
        <f t="shared" si="38"/>
        <v>Too early</v>
      </c>
      <c r="Y65" s="467">
        <v>1960</v>
      </c>
      <c r="Z65" s="465">
        <v>9000</v>
      </c>
      <c r="AA65" s="473">
        <f t="shared" si="10"/>
        <v>0.21777777777777776</v>
      </c>
      <c r="AB65" s="29" t="str">
        <f t="shared" si="39"/>
        <v>Too early</v>
      </c>
      <c r="AC65" s="466"/>
      <c r="AD65" s="467"/>
      <c r="AE65" s="465"/>
      <c r="AF65" s="29" t="str">
        <f t="shared" si="11"/>
        <v/>
      </c>
      <c r="AG65" s="468">
        <v>100</v>
      </c>
      <c r="AH65" s="30">
        <f t="shared" si="35"/>
        <v>103.15789473684211</v>
      </c>
      <c r="AI65" s="469"/>
      <c r="AJ65" s="469"/>
      <c r="AK65" s="469"/>
      <c r="AL65" s="470">
        <v>1960</v>
      </c>
      <c r="AM65" s="471">
        <f t="shared" si="40"/>
        <v>0</v>
      </c>
    </row>
    <row r="66" spans="1:39" s="141" customFormat="1" ht="15.95">
      <c r="A66" s="141">
        <v>23</v>
      </c>
      <c r="B66" s="141">
        <f t="shared" si="6"/>
        <v>14</v>
      </c>
      <c r="C66" s="142">
        <v>46055</v>
      </c>
      <c r="D66" s="141" t="s">
        <v>89</v>
      </c>
      <c r="G66" s="142">
        <v>46059.833333333336</v>
      </c>
      <c r="H66" s="141" t="s">
        <v>65</v>
      </c>
      <c r="I66" s="439">
        <v>0.85</v>
      </c>
      <c r="J66" s="29">
        <f t="shared" si="31"/>
        <v>0.39245283018867927</v>
      </c>
      <c r="K66" s="35">
        <f t="shared" si="34"/>
        <v>624</v>
      </c>
      <c r="L66" s="37">
        <f t="shared" si="41"/>
        <v>40003</v>
      </c>
      <c r="M66" s="30">
        <f t="shared" ref="M66:M105" si="42">Z66+AE66</f>
        <v>46666</v>
      </c>
      <c r="N66" s="429">
        <f t="shared" si="36"/>
        <v>-6663</v>
      </c>
      <c r="O66" s="29" t="str">
        <f t="shared" si="37"/>
        <v>Too early</v>
      </c>
      <c r="P66" s="36" t="str">
        <f t="shared" si="7"/>
        <v>Too early</v>
      </c>
      <c r="Q66" s="37" t="str">
        <f t="shared" si="33"/>
        <v>Too early</v>
      </c>
      <c r="R66" s="443" t="str">
        <f t="shared" si="14"/>
        <v>Too early</v>
      </c>
      <c r="S66" s="460">
        <v>62</v>
      </c>
      <c r="T66" s="461">
        <f t="shared" si="8"/>
        <v>1028</v>
      </c>
      <c r="U66" s="461">
        <f t="shared" si="32"/>
        <v>873.8</v>
      </c>
      <c r="V66" s="462" t="str">
        <f>IF(B66&lt;11,MIN((S66/VLOOKUP(B66,'Sales Pacing'!$A$23:$E$36,2)),T66),"Too early")</f>
        <v>Too early</v>
      </c>
      <c r="W66" s="522" t="e">
        <f t="shared" si="9"/>
        <v>#VALUE!</v>
      </c>
      <c r="X66" s="463" t="str">
        <f t="shared" si="38"/>
        <v>Too early</v>
      </c>
      <c r="Y66" s="467">
        <v>2540</v>
      </c>
      <c r="Z66" s="465">
        <v>13333</v>
      </c>
      <c r="AA66" s="473">
        <f t="shared" si="10"/>
        <v>0.19050476261906549</v>
      </c>
      <c r="AB66" s="29" t="str">
        <f t="shared" si="39"/>
        <v>Too early</v>
      </c>
      <c r="AC66" s="466">
        <v>562</v>
      </c>
      <c r="AD66" s="467">
        <v>37463</v>
      </c>
      <c r="AE66" s="465">
        <v>33333</v>
      </c>
      <c r="AF66" s="29">
        <f t="shared" si="11"/>
        <v>1.1239012390123901</v>
      </c>
      <c r="AG66" s="468">
        <v>1590</v>
      </c>
      <c r="AH66" s="30">
        <f t="shared" si="35"/>
        <v>40.967741935483872</v>
      </c>
      <c r="AI66" s="469"/>
      <c r="AJ66" s="469"/>
      <c r="AK66" s="469"/>
      <c r="AL66" s="470">
        <v>39823</v>
      </c>
      <c r="AM66" s="471">
        <f t="shared" si="40"/>
        <v>180</v>
      </c>
    </row>
    <row r="67" spans="1:39" s="141" customFormat="1" ht="15.95">
      <c r="A67" s="141">
        <v>23</v>
      </c>
      <c r="B67" s="141">
        <f t="shared" si="6"/>
        <v>14</v>
      </c>
      <c r="C67" s="142">
        <v>46055</v>
      </c>
      <c r="D67" s="141" t="s">
        <v>90</v>
      </c>
      <c r="G67" s="142">
        <v>46060.833333333336</v>
      </c>
      <c r="H67" s="141" t="s">
        <v>65</v>
      </c>
      <c r="I67" s="439">
        <v>0.85</v>
      </c>
      <c r="J67" s="29">
        <f t="shared" si="31"/>
        <v>0.38238993710691827</v>
      </c>
      <c r="K67" s="35">
        <f t="shared" si="34"/>
        <v>608</v>
      </c>
      <c r="L67" s="37">
        <f t="shared" si="41"/>
        <v>38795.199999999997</v>
      </c>
      <c r="M67" s="30">
        <f t="shared" si="42"/>
        <v>46666</v>
      </c>
      <c r="N67" s="429">
        <f t="shared" si="36"/>
        <v>-7870.8000000000029</v>
      </c>
      <c r="O67" s="29" t="str">
        <f t="shared" si="37"/>
        <v>Too early</v>
      </c>
      <c r="P67" s="36" t="str">
        <f t="shared" si="7"/>
        <v>Too early</v>
      </c>
      <c r="Q67" s="37" t="str">
        <f t="shared" si="33"/>
        <v>Too early</v>
      </c>
      <c r="R67" s="443" t="str">
        <f t="shared" si="14"/>
        <v>Too early</v>
      </c>
      <c r="S67" s="460">
        <v>49</v>
      </c>
      <c r="T67" s="461">
        <f t="shared" si="8"/>
        <v>1031</v>
      </c>
      <c r="U67" s="461">
        <f t="shared" si="32"/>
        <v>876.35</v>
      </c>
      <c r="V67" s="462" t="str">
        <f>IF(B67&lt;11,MIN((S67/VLOOKUP(B67,'Sales Pacing'!$A$23:$E$36,2)),T67),"Too early")</f>
        <v>Too early</v>
      </c>
      <c r="W67" s="522" t="e">
        <f t="shared" si="9"/>
        <v>#VALUE!</v>
      </c>
      <c r="X67" s="463" t="str">
        <f t="shared" si="38"/>
        <v>Too early</v>
      </c>
      <c r="Y67" s="467">
        <v>2478</v>
      </c>
      <c r="Z67" s="465">
        <v>13333</v>
      </c>
      <c r="AA67" s="473">
        <f t="shared" si="10"/>
        <v>0.18585464636615914</v>
      </c>
      <c r="AB67" s="29" t="str">
        <f t="shared" si="39"/>
        <v>Too early</v>
      </c>
      <c r="AC67" s="466">
        <v>559</v>
      </c>
      <c r="AD67" s="467">
        <v>36317.199999999997</v>
      </c>
      <c r="AE67" s="465">
        <v>33333</v>
      </c>
      <c r="AF67" s="29">
        <f t="shared" si="11"/>
        <v>1.0895268952689525</v>
      </c>
      <c r="AG67" s="468">
        <v>1590</v>
      </c>
      <c r="AH67" s="30">
        <f t="shared" si="35"/>
        <v>50.571428571428569</v>
      </c>
      <c r="AI67" s="469"/>
      <c r="AJ67" s="469"/>
      <c r="AK67" s="469"/>
      <c r="AL67" s="470">
        <v>38606.199999999997</v>
      </c>
      <c r="AM67" s="471">
        <f t="shared" si="40"/>
        <v>189</v>
      </c>
    </row>
    <row r="68" spans="1:39" s="145" customFormat="1" ht="15.95">
      <c r="A68" s="145">
        <v>23</v>
      </c>
      <c r="B68" s="145">
        <f t="shared" si="6"/>
        <v>14</v>
      </c>
      <c r="C68" s="146">
        <v>46055</v>
      </c>
      <c r="D68" s="145" t="s">
        <v>91</v>
      </c>
      <c r="G68" s="146">
        <v>46061.583333333336</v>
      </c>
      <c r="H68" s="145" t="s">
        <v>65</v>
      </c>
      <c r="I68" s="453">
        <v>0.85</v>
      </c>
      <c r="J68" s="32">
        <f t="shared" si="31"/>
        <v>0.38113207547169814</v>
      </c>
      <c r="K68" s="147">
        <f t="shared" si="34"/>
        <v>606</v>
      </c>
      <c r="L68" s="33">
        <f t="shared" si="41"/>
        <v>38109.1</v>
      </c>
      <c r="M68" s="34">
        <f t="shared" si="42"/>
        <v>46668</v>
      </c>
      <c r="N68" s="431">
        <f t="shared" si="36"/>
        <v>-8558.9000000000015</v>
      </c>
      <c r="O68" s="32" t="str">
        <f t="shared" si="37"/>
        <v>Too early</v>
      </c>
      <c r="P68" s="31" t="str">
        <f t="shared" si="7"/>
        <v>Too early</v>
      </c>
      <c r="Q68" s="33" t="str">
        <f t="shared" si="33"/>
        <v>Too early</v>
      </c>
      <c r="R68" s="444" t="str">
        <f t="shared" si="14"/>
        <v>Too early</v>
      </c>
      <c r="S68" s="474">
        <v>44</v>
      </c>
      <c r="T68" s="490">
        <f t="shared" si="8"/>
        <v>1028</v>
      </c>
      <c r="U68" s="490">
        <f t="shared" si="32"/>
        <v>873.8</v>
      </c>
      <c r="V68" s="491" t="str">
        <f>IF(B68&lt;11,MIN((S68/VLOOKUP(B68,'Sales Pacing'!$A$23:$E$36,2)),T68),"Too early")</f>
        <v>Too early</v>
      </c>
      <c r="W68" s="524" t="e">
        <f t="shared" si="9"/>
        <v>#VALUE!</v>
      </c>
      <c r="X68" s="492" t="str">
        <f t="shared" si="38"/>
        <v>Too early</v>
      </c>
      <c r="Y68" s="479">
        <v>1922</v>
      </c>
      <c r="Z68" s="476">
        <v>13334</v>
      </c>
      <c r="AA68" s="477">
        <f t="shared" si="10"/>
        <v>0.14414279286035697</v>
      </c>
      <c r="AB68" s="32" t="str">
        <f t="shared" si="39"/>
        <v>Too early</v>
      </c>
      <c r="AC68" s="478">
        <v>562</v>
      </c>
      <c r="AD68" s="479">
        <v>36187.1</v>
      </c>
      <c r="AE68" s="476">
        <v>33334</v>
      </c>
      <c r="AF68" s="32">
        <f t="shared" si="11"/>
        <v>1.0855912881742364</v>
      </c>
      <c r="AG68" s="480">
        <v>1590</v>
      </c>
      <c r="AH68" s="34">
        <f t="shared" si="35"/>
        <v>43.68181818181818</v>
      </c>
      <c r="AI68" s="481"/>
      <c r="AJ68" s="481"/>
      <c r="AK68" s="481"/>
      <c r="AL68" s="493">
        <v>38063.1</v>
      </c>
      <c r="AM68" s="471">
        <f t="shared" si="40"/>
        <v>46</v>
      </c>
    </row>
    <row r="69" spans="1:39" s="141" customFormat="1" ht="15.95">
      <c r="A69" s="141">
        <v>24</v>
      </c>
      <c r="B69" s="141">
        <f t="shared" si="6"/>
        <v>15</v>
      </c>
      <c r="C69" s="142">
        <v>46062</v>
      </c>
      <c r="D69" s="141" t="s">
        <v>92</v>
      </c>
      <c r="G69" s="142">
        <v>46065.791666666664</v>
      </c>
      <c r="H69" s="141" t="s">
        <v>55</v>
      </c>
      <c r="I69" s="439">
        <v>0.85</v>
      </c>
      <c r="J69" s="29">
        <f t="shared" si="31"/>
        <v>0.21383647798742139</v>
      </c>
      <c r="K69" s="35">
        <f t="shared" si="34"/>
        <v>340</v>
      </c>
      <c r="L69" s="37">
        <f t="shared" si="41"/>
        <v>30162</v>
      </c>
      <c r="M69" s="30">
        <f t="shared" si="42"/>
        <v>128900</v>
      </c>
      <c r="N69" s="429">
        <f t="shared" si="36"/>
        <v>-98738</v>
      </c>
      <c r="O69" s="29" t="str">
        <f t="shared" si="37"/>
        <v>Too early</v>
      </c>
      <c r="P69" s="36" t="str">
        <f t="shared" si="7"/>
        <v>Too early</v>
      </c>
      <c r="Q69" s="37" t="str">
        <f t="shared" si="33"/>
        <v>Too early</v>
      </c>
      <c r="R69" s="443" t="str">
        <f t="shared" si="14"/>
        <v>Too early</v>
      </c>
      <c r="S69" s="466">
        <v>340</v>
      </c>
      <c r="T69" s="468">
        <f t="shared" si="8"/>
        <v>1590</v>
      </c>
      <c r="U69" s="461">
        <f t="shared" si="32"/>
        <v>1351.5</v>
      </c>
      <c r="V69" s="462" t="str">
        <f>IF(B69&lt;11,MIN((S69/VLOOKUP(B69,'Sales Pacing'!$A$23:$E$36,2)),T69),"Too early")</f>
        <v>Too early</v>
      </c>
      <c r="W69" s="522" t="e">
        <f t="shared" si="9"/>
        <v>#VALUE!</v>
      </c>
      <c r="X69" s="463" t="str">
        <f t="shared" si="38"/>
        <v>Too early</v>
      </c>
      <c r="Y69" s="467">
        <v>30162</v>
      </c>
      <c r="Z69" s="465">
        <v>128900</v>
      </c>
      <c r="AA69" s="473">
        <f t="shared" si="10"/>
        <v>0.23399534522885959</v>
      </c>
      <c r="AB69" s="29" t="str">
        <f t="shared" si="39"/>
        <v>Too early</v>
      </c>
      <c r="AC69" s="466"/>
      <c r="AD69" s="467"/>
      <c r="AE69" s="465"/>
      <c r="AF69" s="29" t="str">
        <f t="shared" si="11"/>
        <v/>
      </c>
      <c r="AG69" s="468">
        <v>1590</v>
      </c>
      <c r="AH69" s="30">
        <f t="shared" si="35"/>
        <v>88.711764705882359</v>
      </c>
      <c r="AI69" s="469"/>
      <c r="AJ69" s="469"/>
      <c r="AK69" s="469"/>
      <c r="AL69" s="470">
        <v>27005</v>
      </c>
      <c r="AM69" s="471">
        <f t="shared" si="40"/>
        <v>3157</v>
      </c>
    </row>
    <row r="70" spans="1:39" s="141" customFormat="1" ht="15.95">
      <c r="A70" s="141">
        <v>24</v>
      </c>
      <c r="B70" s="141">
        <f t="shared" si="6"/>
        <v>15</v>
      </c>
      <c r="C70" s="142">
        <v>46062</v>
      </c>
      <c r="D70" s="141" t="s">
        <v>93</v>
      </c>
      <c r="G70" s="142">
        <v>46066.833333333336</v>
      </c>
      <c r="H70" s="141" t="s">
        <v>60</v>
      </c>
      <c r="I70" s="439">
        <v>0.85</v>
      </c>
      <c r="J70" s="29">
        <f t="shared" ref="J70:J101" si="43">K70/AG70</f>
        <v>0.49622641509433962</v>
      </c>
      <c r="K70" s="35">
        <f t="shared" si="34"/>
        <v>789</v>
      </c>
      <c r="L70" s="37">
        <f t="shared" si="41"/>
        <v>56081.1</v>
      </c>
      <c r="M70" s="30">
        <f t="shared" si="42"/>
        <v>94666</v>
      </c>
      <c r="N70" s="429">
        <f t="shared" si="36"/>
        <v>-38584.9</v>
      </c>
      <c r="O70" s="29" t="str">
        <f t="shared" si="37"/>
        <v>Too early</v>
      </c>
      <c r="P70" s="36" t="str">
        <f t="shared" si="7"/>
        <v>Too early</v>
      </c>
      <c r="Q70" s="37" t="str">
        <f t="shared" si="33"/>
        <v>Too early</v>
      </c>
      <c r="R70" s="443" t="str">
        <f t="shared" si="14"/>
        <v>Too early</v>
      </c>
      <c r="S70" s="460">
        <v>66</v>
      </c>
      <c r="T70" s="461">
        <f t="shared" si="8"/>
        <v>867</v>
      </c>
      <c r="U70" s="461">
        <f t="shared" ref="U70:U101" si="44">(AG70-AC70)*I70</f>
        <v>736.94999999999993</v>
      </c>
      <c r="V70" s="462" t="str">
        <f>IF(B70&lt;11,MIN((S70/VLOOKUP(B70,'Sales Pacing'!$A$23:$E$36,2)),T70),"Too early")</f>
        <v>Too early</v>
      </c>
      <c r="W70" s="522" t="e">
        <f t="shared" si="9"/>
        <v>#VALUE!</v>
      </c>
      <c r="X70" s="463" t="str">
        <f t="shared" si="38"/>
        <v>Too early</v>
      </c>
      <c r="Y70" s="467">
        <v>4067</v>
      </c>
      <c r="Z70" s="465">
        <v>53333</v>
      </c>
      <c r="AA70" s="473">
        <f t="shared" si="10"/>
        <v>7.6256726604541275E-2</v>
      </c>
      <c r="AB70" s="29" t="str">
        <f t="shared" si="39"/>
        <v>Too early</v>
      </c>
      <c r="AC70" s="466">
        <v>723</v>
      </c>
      <c r="AD70" s="467">
        <v>52014.1</v>
      </c>
      <c r="AE70" s="465">
        <v>41333</v>
      </c>
      <c r="AF70" s="29">
        <f t="shared" si="11"/>
        <v>1.2584157936757554</v>
      </c>
      <c r="AG70" s="468">
        <v>1590</v>
      </c>
      <c r="AH70" s="30">
        <f t="shared" si="35"/>
        <v>61.621212121212125</v>
      </c>
      <c r="AI70" s="469"/>
      <c r="AJ70" s="469"/>
      <c r="AK70" s="469"/>
      <c r="AL70" s="470">
        <v>55909.1</v>
      </c>
      <c r="AM70" s="471">
        <f t="shared" si="40"/>
        <v>172</v>
      </c>
    </row>
    <row r="71" spans="1:39" s="141" customFormat="1" ht="15.95">
      <c r="A71" s="141">
        <v>24</v>
      </c>
      <c r="B71" s="141">
        <f t="shared" ref="B71:B117" si="45">A71-$G$4</f>
        <v>15</v>
      </c>
      <c r="C71" s="142">
        <v>46062</v>
      </c>
      <c r="D71" s="141" t="s">
        <v>93</v>
      </c>
      <c r="G71" s="142">
        <v>46067.833333333336</v>
      </c>
      <c r="H71" s="141" t="s">
        <v>60</v>
      </c>
      <c r="I71" s="439">
        <v>0.85</v>
      </c>
      <c r="J71" s="29">
        <f t="shared" si="43"/>
        <v>0.4459119496855346</v>
      </c>
      <c r="K71" s="35">
        <f t="shared" si="34"/>
        <v>709</v>
      </c>
      <c r="L71" s="37">
        <f t="shared" si="41"/>
        <v>50062.8</v>
      </c>
      <c r="M71" s="30">
        <f t="shared" si="42"/>
        <v>94667</v>
      </c>
      <c r="N71" s="429">
        <f t="shared" si="36"/>
        <v>-44604.2</v>
      </c>
      <c r="O71" s="29" t="str">
        <f t="shared" si="37"/>
        <v>Too early</v>
      </c>
      <c r="P71" s="36" t="str">
        <f t="shared" ref="P71:P117" si="46">IF(V71="Too early",V71,V71+AC71)</f>
        <v>Too early</v>
      </c>
      <c r="Q71" s="37" t="str">
        <f t="shared" si="33"/>
        <v>Too early</v>
      </c>
      <c r="R71" s="443" t="str">
        <f t="shared" si="14"/>
        <v>Too early</v>
      </c>
      <c r="S71" s="460">
        <v>46</v>
      </c>
      <c r="T71" s="461">
        <f t="shared" ref="T71:T117" si="47">AG71-AC71</f>
        <v>927</v>
      </c>
      <c r="U71" s="461">
        <f t="shared" si="44"/>
        <v>787.94999999999993</v>
      </c>
      <c r="V71" s="462" t="str">
        <f>IF(B71&lt;11,MIN((S71/VLOOKUP(B71,'Sales Pacing'!$A$23:$E$36,2)),T71),"Too early")</f>
        <v>Too early</v>
      </c>
      <c r="W71" s="522" t="e">
        <f t="shared" ref="W71:W117" si="48">Q71-AD71</f>
        <v>#VALUE!</v>
      </c>
      <c r="X71" s="463" t="str">
        <f t="shared" si="38"/>
        <v>Too early</v>
      </c>
      <c r="Y71" s="467">
        <v>2151</v>
      </c>
      <c r="Z71" s="465">
        <v>53333</v>
      </c>
      <c r="AA71" s="473">
        <f t="shared" ref="AA71:AA117" si="49">IF(Y71&gt;0,Y71/Z71,"")</f>
        <v>4.0331502071887952E-2</v>
      </c>
      <c r="AB71" s="29" t="str">
        <f t="shared" si="39"/>
        <v>Too early</v>
      </c>
      <c r="AC71" s="466">
        <v>663</v>
      </c>
      <c r="AD71" s="467">
        <v>47911.8</v>
      </c>
      <c r="AE71" s="465">
        <v>41334</v>
      </c>
      <c r="AF71" s="29">
        <f t="shared" ref="AF71:AF117" si="50">IF(AD71&gt;0,AD71/AE71,"")</f>
        <v>1.1591377558426477</v>
      </c>
      <c r="AG71" s="468">
        <v>1590</v>
      </c>
      <c r="AH71" s="30">
        <f t="shared" si="35"/>
        <v>46.760869565217391</v>
      </c>
      <c r="AI71" s="469"/>
      <c r="AJ71" s="469"/>
      <c r="AK71" s="469"/>
      <c r="AL71" s="470">
        <v>50570.8</v>
      </c>
      <c r="AM71" s="471">
        <f t="shared" si="40"/>
        <v>-508</v>
      </c>
    </row>
    <row r="72" spans="1:39" s="145" customFormat="1" ht="15.95">
      <c r="A72" s="145">
        <v>24</v>
      </c>
      <c r="B72" s="145">
        <f t="shared" si="45"/>
        <v>15</v>
      </c>
      <c r="C72" s="146">
        <v>46062</v>
      </c>
      <c r="D72" s="145" t="s">
        <v>93</v>
      </c>
      <c r="G72" s="146">
        <v>46068.583333333336</v>
      </c>
      <c r="H72" s="145" t="s">
        <v>60</v>
      </c>
      <c r="I72" s="453">
        <v>0.85</v>
      </c>
      <c r="J72" s="32">
        <f t="shared" si="43"/>
        <v>0.28176100628930817</v>
      </c>
      <c r="K72" s="147">
        <f t="shared" si="34"/>
        <v>448</v>
      </c>
      <c r="L72" s="33">
        <f t="shared" si="41"/>
        <v>30213.3</v>
      </c>
      <c r="M72" s="34">
        <f t="shared" si="42"/>
        <v>94667</v>
      </c>
      <c r="N72" s="431">
        <f t="shared" si="36"/>
        <v>-64453.7</v>
      </c>
      <c r="O72" s="32" t="str">
        <f t="shared" si="37"/>
        <v>Too early</v>
      </c>
      <c r="P72" s="31" t="str">
        <f t="shared" si="46"/>
        <v>Too early</v>
      </c>
      <c r="Q72" s="33" t="str">
        <f t="shared" si="33"/>
        <v>Too early</v>
      </c>
      <c r="R72" s="444" t="str">
        <f t="shared" si="14"/>
        <v>Too early</v>
      </c>
      <c r="S72" s="474">
        <v>63</v>
      </c>
      <c r="T72" s="490">
        <f t="shared" si="47"/>
        <v>1205</v>
      </c>
      <c r="U72" s="490">
        <f t="shared" si="44"/>
        <v>1024.25</v>
      </c>
      <c r="V72" s="491" t="str">
        <f>IF(B72&lt;11,MIN((S72/VLOOKUP(B72,'Sales Pacing'!$A$23:$E$36,2)),T72),"Too early")</f>
        <v>Too early</v>
      </c>
      <c r="W72" s="524" t="e">
        <f t="shared" si="48"/>
        <v>#VALUE!</v>
      </c>
      <c r="X72" s="492" t="str">
        <f t="shared" si="38"/>
        <v>Too early</v>
      </c>
      <c r="Y72" s="479">
        <v>3982</v>
      </c>
      <c r="Z72" s="476">
        <v>53334</v>
      </c>
      <c r="AA72" s="477">
        <f t="shared" si="49"/>
        <v>7.4661566730415865E-2</v>
      </c>
      <c r="AB72" s="32" t="str">
        <f t="shared" si="39"/>
        <v>Too early</v>
      </c>
      <c r="AC72" s="478">
        <v>385</v>
      </c>
      <c r="AD72" s="479">
        <v>26231.3</v>
      </c>
      <c r="AE72" s="476">
        <v>41333</v>
      </c>
      <c r="AF72" s="32">
        <f t="shared" si="50"/>
        <v>0.63463334381728886</v>
      </c>
      <c r="AG72" s="480">
        <v>1590</v>
      </c>
      <c r="AH72" s="34">
        <f t="shared" si="35"/>
        <v>63.206349206349209</v>
      </c>
      <c r="AI72" s="481"/>
      <c r="AJ72" s="481"/>
      <c r="AK72" s="481"/>
      <c r="AL72" s="493">
        <v>29655.3</v>
      </c>
      <c r="AM72" s="471">
        <f t="shared" si="40"/>
        <v>558</v>
      </c>
    </row>
    <row r="73" spans="1:39" s="141" customFormat="1" ht="15.95">
      <c r="A73" s="141">
        <v>25</v>
      </c>
      <c r="B73" s="141">
        <f t="shared" si="45"/>
        <v>16</v>
      </c>
      <c r="C73" s="142">
        <v>46069</v>
      </c>
      <c r="D73" s="141" t="s">
        <v>94</v>
      </c>
      <c r="G73" s="142">
        <v>46072.791666666664</v>
      </c>
      <c r="H73" s="141" t="s">
        <v>67</v>
      </c>
      <c r="I73" s="439">
        <v>0.85</v>
      </c>
      <c r="J73" s="29">
        <f t="shared" si="43"/>
        <v>0.10291858678955453</v>
      </c>
      <c r="K73" s="35">
        <f t="shared" si="34"/>
        <v>134</v>
      </c>
      <c r="L73" s="37">
        <f t="shared" si="41"/>
        <v>9551.5</v>
      </c>
      <c r="M73" s="30">
        <f t="shared" si="42"/>
        <v>111250</v>
      </c>
      <c r="N73" s="429">
        <f t="shared" si="36"/>
        <v>-101698.5</v>
      </c>
      <c r="O73" s="29" t="str">
        <f t="shared" si="37"/>
        <v>Too early</v>
      </c>
      <c r="P73" s="36" t="str">
        <f t="shared" si="46"/>
        <v>Too early</v>
      </c>
      <c r="Q73" s="37" t="str">
        <f t="shared" si="33"/>
        <v>Too early</v>
      </c>
      <c r="R73" s="443" t="str">
        <f t="shared" si="14"/>
        <v>Too early</v>
      </c>
      <c r="S73" s="466">
        <v>134</v>
      </c>
      <c r="T73" s="468">
        <f t="shared" si="47"/>
        <v>1302</v>
      </c>
      <c r="U73" s="461">
        <f t="shared" si="44"/>
        <v>1106.7</v>
      </c>
      <c r="V73" s="462" t="str">
        <f>IF(B73&lt;11,MIN((S73/VLOOKUP(B73,'Sales Pacing'!$A$23:$E$36,2)),T73),"Too early")</f>
        <v>Too early</v>
      </c>
      <c r="W73" s="522" t="e">
        <f t="shared" si="48"/>
        <v>#VALUE!</v>
      </c>
      <c r="X73" s="463" t="str">
        <f t="shared" si="38"/>
        <v>Too early</v>
      </c>
      <c r="Y73" s="467">
        <v>9551.5</v>
      </c>
      <c r="Z73" s="465">
        <v>111250</v>
      </c>
      <c r="AA73" s="473">
        <f t="shared" si="49"/>
        <v>8.58561797752809E-2</v>
      </c>
      <c r="AB73" s="29" t="str">
        <f t="shared" si="39"/>
        <v>Too early</v>
      </c>
      <c r="AC73" s="466"/>
      <c r="AD73" s="467"/>
      <c r="AE73" s="465"/>
      <c r="AF73" s="29" t="str">
        <f t="shared" si="50"/>
        <v/>
      </c>
      <c r="AG73" s="468">
        <v>1302</v>
      </c>
      <c r="AH73" s="30">
        <f t="shared" si="35"/>
        <v>71.27985074626865</v>
      </c>
      <c r="AI73" s="469"/>
      <c r="AJ73" s="469"/>
      <c r="AK73" s="469"/>
      <c r="AL73" s="470">
        <v>9361.5</v>
      </c>
      <c r="AM73" s="471">
        <f t="shared" si="40"/>
        <v>190</v>
      </c>
    </row>
    <row r="74" spans="1:39" s="141" customFormat="1" ht="15.95">
      <c r="A74" s="141">
        <v>25</v>
      </c>
      <c r="B74" s="141">
        <f t="shared" si="45"/>
        <v>16</v>
      </c>
      <c r="C74" s="142">
        <v>46069</v>
      </c>
      <c r="D74" s="141" t="s">
        <v>94</v>
      </c>
      <c r="G74" s="142">
        <v>46073.791666666664</v>
      </c>
      <c r="H74" s="141" t="s">
        <v>67</v>
      </c>
      <c r="I74" s="439">
        <v>0.85</v>
      </c>
      <c r="J74" s="29">
        <f t="shared" si="43"/>
        <v>0.18817204301075269</v>
      </c>
      <c r="K74" s="35">
        <f t="shared" si="34"/>
        <v>245</v>
      </c>
      <c r="L74" s="37">
        <f t="shared" si="41"/>
        <v>17743</v>
      </c>
      <c r="M74" s="30">
        <f t="shared" si="42"/>
        <v>111250</v>
      </c>
      <c r="N74" s="429">
        <f t="shared" si="36"/>
        <v>-93507</v>
      </c>
      <c r="O74" s="29" t="str">
        <f t="shared" si="37"/>
        <v>Too early</v>
      </c>
      <c r="P74" s="36" t="str">
        <f t="shared" si="46"/>
        <v>Too early</v>
      </c>
      <c r="Q74" s="37" t="str">
        <f t="shared" si="33"/>
        <v>Too early</v>
      </c>
      <c r="R74" s="443" t="str">
        <f t="shared" si="14"/>
        <v>Too early</v>
      </c>
      <c r="S74" s="466">
        <v>245</v>
      </c>
      <c r="T74" s="468">
        <f t="shared" si="47"/>
        <v>1302</v>
      </c>
      <c r="U74" s="461">
        <f t="shared" si="44"/>
        <v>1106.7</v>
      </c>
      <c r="V74" s="462" t="str">
        <f>IF(B74&lt;11,MIN((S74/VLOOKUP(B74,'Sales Pacing'!$A$23:$E$36,2)),T74),"Too early")</f>
        <v>Too early</v>
      </c>
      <c r="W74" s="522" t="e">
        <f t="shared" si="48"/>
        <v>#VALUE!</v>
      </c>
      <c r="X74" s="463" t="str">
        <f t="shared" si="38"/>
        <v>Too early</v>
      </c>
      <c r="Y74" s="467">
        <v>17743</v>
      </c>
      <c r="Z74" s="465">
        <v>111250</v>
      </c>
      <c r="AA74" s="473">
        <f t="shared" si="49"/>
        <v>0.15948764044943819</v>
      </c>
      <c r="AB74" s="29" t="str">
        <f t="shared" si="39"/>
        <v>Too early</v>
      </c>
      <c r="AC74" s="466"/>
      <c r="AD74" s="467"/>
      <c r="AE74" s="465"/>
      <c r="AF74" s="29" t="str">
        <f t="shared" si="50"/>
        <v/>
      </c>
      <c r="AG74" s="468">
        <v>1302</v>
      </c>
      <c r="AH74" s="30">
        <f t="shared" si="35"/>
        <v>72.420408163265307</v>
      </c>
      <c r="AI74" s="469"/>
      <c r="AJ74" s="469"/>
      <c r="AK74" s="469"/>
      <c r="AL74" s="470">
        <v>17663</v>
      </c>
      <c r="AM74" s="471">
        <f t="shared" si="40"/>
        <v>80</v>
      </c>
    </row>
    <row r="75" spans="1:39" s="141" customFormat="1" ht="15.95">
      <c r="A75" s="141">
        <v>25</v>
      </c>
      <c r="B75" s="141">
        <f t="shared" si="45"/>
        <v>16</v>
      </c>
      <c r="C75" s="142">
        <v>46069</v>
      </c>
      <c r="D75" s="141" t="s">
        <v>94</v>
      </c>
      <c r="G75" s="142">
        <v>46074.791666666664</v>
      </c>
      <c r="H75" s="141" t="s">
        <v>67</v>
      </c>
      <c r="I75" s="439">
        <v>0.85</v>
      </c>
      <c r="J75" s="29">
        <f t="shared" si="43"/>
        <v>0.34101382488479265</v>
      </c>
      <c r="K75" s="35">
        <f t="shared" si="34"/>
        <v>444</v>
      </c>
      <c r="L75" s="37">
        <f t="shared" si="41"/>
        <v>33393</v>
      </c>
      <c r="M75" s="30">
        <f t="shared" si="42"/>
        <v>111250</v>
      </c>
      <c r="N75" s="429">
        <f t="shared" si="36"/>
        <v>-77857</v>
      </c>
      <c r="O75" s="29" t="str">
        <f t="shared" si="37"/>
        <v>Too early</v>
      </c>
      <c r="P75" s="36" t="str">
        <f t="shared" si="46"/>
        <v>Too early</v>
      </c>
      <c r="Q75" s="37" t="str">
        <f t="shared" si="33"/>
        <v>Too early</v>
      </c>
      <c r="R75" s="443" t="str">
        <f t="shared" si="14"/>
        <v>Too early</v>
      </c>
      <c r="S75" s="466">
        <v>444</v>
      </c>
      <c r="T75" s="468">
        <f t="shared" si="47"/>
        <v>1302</v>
      </c>
      <c r="U75" s="461">
        <f t="shared" si="44"/>
        <v>1106.7</v>
      </c>
      <c r="V75" s="462" t="str">
        <f>IF(B75&lt;11,MIN((S75/VLOOKUP(B75,'Sales Pacing'!$A$23:$E$36,2)),T75),"Too early")</f>
        <v>Too early</v>
      </c>
      <c r="W75" s="522" t="e">
        <f t="shared" si="48"/>
        <v>#VALUE!</v>
      </c>
      <c r="X75" s="463" t="str">
        <f t="shared" si="38"/>
        <v>Too early</v>
      </c>
      <c r="Y75" s="467">
        <v>33393</v>
      </c>
      <c r="Z75" s="465">
        <v>111250</v>
      </c>
      <c r="AA75" s="473">
        <f t="shared" si="49"/>
        <v>0.30016179775280899</v>
      </c>
      <c r="AB75" s="29" t="str">
        <f t="shared" si="39"/>
        <v>Too early</v>
      </c>
      <c r="AC75" s="466"/>
      <c r="AD75" s="467"/>
      <c r="AE75" s="465"/>
      <c r="AF75" s="29" t="str">
        <f t="shared" si="50"/>
        <v/>
      </c>
      <c r="AG75" s="468">
        <v>1302</v>
      </c>
      <c r="AH75" s="30">
        <f t="shared" si="35"/>
        <v>75.209459459459453</v>
      </c>
      <c r="AI75" s="469"/>
      <c r="AJ75" s="469"/>
      <c r="AK75" s="469"/>
      <c r="AL75" s="470">
        <v>31515</v>
      </c>
      <c r="AM75" s="471">
        <f t="shared" si="40"/>
        <v>1878</v>
      </c>
    </row>
    <row r="76" spans="1:39" s="145" customFormat="1" ht="15.95">
      <c r="A76" s="145">
        <v>25</v>
      </c>
      <c r="B76" s="145">
        <f t="shared" si="45"/>
        <v>16</v>
      </c>
      <c r="C76" s="146">
        <v>46069</v>
      </c>
      <c r="D76" s="145" t="s">
        <v>94</v>
      </c>
      <c r="G76" s="146">
        <v>46075.583333333336</v>
      </c>
      <c r="H76" s="145" t="s">
        <v>67</v>
      </c>
      <c r="I76" s="453">
        <v>0.85</v>
      </c>
      <c r="J76" s="32">
        <f t="shared" si="43"/>
        <v>0.38786482334869432</v>
      </c>
      <c r="K76" s="147">
        <f t="shared" si="34"/>
        <v>505</v>
      </c>
      <c r="L76" s="33">
        <f t="shared" si="41"/>
        <v>34032.5</v>
      </c>
      <c r="M76" s="34">
        <f t="shared" si="42"/>
        <v>111250</v>
      </c>
      <c r="N76" s="431">
        <f t="shared" si="36"/>
        <v>-77217.5</v>
      </c>
      <c r="O76" s="32" t="str">
        <f t="shared" si="37"/>
        <v>Too early</v>
      </c>
      <c r="P76" s="31" t="str">
        <f t="shared" si="46"/>
        <v>Too early</v>
      </c>
      <c r="Q76" s="33" t="str">
        <f t="shared" si="33"/>
        <v>Too early</v>
      </c>
      <c r="R76" s="444" t="str">
        <f t="shared" si="14"/>
        <v>Too early</v>
      </c>
      <c r="S76" s="478">
        <v>505</v>
      </c>
      <c r="T76" s="480">
        <f t="shared" si="47"/>
        <v>1302</v>
      </c>
      <c r="U76" s="490">
        <f t="shared" si="44"/>
        <v>1106.7</v>
      </c>
      <c r="V76" s="491" t="str">
        <f>IF(B76&lt;11,MIN((S76/VLOOKUP(B76,'Sales Pacing'!$A$23:$E$36,2)),T76),"Too early")</f>
        <v>Too early</v>
      </c>
      <c r="W76" s="524" t="e">
        <f t="shared" si="48"/>
        <v>#VALUE!</v>
      </c>
      <c r="X76" s="492" t="str">
        <f t="shared" si="38"/>
        <v>Too early</v>
      </c>
      <c r="Y76" s="479">
        <v>34032.5</v>
      </c>
      <c r="Z76" s="465">
        <v>111250</v>
      </c>
      <c r="AA76" s="473">
        <f t="shared" si="49"/>
        <v>0.30591011235955057</v>
      </c>
      <c r="AB76" s="32" t="str">
        <f t="shared" si="39"/>
        <v>Too early</v>
      </c>
      <c r="AC76" s="478"/>
      <c r="AD76" s="479"/>
      <c r="AE76" s="476"/>
      <c r="AF76" s="32" t="str">
        <f t="shared" si="50"/>
        <v/>
      </c>
      <c r="AG76" s="480">
        <v>1302</v>
      </c>
      <c r="AH76" s="34">
        <f t="shared" si="35"/>
        <v>67.39108910891089</v>
      </c>
      <c r="AI76" s="481"/>
      <c r="AJ76" s="481"/>
      <c r="AK76" s="481"/>
      <c r="AL76" s="493">
        <v>33792.5</v>
      </c>
      <c r="AM76" s="471">
        <f t="shared" si="40"/>
        <v>240</v>
      </c>
    </row>
    <row r="77" spans="1:39" s="145" customFormat="1" ht="15.95">
      <c r="A77" s="145">
        <v>26</v>
      </c>
      <c r="B77" s="145">
        <f t="shared" si="45"/>
        <v>17</v>
      </c>
      <c r="C77" s="146">
        <v>46076</v>
      </c>
      <c r="D77" s="145" t="s">
        <v>95</v>
      </c>
      <c r="G77" s="146">
        <v>46082.583333333336</v>
      </c>
      <c r="H77" s="145" t="s">
        <v>62</v>
      </c>
      <c r="I77" s="439">
        <v>0.5</v>
      </c>
      <c r="J77" s="29">
        <f t="shared" si="43"/>
        <v>0.27419354838709675</v>
      </c>
      <c r="K77" s="147">
        <f t="shared" si="34"/>
        <v>357</v>
      </c>
      <c r="L77" s="33">
        <f t="shared" si="41"/>
        <v>8297</v>
      </c>
      <c r="M77" s="34">
        <f t="shared" si="42"/>
        <v>19500</v>
      </c>
      <c r="N77" s="431">
        <f t="shared" si="36"/>
        <v>-11203</v>
      </c>
      <c r="O77" s="32" t="str">
        <f t="shared" si="37"/>
        <v>Too early</v>
      </c>
      <c r="P77" s="31" t="str">
        <f t="shared" si="46"/>
        <v>Too early</v>
      </c>
      <c r="Q77" s="33" t="str">
        <f t="shared" ref="Q77:Q108" si="51">IF(V77="Too early",V77,AD77+V77*AH77)</f>
        <v>Too early</v>
      </c>
      <c r="R77" s="444" t="str">
        <f t="shared" si="14"/>
        <v>Too early</v>
      </c>
      <c r="S77" s="478">
        <v>50</v>
      </c>
      <c r="T77" s="468">
        <f t="shared" si="47"/>
        <v>995</v>
      </c>
      <c r="U77" s="461">
        <f t="shared" si="44"/>
        <v>497.5</v>
      </c>
      <c r="V77" s="491" t="str">
        <f>IF(B77&lt;11,MIN((S77/VLOOKUP(B77,'Sales Pacing'!$A$23:$E$36,2)),T77),"Too early")</f>
        <v>Too early</v>
      </c>
      <c r="W77" s="522" t="e">
        <f t="shared" si="48"/>
        <v>#VALUE!</v>
      </c>
      <c r="X77" s="463" t="str">
        <f t="shared" si="38"/>
        <v>Too early</v>
      </c>
      <c r="Y77" s="479">
        <v>1461</v>
      </c>
      <c r="Z77" s="476">
        <v>10000</v>
      </c>
      <c r="AA77" s="477">
        <f t="shared" si="49"/>
        <v>0.14610000000000001</v>
      </c>
      <c r="AB77" s="32" t="str">
        <f t="shared" si="39"/>
        <v>Too early</v>
      </c>
      <c r="AC77" s="478">
        <v>307</v>
      </c>
      <c r="AD77" s="479">
        <v>6836</v>
      </c>
      <c r="AE77" s="476">
        <v>9500</v>
      </c>
      <c r="AF77" s="32">
        <f t="shared" si="50"/>
        <v>0.7195789473684211</v>
      </c>
      <c r="AG77" s="480">
        <v>1302</v>
      </c>
      <c r="AH77" s="34">
        <f t="shared" si="35"/>
        <v>29.22</v>
      </c>
      <c r="AI77" s="481"/>
      <c r="AJ77" s="481"/>
      <c r="AK77" s="481"/>
      <c r="AL77" s="493">
        <v>8100</v>
      </c>
      <c r="AM77" s="471">
        <f t="shared" si="40"/>
        <v>197</v>
      </c>
    </row>
    <row r="78" spans="1:39" s="184" customFormat="1" ht="15.95">
      <c r="A78" s="184">
        <v>27</v>
      </c>
      <c r="B78" s="184">
        <f t="shared" si="45"/>
        <v>18</v>
      </c>
      <c r="C78" s="185">
        <v>46083</v>
      </c>
      <c r="D78" s="184" t="s">
        <v>74</v>
      </c>
      <c r="G78" s="194"/>
      <c r="H78" s="195"/>
      <c r="I78" s="442"/>
      <c r="J78" s="198" t="e">
        <f t="shared" si="43"/>
        <v>#DIV/0!</v>
      </c>
      <c r="K78" s="196">
        <f t="shared" si="34"/>
        <v>0</v>
      </c>
      <c r="L78" s="199">
        <f t="shared" si="41"/>
        <v>0</v>
      </c>
      <c r="M78" s="200">
        <f t="shared" si="42"/>
        <v>0</v>
      </c>
      <c r="N78" s="430"/>
      <c r="O78" s="198"/>
      <c r="P78" s="197" t="str">
        <f t="shared" si="46"/>
        <v>Too early</v>
      </c>
      <c r="Q78" s="199" t="str">
        <f t="shared" si="51"/>
        <v>Too early</v>
      </c>
      <c r="R78" s="445" t="str">
        <f t="shared" ref="R78:R117" si="52">IF(V78="Too early",V78,Q78-M78)</f>
        <v>Too early</v>
      </c>
      <c r="S78" s="482"/>
      <c r="T78" s="482">
        <f t="shared" si="47"/>
        <v>0</v>
      </c>
      <c r="U78" s="482">
        <f t="shared" si="44"/>
        <v>0</v>
      </c>
      <c r="V78" s="483" t="str">
        <f>IF(B78&lt;11,MIN((S78/VLOOKUP(B78,'Sales Pacing'!$A$23:$E$36,2)),T78),"Too early")</f>
        <v>Too early</v>
      </c>
      <c r="W78" s="523" t="e">
        <f t="shared" si="48"/>
        <v>#VALUE!</v>
      </c>
      <c r="X78" s="483"/>
      <c r="Y78" s="484"/>
      <c r="Z78" s="484"/>
      <c r="AA78" s="485" t="str">
        <f t="shared" si="49"/>
        <v/>
      </c>
      <c r="AB78" s="198"/>
      <c r="AC78" s="482"/>
      <c r="AD78" s="484"/>
      <c r="AE78" s="484"/>
      <c r="AF78" s="198" t="s">
        <v>58</v>
      </c>
      <c r="AG78" s="482"/>
      <c r="AH78" s="200" t="e">
        <f t="shared" si="35"/>
        <v>#DIV/0!</v>
      </c>
      <c r="AI78" s="486"/>
      <c r="AJ78" s="486"/>
      <c r="AK78" s="486"/>
      <c r="AL78" s="487">
        <v>0</v>
      </c>
    </row>
    <row r="79" spans="1:39" s="141" customFormat="1" ht="15.95">
      <c r="A79" s="141">
        <v>28</v>
      </c>
      <c r="B79" s="141">
        <f t="shared" si="45"/>
        <v>19</v>
      </c>
      <c r="C79" s="142">
        <v>46090</v>
      </c>
      <c r="D79" s="141" t="s">
        <v>96</v>
      </c>
      <c r="G79" s="142">
        <v>46094.833333333336</v>
      </c>
      <c r="H79" s="141" t="s">
        <v>65</v>
      </c>
      <c r="I79" s="439">
        <v>0.85</v>
      </c>
      <c r="J79" s="29">
        <f t="shared" si="43"/>
        <v>0.39371069182389939</v>
      </c>
      <c r="K79" s="35">
        <f t="shared" ref="K79:K110" si="53">S79+AC79</f>
        <v>626</v>
      </c>
      <c r="L79" s="37">
        <f t="shared" si="41"/>
        <v>41199</v>
      </c>
      <c r="M79" s="30">
        <f t="shared" si="42"/>
        <v>54999</v>
      </c>
      <c r="N79" s="429">
        <f>L79-M79</f>
        <v>-13800</v>
      </c>
      <c r="O79" s="29" t="str">
        <f>IF(P79="Too early",P79,P79/AG79)</f>
        <v>Too early</v>
      </c>
      <c r="P79" s="36" t="str">
        <f t="shared" si="46"/>
        <v>Too early</v>
      </c>
      <c r="Q79" s="37" t="str">
        <f t="shared" si="51"/>
        <v>Too early</v>
      </c>
      <c r="R79" s="443" t="str">
        <f t="shared" si="52"/>
        <v>Too early</v>
      </c>
      <c r="S79" s="466">
        <v>53</v>
      </c>
      <c r="T79" s="468">
        <f t="shared" si="47"/>
        <v>1017</v>
      </c>
      <c r="U79" s="461">
        <f t="shared" si="44"/>
        <v>864.44999999999993</v>
      </c>
      <c r="V79" s="462" t="str">
        <f>IF(B79&lt;11,MIN((S79/VLOOKUP(B79,'Sales Pacing'!$A$23:$E$36,2)),T79),"Too early")</f>
        <v>Too early</v>
      </c>
      <c r="W79" s="522" t="e">
        <f t="shared" si="48"/>
        <v>#VALUE!</v>
      </c>
      <c r="X79" s="463" t="str">
        <f>IF(V79="Too early","Too early",V79/U79)</f>
        <v>Too early</v>
      </c>
      <c r="Y79" s="467">
        <v>2862</v>
      </c>
      <c r="Z79" s="465">
        <v>18333</v>
      </c>
      <c r="AA79" s="473">
        <f t="shared" si="49"/>
        <v>0.1561119293078056</v>
      </c>
      <c r="AB79" s="29" t="str">
        <f>IF($V79="Too early",V79,V79*AH79/Z79)</f>
        <v>Too early</v>
      </c>
      <c r="AC79" s="466">
        <v>573</v>
      </c>
      <c r="AD79" s="467">
        <v>38337</v>
      </c>
      <c r="AE79" s="465">
        <v>36666</v>
      </c>
      <c r="AF79" s="29">
        <f t="shared" si="50"/>
        <v>1.0455735558828343</v>
      </c>
      <c r="AG79" s="468">
        <v>1590</v>
      </c>
      <c r="AH79" s="30">
        <f t="shared" ref="AH79:AH110" si="54">Y79/S79</f>
        <v>54</v>
      </c>
      <c r="AI79" s="469"/>
      <c r="AJ79" s="469"/>
      <c r="AK79" s="469"/>
      <c r="AL79" s="470">
        <v>40846</v>
      </c>
      <c r="AM79" s="471">
        <f>L79-AL79</f>
        <v>353</v>
      </c>
    </row>
    <row r="80" spans="1:39" s="141" customFormat="1" ht="15.95">
      <c r="A80" s="141">
        <v>28</v>
      </c>
      <c r="B80" s="141">
        <f t="shared" si="45"/>
        <v>19</v>
      </c>
      <c r="C80" s="142">
        <v>46090</v>
      </c>
      <c r="D80" s="141" t="s">
        <v>96</v>
      </c>
      <c r="G80" s="142">
        <v>46095.833333333336</v>
      </c>
      <c r="H80" s="141" t="s">
        <v>65</v>
      </c>
      <c r="I80" s="439">
        <v>0.85</v>
      </c>
      <c r="J80" s="29">
        <f t="shared" si="43"/>
        <v>0.39182389937106921</v>
      </c>
      <c r="K80" s="35">
        <f t="shared" si="53"/>
        <v>623</v>
      </c>
      <c r="L80" s="37">
        <f t="shared" si="41"/>
        <v>39776.199999999997</v>
      </c>
      <c r="M80" s="30">
        <f t="shared" si="42"/>
        <v>55000</v>
      </c>
      <c r="N80" s="429">
        <f>L80-M80</f>
        <v>-15223.800000000003</v>
      </c>
      <c r="O80" s="29" t="str">
        <f>IF(P80="Too early",P80,P80/AG80)</f>
        <v>Too early</v>
      </c>
      <c r="P80" s="36" t="str">
        <f t="shared" si="46"/>
        <v>Too early</v>
      </c>
      <c r="Q80" s="37" t="str">
        <f t="shared" si="51"/>
        <v>Too early</v>
      </c>
      <c r="R80" s="443" t="str">
        <f t="shared" si="52"/>
        <v>Too early</v>
      </c>
      <c r="S80" s="466">
        <v>61</v>
      </c>
      <c r="T80" s="468">
        <f t="shared" si="47"/>
        <v>1028</v>
      </c>
      <c r="U80" s="461">
        <f t="shared" si="44"/>
        <v>873.8</v>
      </c>
      <c r="V80" s="462" t="str">
        <f>IF(B80&lt;11,MIN((S80/VLOOKUP(B80,'Sales Pacing'!$A$23:$E$36,2)),T80),"Too early")</f>
        <v>Too early</v>
      </c>
      <c r="W80" s="522" t="e">
        <f t="shared" si="48"/>
        <v>#VALUE!</v>
      </c>
      <c r="X80" s="463" t="str">
        <f>IF(V80="Too early","Too early",V80/U80)</f>
        <v>Too early</v>
      </c>
      <c r="Y80" s="467">
        <v>3360</v>
      </c>
      <c r="Z80" s="465">
        <v>18333</v>
      </c>
      <c r="AA80" s="473">
        <f t="shared" si="49"/>
        <v>0.18327605956471935</v>
      </c>
      <c r="AB80" s="29" t="str">
        <f>IF($V80="Too early",V80,V80*AH80/Z80)</f>
        <v>Too early</v>
      </c>
      <c r="AC80" s="466">
        <v>562</v>
      </c>
      <c r="AD80" s="467">
        <v>36416.199999999997</v>
      </c>
      <c r="AE80" s="465">
        <v>36667</v>
      </c>
      <c r="AF80" s="29">
        <f t="shared" si="50"/>
        <v>0.99316006218125286</v>
      </c>
      <c r="AG80" s="468">
        <v>1590</v>
      </c>
      <c r="AH80" s="30">
        <f t="shared" si="54"/>
        <v>55.081967213114751</v>
      </c>
      <c r="AI80" s="469"/>
      <c r="AJ80" s="469"/>
      <c r="AK80" s="469"/>
      <c r="AL80" s="470">
        <v>39753.199999999997</v>
      </c>
      <c r="AM80" s="471">
        <f>L80-AL80</f>
        <v>23</v>
      </c>
    </row>
    <row r="81" spans="1:39" s="145" customFormat="1" ht="15.95">
      <c r="A81" s="145">
        <v>28</v>
      </c>
      <c r="B81" s="145">
        <f t="shared" si="45"/>
        <v>19</v>
      </c>
      <c r="C81" s="146">
        <v>46090</v>
      </c>
      <c r="D81" s="145" t="s">
        <v>96</v>
      </c>
      <c r="G81" s="146">
        <v>46096.583333333336</v>
      </c>
      <c r="H81" s="145" t="s">
        <v>65</v>
      </c>
      <c r="I81" s="439">
        <v>0.85</v>
      </c>
      <c r="J81" s="29">
        <f t="shared" si="43"/>
        <v>0.40817610062893084</v>
      </c>
      <c r="K81" s="147">
        <f t="shared" si="53"/>
        <v>649</v>
      </c>
      <c r="L81" s="33">
        <f t="shared" si="41"/>
        <v>41376.1</v>
      </c>
      <c r="M81" s="34">
        <f t="shared" si="42"/>
        <v>55001</v>
      </c>
      <c r="N81" s="431">
        <f>L81-M81</f>
        <v>-13624.900000000001</v>
      </c>
      <c r="O81" s="32" t="str">
        <f>IF(P81="Too early",P81,P81/AG81)</f>
        <v>Too early</v>
      </c>
      <c r="P81" s="31" t="str">
        <f t="shared" si="46"/>
        <v>Too early</v>
      </c>
      <c r="Q81" s="33" t="str">
        <f t="shared" si="51"/>
        <v>Too early</v>
      </c>
      <c r="R81" s="444" t="str">
        <f t="shared" si="52"/>
        <v>Too early</v>
      </c>
      <c r="S81" s="478">
        <v>76</v>
      </c>
      <c r="T81" s="468">
        <f t="shared" si="47"/>
        <v>1017</v>
      </c>
      <c r="U81" s="461">
        <f t="shared" si="44"/>
        <v>864.44999999999993</v>
      </c>
      <c r="V81" s="491" t="str">
        <f>IF(B81&lt;11,MIN((S81/VLOOKUP(B81,'Sales Pacing'!$A$23:$E$36,2)),T81),"Too early")</f>
        <v>Too early</v>
      </c>
      <c r="W81" s="522" t="e">
        <f t="shared" si="48"/>
        <v>#VALUE!</v>
      </c>
      <c r="X81" s="463" t="str">
        <f>IF(V81="Too early","Too early",V81/U81)</f>
        <v>Too early</v>
      </c>
      <c r="Y81" s="479">
        <v>4624</v>
      </c>
      <c r="Z81" s="476">
        <v>18334</v>
      </c>
      <c r="AA81" s="477">
        <f t="shared" si="49"/>
        <v>0.25220901058143341</v>
      </c>
      <c r="AB81" s="32" t="str">
        <f>IF($V81="Too early",V81,V81*AH81/Z81)</f>
        <v>Too early</v>
      </c>
      <c r="AC81" s="478">
        <v>573</v>
      </c>
      <c r="AD81" s="479">
        <v>36752.1</v>
      </c>
      <c r="AE81" s="476">
        <v>36667</v>
      </c>
      <c r="AF81" s="32">
        <f t="shared" si="50"/>
        <v>1.0023208879919272</v>
      </c>
      <c r="AG81" s="480">
        <v>1590</v>
      </c>
      <c r="AH81" s="34">
        <f t="shared" si="54"/>
        <v>60.842105263157897</v>
      </c>
      <c r="AI81" s="481"/>
      <c r="AJ81" s="481"/>
      <c r="AK81" s="481"/>
      <c r="AL81" s="493">
        <v>41030.1</v>
      </c>
      <c r="AM81" s="471">
        <f>L81-AL81</f>
        <v>346</v>
      </c>
    </row>
    <row r="82" spans="1:39" s="184" customFormat="1" ht="15.95">
      <c r="A82" s="184">
        <v>29</v>
      </c>
      <c r="B82" s="184">
        <f t="shared" si="45"/>
        <v>20</v>
      </c>
      <c r="C82" s="185">
        <v>46097</v>
      </c>
      <c r="D82" s="184" t="s">
        <v>74</v>
      </c>
      <c r="G82" s="194"/>
      <c r="H82" s="195"/>
      <c r="I82" s="442"/>
      <c r="J82" s="298" t="e">
        <f t="shared" si="43"/>
        <v>#DIV/0!</v>
      </c>
      <c r="K82" s="296">
        <f t="shared" si="53"/>
        <v>0</v>
      </c>
      <c r="L82" s="299">
        <f t="shared" si="41"/>
        <v>0</v>
      </c>
      <c r="M82" s="300">
        <f t="shared" si="42"/>
        <v>0</v>
      </c>
      <c r="N82" s="432"/>
      <c r="O82" s="298"/>
      <c r="P82" s="297" t="str">
        <f t="shared" si="46"/>
        <v>Too early</v>
      </c>
      <c r="Q82" s="299" t="str">
        <f t="shared" si="51"/>
        <v>Too early</v>
      </c>
      <c r="R82" s="447" t="str">
        <f t="shared" si="52"/>
        <v>Too early</v>
      </c>
      <c r="S82" s="506"/>
      <c r="T82" s="506">
        <f t="shared" si="47"/>
        <v>0</v>
      </c>
      <c r="U82" s="506">
        <f t="shared" si="44"/>
        <v>0</v>
      </c>
      <c r="V82" s="507" t="str">
        <f>IF(B82&lt;11,MIN((S82/VLOOKUP(B82,'Sales Pacing'!$A$23:$E$36,2)),T82),"Too early")</f>
        <v>Too early</v>
      </c>
      <c r="W82" s="525" t="e">
        <f t="shared" si="48"/>
        <v>#VALUE!</v>
      </c>
      <c r="X82" s="507"/>
      <c r="Y82" s="508"/>
      <c r="Z82" s="508"/>
      <c r="AA82" s="509" t="str">
        <f t="shared" si="49"/>
        <v/>
      </c>
      <c r="AB82" s="298"/>
      <c r="AC82" s="506"/>
      <c r="AD82" s="508"/>
      <c r="AE82" s="508"/>
      <c r="AF82" s="298" t="s">
        <v>58</v>
      </c>
      <c r="AG82" s="506"/>
      <c r="AH82" s="300" t="e">
        <f t="shared" si="54"/>
        <v>#DIV/0!</v>
      </c>
      <c r="AI82" s="486"/>
      <c r="AJ82" s="486"/>
      <c r="AK82" s="486"/>
      <c r="AL82" s="487">
        <v>0</v>
      </c>
    </row>
    <row r="83" spans="1:39" s="141" customFormat="1" ht="15.95">
      <c r="A83" s="141">
        <v>30</v>
      </c>
      <c r="B83" s="141">
        <f t="shared" ref="B83" si="55">A83-$G$4</f>
        <v>21</v>
      </c>
      <c r="C83" s="142">
        <v>46104</v>
      </c>
      <c r="D83" s="141" t="s">
        <v>97</v>
      </c>
      <c r="G83" s="142">
        <v>46106</v>
      </c>
      <c r="H83" s="141" t="s">
        <v>55</v>
      </c>
      <c r="I83" s="439">
        <v>0.85</v>
      </c>
      <c r="J83" s="510">
        <f t="shared" si="43"/>
        <v>5.4088050314465411E-2</v>
      </c>
      <c r="K83" s="511">
        <f t="shared" si="53"/>
        <v>86</v>
      </c>
      <c r="L83" s="512">
        <f t="shared" si="41"/>
        <v>5437</v>
      </c>
      <c r="M83" s="513">
        <f t="shared" si="42"/>
        <v>84109</v>
      </c>
      <c r="N83" s="514">
        <f>L83-M83</f>
        <v>-78672</v>
      </c>
      <c r="O83" s="29" t="str">
        <f>IF(P83="Too early",P83,P83/AG83)</f>
        <v>Too early</v>
      </c>
      <c r="P83" s="511" t="str">
        <f>IF(V83="Too early",V83,V83+AC83)</f>
        <v>Too early</v>
      </c>
      <c r="Q83" s="512" t="str">
        <f t="shared" si="51"/>
        <v>Too early</v>
      </c>
      <c r="R83" s="443" t="str">
        <f t="shared" si="52"/>
        <v>Too early</v>
      </c>
      <c r="S83" s="460">
        <v>86</v>
      </c>
      <c r="T83" s="461">
        <f t="shared" si="47"/>
        <v>1590</v>
      </c>
      <c r="U83" s="461">
        <f t="shared" si="44"/>
        <v>1351.5</v>
      </c>
      <c r="V83" s="462" t="str">
        <f>IF(B83&lt;11,MIN((S83/VLOOKUP(B83,'Sales Pacing'!$A$23:$E$36,2)),T83),"Too early")</f>
        <v>Too early</v>
      </c>
      <c r="W83" s="522" t="e">
        <f t="shared" si="48"/>
        <v>#VALUE!</v>
      </c>
      <c r="X83" s="463" t="str">
        <f>IF(V83="Too early","Too early",V83/U83)</f>
        <v>Too early</v>
      </c>
      <c r="Y83" s="467">
        <v>5437</v>
      </c>
      <c r="Z83" s="465">
        <v>84109</v>
      </c>
      <c r="AA83" s="473">
        <f>IF(Y83&gt;0,Y83/Z83,"")</f>
        <v>6.464230938425139E-2</v>
      </c>
      <c r="AB83" s="29" t="str">
        <f>IF($V83="Too early",V83,V83*AH83/Z83)</f>
        <v>Too early</v>
      </c>
      <c r="AC83" s="466"/>
      <c r="AD83" s="467"/>
      <c r="AE83" s="465"/>
      <c r="AF83" s="29"/>
      <c r="AG83" s="468">
        <v>1590</v>
      </c>
      <c r="AH83" s="513">
        <f t="shared" si="54"/>
        <v>63.220930232558139</v>
      </c>
      <c r="AI83" s="469"/>
      <c r="AJ83" s="469"/>
      <c r="AK83" s="469"/>
      <c r="AL83" s="470">
        <v>5437</v>
      </c>
      <c r="AM83" s="471">
        <f>L83-AL83</f>
        <v>0</v>
      </c>
    </row>
    <row r="84" spans="1:39" s="145" customFormat="1" ht="15.95">
      <c r="A84" s="145">
        <v>30</v>
      </c>
      <c r="B84" s="145">
        <f t="shared" ref="B84" si="56">A84-$G$4</f>
        <v>21</v>
      </c>
      <c r="C84" s="146">
        <v>46104</v>
      </c>
      <c r="D84" s="145" t="s">
        <v>97</v>
      </c>
      <c r="G84" s="146">
        <v>46107</v>
      </c>
      <c r="H84" s="145" t="s">
        <v>55</v>
      </c>
      <c r="I84" s="453">
        <v>0.85</v>
      </c>
      <c r="J84" s="515">
        <f t="shared" si="43"/>
        <v>5.4716981132075473E-2</v>
      </c>
      <c r="K84" s="516">
        <f t="shared" si="53"/>
        <v>87</v>
      </c>
      <c r="L84" s="517">
        <f t="shared" si="41"/>
        <v>5027.5</v>
      </c>
      <c r="M84" s="518">
        <f t="shared" si="42"/>
        <v>84109</v>
      </c>
      <c r="N84" s="519">
        <f>L84-M84</f>
        <v>-79081.5</v>
      </c>
      <c r="O84" s="32" t="str">
        <f>IF(P84="Too early",P84,P84/AG84)</f>
        <v>Too early</v>
      </c>
      <c r="P84" s="516" t="str">
        <f>IF(V84="Too early",V84,V84+AC84)</f>
        <v>Too early</v>
      </c>
      <c r="Q84" s="517" t="str">
        <f t="shared" si="51"/>
        <v>Too early</v>
      </c>
      <c r="R84" s="444" t="str">
        <f t="shared" si="52"/>
        <v>Too early</v>
      </c>
      <c r="S84" s="474">
        <v>87</v>
      </c>
      <c r="T84" s="490">
        <f t="shared" si="47"/>
        <v>1590</v>
      </c>
      <c r="U84" s="490">
        <f t="shared" si="44"/>
        <v>1351.5</v>
      </c>
      <c r="V84" s="491" t="str">
        <f>IF(B84&lt;11,MIN((S84/VLOOKUP(B84,'Sales Pacing'!$A$23:$E$36,2)),T84),"Too early")</f>
        <v>Too early</v>
      </c>
      <c r="W84" s="524" t="e">
        <f t="shared" si="48"/>
        <v>#VALUE!</v>
      </c>
      <c r="X84" s="492" t="str">
        <f>IF(V84="Too early","Too early",V84/U84)</f>
        <v>Too early</v>
      </c>
      <c r="Y84" s="479">
        <v>5027.5</v>
      </c>
      <c r="Z84" s="476">
        <v>84109</v>
      </c>
      <c r="AA84" s="477">
        <f>IF(Y84&gt;0,Y84/Z84,"")</f>
        <v>5.9773627079147296E-2</v>
      </c>
      <c r="AB84" s="32" t="str">
        <f>IF($V84="Too early",V84,V84*AH84/Z84)</f>
        <v>Too early</v>
      </c>
      <c r="AC84" s="478"/>
      <c r="AD84" s="479"/>
      <c r="AE84" s="476"/>
      <c r="AF84" s="32"/>
      <c r="AG84" s="480">
        <v>1590</v>
      </c>
      <c r="AH84" s="518">
        <f t="shared" si="54"/>
        <v>57.787356321839077</v>
      </c>
      <c r="AI84" s="481"/>
      <c r="AJ84" s="481"/>
      <c r="AK84" s="481"/>
      <c r="AL84" s="493">
        <v>5027.5</v>
      </c>
      <c r="AM84" s="520">
        <f>L84-AL84</f>
        <v>0</v>
      </c>
    </row>
    <row r="85" spans="1:39" s="141" customFormat="1" ht="15.95">
      <c r="A85" s="141">
        <v>30</v>
      </c>
      <c r="B85" s="141">
        <f t="shared" si="45"/>
        <v>21</v>
      </c>
      <c r="C85" s="142">
        <v>46104</v>
      </c>
      <c r="D85" s="141" t="s">
        <v>98</v>
      </c>
      <c r="G85" s="142">
        <v>46108.833333333336</v>
      </c>
      <c r="H85" s="141" t="s">
        <v>60</v>
      </c>
      <c r="I85" s="439">
        <v>0.85</v>
      </c>
      <c r="J85" s="29">
        <f t="shared" si="43"/>
        <v>0.56792452830188678</v>
      </c>
      <c r="K85" s="35">
        <f t="shared" si="53"/>
        <v>903</v>
      </c>
      <c r="L85" s="37">
        <f t="shared" si="41"/>
        <v>64363.1</v>
      </c>
      <c r="M85" s="30">
        <f t="shared" si="42"/>
        <v>94666</v>
      </c>
      <c r="N85" s="429">
        <f>L85-M85</f>
        <v>-30302.9</v>
      </c>
      <c r="O85" s="29" t="str">
        <f>IF(P85="Too early",P85,P85/AG85)</f>
        <v>Too early</v>
      </c>
      <c r="P85" s="36" t="str">
        <f t="shared" si="46"/>
        <v>Too early</v>
      </c>
      <c r="Q85" s="37" t="str">
        <f t="shared" si="51"/>
        <v>Too early</v>
      </c>
      <c r="R85" s="443" t="str">
        <f t="shared" si="52"/>
        <v>Too early</v>
      </c>
      <c r="S85" s="466">
        <v>164</v>
      </c>
      <c r="T85" s="468">
        <f t="shared" si="47"/>
        <v>851</v>
      </c>
      <c r="U85" s="461">
        <f t="shared" si="44"/>
        <v>723.35</v>
      </c>
      <c r="V85" s="462" t="str">
        <f>IF(B85&lt;11,MIN((S85/VLOOKUP(B85,'Sales Pacing'!$A$23:$E$36,2)),T85),"Too early")</f>
        <v>Too early</v>
      </c>
      <c r="W85" s="522" t="e">
        <f t="shared" si="48"/>
        <v>#VALUE!</v>
      </c>
      <c r="X85" s="463" t="str">
        <f>IF(V85="Too early","Too early",V85/U85)</f>
        <v>Too early</v>
      </c>
      <c r="Y85" s="467">
        <v>11069</v>
      </c>
      <c r="Z85" s="465">
        <v>53333</v>
      </c>
      <c r="AA85" s="473">
        <f t="shared" si="49"/>
        <v>0.20754504715654473</v>
      </c>
      <c r="AB85" s="29" t="str">
        <f>IF($V85="Too early",V85,V85*AH85/Z85)</f>
        <v>Too early</v>
      </c>
      <c r="AC85" s="466">
        <v>739</v>
      </c>
      <c r="AD85" s="467">
        <v>53294.1</v>
      </c>
      <c r="AE85" s="465">
        <v>41333</v>
      </c>
      <c r="AF85" s="29">
        <f t="shared" si="50"/>
        <v>1.2893837853531076</v>
      </c>
      <c r="AG85" s="468">
        <v>1590</v>
      </c>
      <c r="AH85" s="30">
        <f t="shared" si="54"/>
        <v>67.493902439024396</v>
      </c>
      <c r="AI85" s="469"/>
      <c r="AJ85" s="469"/>
      <c r="AK85" s="469"/>
      <c r="AL85" s="470">
        <v>64129.1</v>
      </c>
      <c r="AM85" s="471">
        <f>L85-AL85</f>
        <v>234</v>
      </c>
    </row>
    <row r="86" spans="1:39" s="141" customFormat="1" ht="15.95">
      <c r="A86" s="141">
        <v>30</v>
      </c>
      <c r="B86" s="141">
        <f t="shared" si="45"/>
        <v>21</v>
      </c>
      <c r="C86" s="142">
        <v>46104</v>
      </c>
      <c r="D86" s="141" t="s">
        <v>98</v>
      </c>
      <c r="G86" s="142">
        <v>46109.833333333336</v>
      </c>
      <c r="H86" s="141" t="s">
        <v>60</v>
      </c>
      <c r="I86" s="439">
        <v>0.85</v>
      </c>
      <c r="J86" s="29">
        <f t="shared" si="43"/>
        <v>0.53773584905660377</v>
      </c>
      <c r="K86" s="35">
        <f t="shared" si="53"/>
        <v>855</v>
      </c>
      <c r="L86" s="37">
        <f t="shared" si="41"/>
        <v>61452.800000000003</v>
      </c>
      <c r="M86" s="30">
        <f t="shared" si="42"/>
        <v>94667</v>
      </c>
      <c r="N86" s="429">
        <f>L86-M86</f>
        <v>-33214.199999999997</v>
      </c>
      <c r="O86" s="29" t="str">
        <f>IF(P86="Too early",P86,P86/AG86)</f>
        <v>Too early</v>
      </c>
      <c r="P86" s="36" t="str">
        <f t="shared" si="46"/>
        <v>Too early</v>
      </c>
      <c r="Q86" s="37" t="str">
        <f t="shared" si="51"/>
        <v>Too early</v>
      </c>
      <c r="R86" s="443" t="str">
        <f t="shared" si="52"/>
        <v>Too early</v>
      </c>
      <c r="S86" s="466">
        <v>185</v>
      </c>
      <c r="T86" s="468">
        <f t="shared" si="47"/>
        <v>920</v>
      </c>
      <c r="U86" s="461">
        <f t="shared" si="44"/>
        <v>782</v>
      </c>
      <c r="V86" s="462" t="str">
        <f>IF(B86&lt;11,MIN((S86/VLOOKUP(B86,'Sales Pacing'!$A$23:$E$36,2)),T86),"Too early")</f>
        <v>Too early</v>
      </c>
      <c r="W86" s="522" t="e">
        <f t="shared" si="48"/>
        <v>#VALUE!</v>
      </c>
      <c r="X86" s="463" t="str">
        <f>IF(V86="Too early","Too early",V86/U86)</f>
        <v>Too early</v>
      </c>
      <c r="Y86" s="467">
        <v>13007</v>
      </c>
      <c r="Z86" s="465">
        <v>53333</v>
      </c>
      <c r="AA86" s="473">
        <f t="shared" si="49"/>
        <v>0.24388277426733918</v>
      </c>
      <c r="AB86" s="29" t="str">
        <f>IF($V86="Too early",V86,V86*AH86/Z86)</f>
        <v>Too early</v>
      </c>
      <c r="AC86" s="466">
        <v>670</v>
      </c>
      <c r="AD86" s="467">
        <v>48445.8</v>
      </c>
      <c r="AE86" s="465">
        <v>41334</v>
      </c>
      <c r="AF86" s="29">
        <f t="shared" si="50"/>
        <v>1.1720569023080274</v>
      </c>
      <c r="AG86" s="468">
        <v>1590</v>
      </c>
      <c r="AH86" s="30">
        <f t="shared" si="54"/>
        <v>70.308108108108115</v>
      </c>
      <c r="AI86" s="469"/>
      <c r="AJ86" s="469"/>
      <c r="AK86" s="469"/>
      <c r="AL86" s="470">
        <v>60900.800000000003</v>
      </c>
      <c r="AM86" s="471">
        <f>L86-AL86</f>
        <v>552</v>
      </c>
    </row>
    <row r="87" spans="1:39" s="141" customFormat="1" ht="15.95">
      <c r="A87" s="141">
        <v>30</v>
      </c>
      <c r="B87" s="141">
        <f t="shared" si="45"/>
        <v>21</v>
      </c>
      <c r="C87" s="142">
        <v>46104</v>
      </c>
      <c r="D87" s="141" t="s">
        <v>98</v>
      </c>
      <c r="G87" s="142">
        <v>46110.583333333336</v>
      </c>
      <c r="H87" s="141" t="s">
        <v>60</v>
      </c>
      <c r="I87" s="439">
        <v>0.85</v>
      </c>
      <c r="J87" s="510">
        <f t="shared" si="43"/>
        <v>0.38930817610062896</v>
      </c>
      <c r="K87" s="36">
        <f t="shared" si="53"/>
        <v>619</v>
      </c>
      <c r="L87" s="37">
        <f t="shared" si="41"/>
        <v>43141.599999999999</v>
      </c>
      <c r="M87" s="30">
        <f t="shared" si="42"/>
        <v>94667</v>
      </c>
      <c r="N87" s="429">
        <f>L87-M87</f>
        <v>-51525.4</v>
      </c>
      <c r="O87" s="29" t="str">
        <f>IF(P87="Too early",P87,P87/AG87)</f>
        <v>Too early</v>
      </c>
      <c r="P87" s="36" t="str">
        <f t="shared" si="46"/>
        <v>Too early</v>
      </c>
      <c r="Q87" s="37" t="str">
        <f t="shared" si="51"/>
        <v>Too early</v>
      </c>
      <c r="R87" s="443" t="str">
        <f t="shared" si="52"/>
        <v>Too early</v>
      </c>
      <c r="S87" s="466">
        <v>230</v>
      </c>
      <c r="T87" s="468">
        <f t="shared" si="47"/>
        <v>1201</v>
      </c>
      <c r="U87" s="461">
        <f t="shared" si="44"/>
        <v>1020.85</v>
      </c>
      <c r="V87" s="462" t="str">
        <f>IF(B87&lt;11,MIN((S87/VLOOKUP(B87,'Sales Pacing'!$A$23:$E$36,2)),T87),"Too early")</f>
        <v>Too early</v>
      </c>
      <c r="W87" s="522" t="e">
        <f t="shared" si="48"/>
        <v>#VALUE!</v>
      </c>
      <c r="X87" s="463" t="str">
        <f>IF(V87="Too early","Too early",V87/U87)</f>
        <v>Too early</v>
      </c>
      <c r="Y87" s="467">
        <v>16690</v>
      </c>
      <c r="Z87" s="465">
        <v>53334</v>
      </c>
      <c r="AA87" s="473">
        <f t="shared" si="49"/>
        <v>0.3129335883301459</v>
      </c>
      <c r="AB87" s="29" t="str">
        <f>IF($V87="Too early",V87,V87*AH87/Z87)</f>
        <v>Too early</v>
      </c>
      <c r="AC87" s="466">
        <v>389</v>
      </c>
      <c r="AD87" s="467">
        <v>26451.599999999999</v>
      </c>
      <c r="AE87" s="465">
        <v>41333</v>
      </c>
      <c r="AF87" s="29">
        <f t="shared" si="50"/>
        <v>0.63996322550988316</v>
      </c>
      <c r="AG87" s="468">
        <v>1590</v>
      </c>
      <c r="AH87" s="30">
        <f t="shared" si="54"/>
        <v>72.565217391304344</v>
      </c>
      <c r="AI87" s="469"/>
      <c r="AJ87" s="469"/>
      <c r="AK87" s="469"/>
      <c r="AL87" s="470">
        <v>41992.6</v>
      </c>
      <c r="AM87" s="471">
        <f>L87-AL87</f>
        <v>1149</v>
      </c>
    </row>
    <row r="88" spans="1:39" s="184" customFormat="1" ht="15.95">
      <c r="A88" s="184">
        <v>31</v>
      </c>
      <c r="B88" s="184">
        <f t="shared" si="45"/>
        <v>22</v>
      </c>
      <c r="C88" s="185">
        <v>46111</v>
      </c>
      <c r="D88" s="184" t="s">
        <v>74</v>
      </c>
      <c r="G88" s="194"/>
      <c r="H88" s="195"/>
      <c r="I88" s="442"/>
      <c r="J88" s="198" t="e">
        <f t="shared" si="43"/>
        <v>#DIV/0!</v>
      </c>
      <c r="K88" s="196">
        <f t="shared" si="53"/>
        <v>0</v>
      </c>
      <c r="L88" s="199">
        <f t="shared" si="41"/>
        <v>0</v>
      </c>
      <c r="M88" s="200">
        <f t="shared" si="42"/>
        <v>0</v>
      </c>
      <c r="N88" s="430"/>
      <c r="O88" s="198"/>
      <c r="P88" s="197" t="str">
        <f t="shared" si="46"/>
        <v>Too early</v>
      </c>
      <c r="Q88" s="199" t="str">
        <f t="shared" si="51"/>
        <v>Too early</v>
      </c>
      <c r="R88" s="445" t="str">
        <f t="shared" si="52"/>
        <v>Too early</v>
      </c>
      <c r="S88" s="482"/>
      <c r="T88" s="482">
        <f t="shared" si="47"/>
        <v>0</v>
      </c>
      <c r="U88" s="482">
        <f t="shared" si="44"/>
        <v>0</v>
      </c>
      <c r="V88" s="483" t="str">
        <f>IF(B88&lt;11,MIN((S88/VLOOKUP(B88,'Sales Pacing'!$A$23:$E$36,2)),T88),"Too early")</f>
        <v>Too early</v>
      </c>
      <c r="W88" s="523" t="e">
        <f t="shared" si="48"/>
        <v>#VALUE!</v>
      </c>
      <c r="X88" s="483"/>
      <c r="Y88" s="484"/>
      <c r="Z88" s="484"/>
      <c r="AA88" s="485" t="str">
        <f t="shared" si="49"/>
        <v/>
      </c>
      <c r="AB88" s="198"/>
      <c r="AC88" s="482"/>
      <c r="AD88" s="484"/>
      <c r="AE88" s="484"/>
      <c r="AF88" s="198" t="s">
        <v>58</v>
      </c>
      <c r="AG88" s="482"/>
      <c r="AH88" s="200" t="e">
        <f t="shared" si="54"/>
        <v>#DIV/0!</v>
      </c>
      <c r="AI88" s="486"/>
      <c r="AJ88" s="486"/>
      <c r="AK88" s="486"/>
      <c r="AL88" s="487">
        <v>0</v>
      </c>
    </row>
    <row r="89" spans="1:39" s="141" customFormat="1" ht="15.95">
      <c r="A89" s="141">
        <v>32</v>
      </c>
      <c r="B89" s="141">
        <f t="shared" si="45"/>
        <v>23</v>
      </c>
      <c r="C89" s="175">
        <v>46118</v>
      </c>
      <c r="D89" s="176" t="s">
        <v>99</v>
      </c>
      <c r="E89" s="176"/>
      <c r="F89" s="176"/>
      <c r="G89" s="175">
        <v>46122.833333333336</v>
      </c>
      <c r="H89" s="176" t="s">
        <v>65</v>
      </c>
      <c r="I89" s="439">
        <v>0.5</v>
      </c>
      <c r="J89" s="29">
        <f t="shared" si="43"/>
        <v>0.29309141660851362</v>
      </c>
      <c r="K89" s="35">
        <f t="shared" si="53"/>
        <v>420</v>
      </c>
      <c r="L89" s="37">
        <f t="shared" ref="L89:L117" si="57">Y89+AD89</f>
        <v>28125</v>
      </c>
      <c r="M89" s="30">
        <f t="shared" si="42"/>
        <v>52000</v>
      </c>
      <c r="N89" s="429">
        <f t="shared" ref="N89:N94" si="58">L89-M89</f>
        <v>-23875</v>
      </c>
      <c r="O89" s="29" t="str">
        <f t="shared" ref="O89:O94" si="59">IF(P89="Too early",P89,P89/AG89)</f>
        <v>Too early</v>
      </c>
      <c r="P89" s="36" t="str">
        <f t="shared" si="46"/>
        <v>Too early</v>
      </c>
      <c r="Q89" s="37" t="str">
        <f t="shared" si="51"/>
        <v>Too early</v>
      </c>
      <c r="R89" s="443" t="str">
        <f t="shared" si="52"/>
        <v>Too early</v>
      </c>
      <c r="S89" s="466">
        <v>52</v>
      </c>
      <c r="T89" s="468">
        <f t="shared" si="47"/>
        <v>1065</v>
      </c>
      <c r="U89" s="461">
        <f t="shared" si="44"/>
        <v>532.5</v>
      </c>
      <c r="V89" s="462" t="str">
        <f>IF(B89&lt;11,MIN((S89/VLOOKUP(B89,'Sales Pacing'!$A$23:$E$36,2)),T89),"Too early")</f>
        <v>Too early</v>
      </c>
      <c r="W89" s="522" t="e">
        <f t="shared" si="48"/>
        <v>#VALUE!</v>
      </c>
      <c r="X89" s="463" t="str">
        <f t="shared" ref="X89:X94" si="60">IF(V89="Too early","Too early",V89/U89)</f>
        <v>Too early</v>
      </c>
      <c r="Y89" s="467">
        <v>2411</v>
      </c>
      <c r="Z89" s="465">
        <v>22000</v>
      </c>
      <c r="AA89" s="473">
        <f t="shared" si="49"/>
        <v>0.10959090909090909</v>
      </c>
      <c r="AB89" s="29" t="str">
        <f t="shared" ref="AB89:AB94" si="61">IF($V89="Too early",V89,V89*AH89/Z89)</f>
        <v>Too early</v>
      </c>
      <c r="AC89" s="466">
        <v>368</v>
      </c>
      <c r="AD89" s="467">
        <v>25714</v>
      </c>
      <c r="AE89" s="465">
        <v>30000</v>
      </c>
      <c r="AF89" s="29">
        <f t="shared" si="50"/>
        <v>0.8571333333333333</v>
      </c>
      <c r="AG89" s="468">
        <v>1433</v>
      </c>
      <c r="AH89" s="30">
        <f t="shared" si="54"/>
        <v>46.365384615384613</v>
      </c>
      <c r="AI89" s="469"/>
      <c r="AJ89" s="469"/>
      <c r="AK89" s="469"/>
      <c r="AL89" s="470">
        <v>27729</v>
      </c>
      <c r="AM89" s="471">
        <f t="shared" ref="AM89:AM94" si="62">L89-AL89</f>
        <v>396</v>
      </c>
    </row>
    <row r="90" spans="1:39" s="141" customFormat="1" ht="15.95">
      <c r="A90" s="141">
        <v>32</v>
      </c>
      <c r="B90" s="141">
        <f t="shared" si="45"/>
        <v>23</v>
      </c>
      <c r="C90" s="142">
        <v>46118</v>
      </c>
      <c r="D90" s="141" t="s">
        <v>99</v>
      </c>
      <c r="G90" s="142">
        <v>46123.833333333336</v>
      </c>
      <c r="H90" s="141" t="s">
        <v>65</v>
      </c>
      <c r="I90" s="439">
        <v>0.85</v>
      </c>
      <c r="J90" s="29">
        <f t="shared" si="43"/>
        <v>0.46196789951151429</v>
      </c>
      <c r="K90" s="35">
        <f t="shared" si="53"/>
        <v>662</v>
      </c>
      <c r="L90" s="37">
        <f t="shared" si="57"/>
        <v>41374</v>
      </c>
      <c r="M90" s="30">
        <f t="shared" si="42"/>
        <v>74000</v>
      </c>
      <c r="N90" s="429">
        <f t="shared" si="58"/>
        <v>-32626</v>
      </c>
      <c r="O90" s="29" t="str">
        <f t="shared" si="59"/>
        <v>Too early</v>
      </c>
      <c r="P90" s="36" t="str">
        <f t="shared" si="46"/>
        <v>Too early</v>
      </c>
      <c r="Q90" s="37" t="str">
        <f t="shared" si="51"/>
        <v>Too early</v>
      </c>
      <c r="R90" s="443" t="str">
        <f t="shared" si="52"/>
        <v>Too early</v>
      </c>
      <c r="S90" s="466">
        <v>97</v>
      </c>
      <c r="T90" s="468">
        <f t="shared" si="47"/>
        <v>868</v>
      </c>
      <c r="U90" s="461">
        <f t="shared" si="44"/>
        <v>737.8</v>
      </c>
      <c r="V90" s="462" t="str">
        <f>IF(B90&lt;11,MIN((S90/VLOOKUP(B90,'Sales Pacing'!$A$23:$E$36,2)),T90),"Too early")</f>
        <v>Too early</v>
      </c>
      <c r="W90" s="522" t="e">
        <f t="shared" si="48"/>
        <v>#VALUE!</v>
      </c>
      <c r="X90" s="463" t="str">
        <f t="shared" si="60"/>
        <v>Too early</v>
      </c>
      <c r="Y90" s="467">
        <v>5001</v>
      </c>
      <c r="Z90" s="465">
        <v>24000</v>
      </c>
      <c r="AA90" s="473">
        <f t="shared" si="49"/>
        <v>0.208375</v>
      </c>
      <c r="AB90" s="29" t="str">
        <f t="shared" si="61"/>
        <v>Too early</v>
      </c>
      <c r="AC90" s="466">
        <v>565</v>
      </c>
      <c r="AD90" s="467">
        <v>36373</v>
      </c>
      <c r="AE90" s="465">
        <v>50000</v>
      </c>
      <c r="AF90" s="29">
        <f t="shared" si="50"/>
        <v>0.72746</v>
      </c>
      <c r="AG90" s="468">
        <v>1433</v>
      </c>
      <c r="AH90" s="30">
        <f t="shared" si="54"/>
        <v>51.556701030927833</v>
      </c>
      <c r="AI90" s="469"/>
      <c r="AJ90" s="469"/>
      <c r="AK90" s="469"/>
      <c r="AL90" s="470">
        <v>41302</v>
      </c>
      <c r="AM90" s="471">
        <f t="shared" si="62"/>
        <v>72</v>
      </c>
    </row>
    <row r="91" spans="1:39" s="145" customFormat="1" ht="15.95">
      <c r="A91" s="145">
        <v>32</v>
      </c>
      <c r="B91" s="145">
        <f t="shared" si="45"/>
        <v>23</v>
      </c>
      <c r="C91" s="146">
        <v>46118</v>
      </c>
      <c r="D91" s="145" t="s">
        <v>99</v>
      </c>
      <c r="G91" s="146">
        <v>46124.583333333336</v>
      </c>
      <c r="H91" s="145" t="s">
        <v>65</v>
      </c>
      <c r="I91" s="453">
        <v>0.85</v>
      </c>
      <c r="J91" s="32">
        <f t="shared" si="43"/>
        <v>0.44801116538729935</v>
      </c>
      <c r="K91" s="147">
        <f t="shared" si="53"/>
        <v>642</v>
      </c>
      <c r="L91" s="33">
        <f t="shared" si="57"/>
        <v>39965.1</v>
      </c>
      <c r="M91" s="34">
        <f t="shared" si="42"/>
        <v>74000</v>
      </c>
      <c r="N91" s="431">
        <f t="shared" si="58"/>
        <v>-34034.9</v>
      </c>
      <c r="O91" s="32" t="str">
        <f t="shared" si="59"/>
        <v>Too early</v>
      </c>
      <c r="P91" s="31" t="str">
        <f t="shared" si="46"/>
        <v>Too early</v>
      </c>
      <c r="Q91" s="33" t="str">
        <f t="shared" si="51"/>
        <v>Too early</v>
      </c>
      <c r="R91" s="444" t="str">
        <f t="shared" si="52"/>
        <v>Too early</v>
      </c>
      <c r="S91" s="478">
        <v>70</v>
      </c>
      <c r="T91" s="480">
        <f t="shared" si="47"/>
        <v>861</v>
      </c>
      <c r="U91" s="490">
        <f t="shared" si="44"/>
        <v>731.85</v>
      </c>
      <c r="V91" s="491" t="str">
        <f>IF(B91&lt;11,MIN((S91/VLOOKUP(B91,'Sales Pacing'!$A$23:$E$36,2)),T91),"Too early")</f>
        <v>Too early</v>
      </c>
      <c r="W91" s="524" t="e">
        <f t="shared" si="48"/>
        <v>#VALUE!</v>
      </c>
      <c r="X91" s="492" t="str">
        <f t="shared" si="60"/>
        <v>Too early</v>
      </c>
      <c r="Y91" s="479">
        <v>3060</v>
      </c>
      <c r="Z91" s="476">
        <v>24000</v>
      </c>
      <c r="AA91" s="477">
        <f t="shared" si="49"/>
        <v>0.1275</v>
      </c>
      <c r="AB91" s="32" t="str">
        <f t="shared" si="61"/>
        <v>Too early</v>
      </c>
      <c r="AC91" s="478">
        <v>572</v>
      </c>
      <c r="AD91" s="479">
        <v>36905.1</v>
      </c>
      <c r="AE91" s="476">
        <v>50000</v>
      </c>
      <c r="AF91" s="32">
        <f t="shared" si="50"/>
        <v>0.73810199999999992</v>
      </c>
      <c r="AG91" s="480">
        <v>1433</v>
      </c>
      <c r="AH91" s="34">
        <f t="shared" si="54"/>
        <v>43.714285714285715</v>
      </c>
      <c r="AI91" s="481"/>
      <c r="AJ91" s="481"/>
      <c r="AK91" s="481"/>
      <c r="AL91" s="493">
        <v>39738.1</v>
      </c>
      <c r="AM91" s="471">
        <f t="shared" si="62"/>
        <v>227</v>
      </c>
    </row>
    <row r="92" spans="1:39" s="141" customFormat="1" ht="15.95">
      <c r="A92" s="141">
        <v>33</v>
      </c>
      <c r="B92" s="141">
        <f t="shared" si="45"/>
        <v>24</v>
      </c>
      <c r="C92" s="142">
        <v>46125</v>
      </c>
      <c r="D92" s="141" t="s">
        <v>100</v>
      </c>
      <c r="G92" s="142">
        <v>46129.833333333336</v>
      </c>
      <c r="H92" s="141" t="s">
        <v>65</v>
      </c>
      <c r="I92" s="439">
        <v>0.85</v>
      </c>
      <c r="J92" s="29">
        <f t="shared" si="43"/>
        <v>0.38301886792452833</v>
      </c>
      <c r="K92" s="35">
        <f t="shared" si="53"/>
        <v>609</v>
      </c>
      <c r="L92" s="37">
        <f t="shared" si="57"/>
        <v>39973</v>
      </c>
      <c r="M92" s="30">
        <f t="shared" si="42"/>
        <v>46666</v>
      </c>
      <c r="N92" s="429">
        <f t="shared" si="58"/>
        <v>-6693</v>
      </c>
      <c r="O92" s="29" t="str">
        <f t="shared" si="59"/>
        <v>Too early</v>
      </c>
      <c r="P92" s="36" t="str">
        <f t="shared" si="46"/>
        <v>Too early</v>
      </c>
      <c r="Q92" s="37" t="str">
        <f t="shared" si="51"/>
        <v>Too early</v>
      </c>
      <c r="R92" s="443" t="str">
        <f t="shared" si="52"/>
        <v>Too early</v>
      </c>
      <c r="S92" s="466">
        <v>31</v>
      </c>
      <c r="T92" s="468">
        <f t="shared" si="47"/>
        <v>1012</v>
      </c>
      <c r="U92" s="461">
        <f t="shared" si="44"/>
        <v>860.19999999999993</v>
      </c>
      <c r="V92" s="462" t="str">
        <f>IF(B92&lt;11,MIN((S92/VLOOKUP(B92,'Sales Pacing'!$A$23:$E$36,2)),T92),"Too early")</f>
        <v>Too early</v>
      </c>
      <c r="W92" s="522" t="e">
        <f t="shared" si="48"/>
        <v>#VALUE!</v>
      </c>
      <c r="X92" s="463" t="str">
        <f t="shared" si="60"/>
        <v>Too early</v>
      </c>
      <c r="Y92" s="467">
        <v>1099</v>
      </c>
      <c r="Z92" s="465">
        <v>13333</v>
      </c>
      <c r="AA92" s="473">
        <f t="shared" si="49"/>
        <v>8.2427060676516908E-2</v>
      </c>
      <c r="AB92" s="29" t="str">
        <f t="shared" si="61"/>
        <v>Too early</v>
      </c>
      <c r="AC92" s="466">
        <v>578</v>
      </c>
      <c r="AD92" s="467">
        <v>38874</v>
      </c>
      <c r="AE92" s="465">
        <v>33333</v>
      </c>
      <c r="AF92" s="29">
        <f t="shared" si="50"/>
        <v>1.1662316623166231</v>
      </c>
      <c r="AG92" s="468">
        <v>1590</v>
      </c>
      <c r="AH92" s="30">
        <f t="shared" si="54"/>
        <v>35.451612903225808</v>
      </c>
      <c r="AI92" s="469"/>
      <c r="AJ92" s="469"/>
      <c r="AK92" s="469"/>
      <c r="AL92" s="470">
        <v>39793</v>
      </c>
      <c r="AM92" s="471">
        <f t="shared" si="62"/>
        <v>180</v>
      </c>
    </row>
    <row r="93" spans="1:39" s="141" customFormat="1" ht="15.95">
      <c r="A93" s="141">
        <v>33</v>
      </c>
      <c r="B93" s="141">
        <f t="shared" si="45"/>
        <v>24</v>
      </c>
      <c r="C93" s="142">
        <v>46125</v>
      </c>
      <c r="D93" s="141" t="s">
        <v>100</v>
      </c>
      <c r="G93" s="142">
        <v>46130.833333333336</v>
      </c>
      <c r="H93" s="141" t="s">
        <v>65</v>
      </c>
      <c r="I93" s="439">
        <v>0.85</v>
      </c>
      <c r="J93" s="29">
        <f t="shared" si="43"/>
        <v>0.39245283018867927</v>
      </c>
      <c r="K93" s="35">
        <f t="shared" si="53"/>
        <v>624</v>
      </c>
      <c r="L93" s="37">
        <f t="shared" si="57"/>
        <v>41660.9</v>
      </c>
      <c r="M93" s="30">
        <f t="shared" si="42"/>
        <v>46666</v>
      </c>
      <c r="N93" s="429">
        <f t="shared" si="58"/>
        <v>-5005.0999999999985</v>
      </c>
      <c r="O93" s="29" t="str">
        <f t="shared" si="59"/>
        <v>Too early</v>
      </c>
      <c r="P93" s="36" t="str">
        <f t="shared" si="46"/>
        <v>Too early</v>
      </c>
      <c r="Q93" s="37" t="str">
        <f t="shared" si="51"/>
        <v>Too early</v>
      </c>
      <c r="R93" s="443" t="str">
        <f t="shared" si="52"/>
        <v>Too early</v>
      </c>
      <c r="S93" s="466">
        <v>32</v>
      </c>
      <c r="T93" s="468">
        <f t="shared" si="47"/>
        <v>998</v>
      </c>
      <c r="U93" s="461">
        <f t="shared" si="44"/>
        <v>848.3</v>
      </c>
      <c r="V93" s="462" t="str">
        <f>IF(B93&lt;11,MIN((S93/VLOOKUP(B93,'Sales Pacing'!$A$23:$E$36,2)),T93),"Too early")</f>
        <v>Too early</v>
      </c>
      <c r="W93" s="522" t="e">
        <f t="shared" si="48"/>
        <v>#VALUE!</v>
      </c>
      <c r="X93" s="463" t="str">
        <f t="shared" si="60"/>
        <v>Too early</v>
      </c>
      <c r="Y93" s="467">
        <v>1399</v>
      </c>
      <c r="Z93" s="465">
        <v>13333</v>
      </c>
      <c r="AA93" s="473">
        <f t="shared" si="49"/>
        <v>0.10492762319057976</v>
      </c>
      <c r="AB93" s="29" t="str">
        <f t="shared" si="61"/>
        <v>Too early</v>
      </c>
      <c r="AC93" s="466">
        <v>592</v>
      </c>
      <c r="AD93" s="467">
        <v>40261.9</v>
      </c>
      <c r="AE93" s="465">
        <v>33333</v>
      </c>
      <c r="AF93" s="29">
        <f t="shared" si="50"/>
        <v>1.2078690786907869</v>
      </c>
      <c r="AG93" s="468">
        <v>1590</v>
      </c>
      <c r="AH93" s="30">
        <f t="shared" si="54"/>
        <v>43.71875</v>
      </c>
      <c r="AI93" s="469"/>
      <c r="AJ93" s="469"/>
      <c r="AK93" s="469"/>
      <c r="AL93" s="470">
        <v>41723.9</v>
      </c>
      <c r="AM93" s="471">
        <f t="shared" si="62"/>
        <v>-63</v>
      </c>
    </row>
    <row r="94" spans="1:39" s="145" customFormat="1" ht="15.95">
      <c r="A94" s="145">
        <v>33</v>
      </c>
      <c r="B94" s="145">
        <f t="shared" si="45"/>
        <v>24</v>
      </c>
      <c r="C94" s="146">
        <v>46125</v>
      </c>
      <c r="D94" s="145" t="s">
        <v>100</v>
      </c>
      <c r="G94" s="146">
        <v>46131.583333333336</v>
      </c>
      <c r="H94" s="145" t="s">
        <v>65</v>
      </c>
      <c r="I94" s="439">
        <v>0.85</v>
      </c>
      <c r="J94" s="29">
        <f t="shared" si="43"/>
        <v>0.41446540880503147</v>
      </c>
      <c r="K94" s="147">
        <f t="shared" si="53"/>
        <v>659</v>
      </c>
      <c r="L94" s="33">
        <f t="shared" si="57"/>
        <v>41694.199999999997</v>
      </c>
      <c r="M94" s="34">
        <f t="shared" si="42"/>
        <v>46668</v>
      </c>
      <c r="N94" s="431">
        <f t="shared" si="58"/>
        <v>-4973.8000000000029</v>
      </c>
      <c r="O94" s="32" t="str">
        <f t="shared" si="59"/>
        <v>Too early</v>
      </c>
      <c r="P94" s="31" t="str">
        <f t="shared" si="46"/>
        <v>Too early</v>
      </c>
      <c r="Q94" s="33" t="str">
        <f t="shared" si="51"/>
        <v>Too early</v>
      </c>
      <c r="R94" s="444" t="str">
        <f t="shared" si="52"/>
        <v>Too early</v>
      </c>
      <c r="S94" s="478">
        <v>40</v>
      </c>
      <c r="T94" s="468">
        <f t="shared" si="47"/>
        <v>971</v>
      </c>
      <c r="U94" s="461">
        <f t="shared" si="44"/>
        <v>825.35</v>
      </c>
      <c r="V94" s="491" t="str">
        <f>IF(B94&lt;11,MIN((S94/VLOOKUP(B94,'Sales Pacing'!$A$23:$E$36,2)),T94),"Too early")</f>
        <v>Too early</v>
      </c>
      <c r="W94" s="522" t="e">
        <f t="shared" si="48"/>
        <v>#VALUE!</v>
      </c>
      <c r="X94" s="463" t="str">
        <f t="shared" si="60"/>
        <v>Too early</v>
      </c>
      <c r="Y94" s="479">
        <v>1731</v>
      </c>
      <c r="Z94" s="476">
        <v>13334</v>
      </c>
      <c r="AA94" s="477">
        <f t="shared" si="49"/>
        <v>0.12981850907454628</v>
      </c>
      <c r="AB94" s="32" t="str">
        <f t="shared" si="61"/>
        <v>Too early</v>
      </c>
      <c r="AC94" s="478">
        <v>619</v>
      </c>
      <c r="AD94" s="479">
        <v>39963.199999999997</v>
      </c>
      <c r="AE94" s="476">
        <v>33334</v>
      </c>
      <c r="AF94" s="32">
        <f t="shared" si="50"/>
        <v>1.1988720225595486</v>
      </c>
      <c r="AG94" s="480">
        <v>1590</v>
      </c>
      <c r="AH94" s="34">
        <f t="shared" si="54"/>
        <v>43.274999999999999</v>
      </c>
      <c r="AI94" s="481"/>
      <c r="AJ94" s="481"/>
      <c r="AK94" s="481"/>
      <c r="AL94" s="493">
        <v>41460.199999999997</v>
      </c>
      <c r="AM94" s="471">
        <f t="shared" si="62"/>
        <v>234</v>
      </c>
    </row>
    <row r="95" spans="1:39" s="184" customFormat="1" ht="15.95">
      <c r="A95" s="184">
        <v>34</v>
      </c>
      <c r="B95" s="184">
        <f t="shared" si="45"/>
        <v>25</v>
      </c>
      <c r="C95" s="185">
        <v>46132</v>
      </c>
      <c r="D95" s="184" t="s">
        <v>74</v>
      </c>
      <c r="G95" s="194"/>
      <c r="H95" s="195"/>
      <c r="I95" s="442"/>
      <c r="J95" s="198" t="e">
        <f t="shared" si="43"/>
        <v>#DIV/0!</v>
      </c>
      <c r="K95" s="196">
        <f t="shared" si="53"/>
        <v>0</v>
      </c>
      <c r="L95" s="199">
        <f t="shared" si="57"/>
        <v>0</v>
      </c>
      <c r="M95" s="200">
        <f t="shared" si="42"/>
        <v>0</v>
      </c>
      <c r="N95" s="430"/>
      <c r="O95" s="198"/>
      <c r="P95" s="197" t="str">
        <f t="shared" si="46"/>
        <v>Too early</v>
      </c>
      <c r="Q95" s="199" t="str">
        <f t="shared" si="51"/>
        <v>Too early</v>
      </c>
      <c r="R95" s="445" t="str">
        <f t="shared" si="52"/>
        <v>Too early</v>
      </c>
      <c r="S95" s="482"/>
      <c r="T95" s="482">
        <f t="shared" si="47"/>
        <v>0</v>
      </c>
      <c r="U95" s="482">
        <f t="shared" si="44"/>
        <v>0</v>
      </c>
      <c r="V95" s="483" t="str">
        <f>IF(B95&lt;11,MIN((S95/VLOOKUP(B95,'Sales Pacing'!$A$23:$E$36,2)),T95),"Too early")</f>
        <v>Too early</v>
      </c>
      <c r="W95" s="523" t="e">
        <f t="shared" si="48"/>
        <v>#VALUE!</v>
      </c>
      <c r="X95" s="483"/>
      <c r="Y95" s="484"/>
      <c r="Z95" s="484"/>
      <c r="AA95" s="485" t="str">
        <f t="shared" si="49"/>
        <v/>
      </c>
      <c r="AB95" s="198"/>
      <c r="AC95" s="482"/>
      <c r="AD95" s="484"/>
      <c r="AE95" s="484"/>
      <c r="AF95" s="198" t="s">
        <v>58</v>
      </c>
      <c r="AG95" s="482"/>
      <c r="AH95" s="200" t="e">
        <f t="shared" si="54"/>
        <v>#DIV/0!</v>
      </c>
      <c r="AI95" s="486"/>
      <c r="AJ95" s="486"/>
      <c r="AK95" s="486"/>
      <c r="AL95" s="487">
        <v>0</v>
      </c>
    </row>
    <row r="96" spans="1:39" s="184" customFormat="1" ht="15.95">
      <c r="A96" s="184">
        <v>35</v>
      </c>
      <c r="B96" s="184">
        <f t="shared" si="45"/>
        <v>26</v>
      </c>
      <c r="C96" s="185">
        <v>46139</v>
      </c>
      <c r="D96" s="184" t="s">
        <v>74</v>
      </c>
      <c r="G96" s="194"/>
      <c r="H96" s="195"/>
      <c r="I96" s="442"/>
      <c r="J96" s="198" t="e">
        <f t="shared" si="43"/>
        <v>#DIV/0!</v>
      </c>
      <c r="K96" s="196">
        <f t="shared" si="53"/>
        <v>0</v>
      </c>
      <c r="L96" s="199">
        <f t="shared" si="57"/>
        <v>0</v>
      </c>
      <c r="M96" s="200">
        <f t="shared" si="42"/>
        <v>0</v>
      </c>
      <c r="N96" s="430"/>
      <c r="O96" s="198"/>
      <c r="P96" s="197" t="str">
        <f t="shared" si="46"/>
        <v>Too early</v>
      </c>
      <c r="Q96" s="199" t="str">
        <f t="shared" si="51"/>
        <v>Too early</v>
      </c>
      <c r="R96" s="445" t="str">
        <f t="shared" si="52"/>
        <v>Too early</v>
      </c>
      <c r="S96" s="482"/>
      <c r="T96" s="482">
        <f t="shared" si="47"/>
        <v>0</v>
      </c>
      <c r="U96" s="482">
        <f t="shared" si="44"/>
        <v>0</v>
      </c>
      <c r="V96" s="483" t="str">
        <f>IF(B96&lt;11,MIN((S96/VLOOKUP(B96,'Sales Pacing'!$A$23:$E$36,2)),T96),"Too early")</f>
        <v>Too early</v>
      </c>
      <c r="W96" s="523" t="e">
        <f t="shared" si="48"/>
        <v>#VALUE!</v>
      </c>
      <c r="X96" s="483"/>
      <c r="Y96" s="484"/>
      <c r="Z96" s="484"/>
      <c r="AA96" s="485" t="str">
        <f t="shared" si="49"/>
        <v/>
      </c>
      <c r="AB96" s="198"/>
      <c r="AC96" s="482"/>
      <c r="AD96" s="484"/>
      <c r="AE96" s="484"/>
      <c r="AF96" s="198" t="s">
        <v>58</v>
      </c>
      <c r="AG96" s="482"/>
      <c r="AH96" s="200" t="e">
        <f t="shared" si="54"/>
        <v>#DIV/0!</v>
      </c>
      <c r="AI96" s="486"/>
      <c r="AJ96" s="486"/>
      <c r="AK96" s="486"/>
      <c r="AL96" s="487">
        <v>0</v>
      </c>
    </row>
    <row r="97" spans="1:50" s="141" customFormat="1" ht="15.95">
      <c r="A97" s="141">
        <v>36</v>
      </c>
      <c r="B97" s="141">
        <f t="shared" si="45"/>
        <v>27</v>
      </c>
      <c r="C97" s="175">
        <v>46146</v>
      </c>
      <c r="D97" s="176" t="s">
        <v>101</v>
      </c>
      <c r="E97" s="176"/>
      <c r="F97" s="176"/>
      <c r="G97" s="175">
        <v>46150.833333333336</v>
      </c>
      <c r="H97" s="176" t="s">
        <v>65</v>
      </c>
      <c r="I97" s="439">
        <v>0.5</v>
      </c>
      <c r="J97" s="29">
        <f t="shared" si="43"/>
        <v>0.26666666666666666</v>
      </c>
      <c r="K97" s="35">
        <f t="shared" si="53"/>
        <v>424</v>
      </c>
      <c r="L97" s="37">
        <f t="shared" si="57"/>
        <v>28112</v>
      </c>
      <c r="M97" s="30">
        <f t="shared" si="42"/>
        <v>45000</v>
      </c>
      <c r="N97" s="429">
        <f t="shared" ref="N97:N102" si="63">L97-M97</f>
        <v>-16888</v>
      </c>
      <c r="O97" s="29" t="str">
        <f t="shared" ref="O97:O102" si="64">IF(P97="Too early",P97,P97/AG97)</f>
        <v>Too early</v>
      </c>
      <c r="P97" s="36" t="str">
        <f t="shared" si="46"/>
        <v>Too early</v>
      </c>
      <c r="Q97" s="37" t="str">
        <f t="shared" si="51"/>
        <v>Too early</v>
      </c>
      <c r="R97" s="443" t="str">
        <f t="shared" si="52"/>
        <v>Too early</v>
      </c>
      <c r="S97" s="460">
        <v>50</v>
      </c>
      <c r="T97" s="461">
        <f t="shared" si="47"/>
        <v>1216</v>
      </c>
      <c r="U97" s="461">
        <f t="shared" si="44"/>
        <v>608</v>
      </c>
      <c r="V97" s="462" t="str">
        <f>IF(B97&lt;11,MIN((S97/VLOOKUP(B97,'Sales Pacing'!$A$23:$E$36,2)),T97),"Too early")</f>
        <v>Too early</v>
      </c>
      <c r="W97" s="522" t="e">
        <f t="shared" si="48"/>
        <v>#VALUE!</v>
      </c>
      <c r="X97" s="463" t="str">
        <f t="shared" ref="X97:X102" si="65">IF(V97="Too early","Too early",V97/U97)</f>
        <v>Too early</v>
      </c>
      <c r="Y97" s="467">
        <v>2349</v>
      </c>
      <c r="Z97" s="465">
        <v>20000</v>
      </c>
      <c r="AA97" s="473">
        <f t="shared" si="49"/>
        <v>0.11745</v>
      </c>
      <c r="AB97" s="29" t="str">
        <f t="shared" ref="AB97:AB102" si="66">IF($V97="Too early",V97,V97*AH97/Z97)</f>
        <v>Too early</v>
      </c>
      <c r="AC97" s="466">
        <v>374</v>
      </c>
      <c r="AD97" s="467">
        <v>25763</v>
      </c>
      <c r="AE97" s="465">
        <v>25000</v>
      </c>
      <c r="AF97" s="29">
        <f t="shared" si="50"/>
        <v>1.0305200000000001</v>
      </c>
      <c r="AG97" s="468">
        <v>1590</v>
      </c>
      <c r="AH97" s="30">
        <f t="shared" si="54"/>
        <v>46.98</v>
      </c>
      <c r="AI97" s="469"/>
      <c r="AJ97" s="469"/>
      <c r="AK97" s="469"/>
      <c r="AL97" s="470">
        <v>27937</v>
      </c>
      <c r="AM97" s="471">
        <f t="shared" ref="AM97:AM102" si="67">L97-AL97</f>
        <v>175</v>
      </c>
    </row>
    <row r="98" spans="1:50" s="141" customFormat="1" ht="15.95">
      <c r="A98" s="141">
        <v>36</v>
      </c>
      <c r="B98" s="141">
        <f t="shared" si="45"/>
        <v>27</v>
      </c>
      <c r="C98" s="142">
        <v>46146</v>
      </c>
      <c r="D98" s="141" t="s">
        <v>101</v>
      </c>
      <c r="G98" s="142">
        <v>46151.833333333336</v>
      </c>
      <c r="H98" s="141" t="s">
        <v>65</v>
      </c>
      <c r="I98" s="439">
        <v>0.85</v>
      </c>
      <c r="J98" s="29">
        <f t="shared" si="43"/>
        <v>0.43333333333333335</v>
      </c>
      <c r="K98" s="35">
        <f t="shared" si="53"/>
        <v>689</v>
      </c>
      <c r="L98" s="37">
        <f t="shared" si="57"/>
        <v>45719.9</v>
      </c>
      <c r="M98" s="30">
        <f t="shared" si="42"/>
        <v>65000</v>
      </c>
      <c r="N98" s="429">
        <f t="shared" si="63"/>
        <v>-19280.099999999999</v>
      </c>
      <c r="O98" s="29" t="str">
        <f t="shared" si="64"/>
        <v>Too early</v>
      </c>
      <c r="P98" s="36" t="str">
        <f t="shared" si="46"/>
        <v>Too early</v>
      </c>
      <c r="Q98" s="37" t="str">
        <f t="shared" si="51"/>
        <v>Too early</v>
      </c>
      <c r="R98" s="443" t="str">
        <f t="shared" si="52"/>
        <v>Too early</v>
      </c>
      <c r="S98" s="460">
        <v>89</v>
      </c>
      <c r="T98" s="461">
        <f t="shared" si="47"/>
        <v>990</v>
      </c>
      <c r="U98" s="461">
        <f t="shared" si="44"/>
        <v>841.5</v>
      </c>
      <c r="V98" s="462" t="str">
        <f>IF(B98&lt;11,MIN((S98/VLOOKUP(B98,'Sales Pacing'!$A$23:$E$36,2)),T98),"Too early")</f>
        <v>Too early</v>
      </c>
      <c r="W98" s="522" t="e">
        <f t="shared" si="48"/>
        <v>#VALUE!</v>
      </c>
      <c r="X98" s="463" t="str">
        <f t="shared" si="65"/>
        <v>Too early</v>
      </c>
      <c r="Y98" s="467">
        <v>5356</v>
      </c>
      <c r="Z98" s="465">
        <v>17500</v>
      </c>
      <c r="AA98" s="473">
        <f t="shared" si="49"/>
        <v>0.30605714285714286</v>
      </c>
      <c r="AB98" s="29" t="str">
        <f t="shared" si="66"/>
        <v>Too early</v>
      </c>
      <c r="AC98" s="466">
        <v>600</v>
      </c>
      <c r="AD98" s="467">
        <v>40363.9</v>
      </c>
      <c r="AE98" s="465">
        <v>47500</v>
      </c>
      <c r="AF98" s="29">
        <f t="shared" si="50"/>
        <v>0.8497663157894737</v>
      </c>
      <c r="AG98" s="468">
        <v>1590</v>
      </c>
      <c r="AH98" s="30">
        <f t="shared" si="54"/>
        <v>60.179775280898873</v>
      </c>
      <c r="AI98" s="469"/>
      <c r="AJ98" s="469"/>
      <c r="AK98" s="469"/>
      <c r="AL98" s="470">
        <v>45768.9</v>
      </c>
      <c r="AM98" s="471">
        <f t="shared" si="67"/>
        <v>-49</v>
      </c>
    </row>
    <row r="99" spans="1:50" s="145" customFormat="1" ht="15.95">
      <c r="A99" s="145">
        <v>36</v>
      </c>
      <c r="B99" s="145">
        <f t="shared" si="45"/>
        <v>27</v>
      </c>
      <c r="C99" s="146">
        <v>46146</v>
      </c>
      <c r="D99" s="145" t="s">
        <v>101</v>
      </c>
      <c r="G99" s="146">
        <v>46152.583333333336</v>
      </c>
      <c r="H99" s="145" t="s">
        <v>65</v>
      </c>
      <c r="I99" s="453">
        <v>0.85</v>
      </c>
      <c r="J99" s="32">
        <f t="shared" si="43"/>
        <v>0.42767295597484278</v>
      </c>
      <c r="K99" s="147">
        <f t="shared" si="53"/>
        <v>680</v>
      </c>
      <c r="L99" s="33">
        <f t="shared" si="57"/>
        <v>43281.2</v>
      </c>
      <c r="M99" s="34">
        <f t="shared" si="42"/>
        <v>65000</v>
      </c>
      <c r="N99" s="431">
        <f t="shared" si="63"/>
        <v>-21718.800000000003</v>
      </c>
      <c r="O99" s="32" t="str">
        <f t="shared" si="64"/>
        <v>Too early</v>
      </c>
      <c r="P99" s="31" t="str">
        <f t="shared" si="46"/>
        <v>Too early</v>
      </c>
      <c r="Q99" s="33" t="str">
        <f t="shared" si="51"/>
        <v>Too early</v>
      </c>
      <c r="R99" s="444" t="str">
        <f t="shared" si="52"/>
        <v>Too early</v>
      </c>
      <c r="S99" s="474">
        <v>69</v>
      </c>
      <c r="T99" s="490">
        <f t="shared" si="47"/>
        <v>979</v>
      </c>
      <c r="U99" s="490">
        <f t="shared" si="44"/>
        <v>832.15</v>
      </c>
      <c r="V99" s="491" t="str">
        <f>IF(B99&lt;11,MIN((S99/VLOOKUP(B99,'Sales Pacing'!$A$23:$E$36,2)),T99),"Too early")</f>
        <v>Too early</v>
      </c>
      <c r="W99" s="524" t="e">
        <f t="shared" si="48"/>
        <v>#VALUE!</v>
      </c>
      <c r="X99" s="492" t="str">
        <f t="shared" si="65"/>
        <v>Too early</v>
      </c>
      <c r="Y99" s="479">
        <v>3734</v>
      </c>
      <c r="Z99" s="476">
        <v>17500</v>
      </c>
      <c r="AA99" s="477">
        <f t="shared" si="49"/>
        <v>0.21337142857142857</v>
      </c>
      <c r="AB99" s="32" t="str">
        <f t="shared" si="66"/>
        <v>Too early</v>
      </c>
      <c r="AC99" s="478">
        <v>611</v>
      </c>
      <c r="AD99" s="479">
        <v>39547.199999999997</v>
      </c>
      <c r="AE99" s="476">
        <v>47500</v>
      </c>
      <c r="AF99" s="32">
        <f t="shared" si="50"/>
        <v>0.83257263157894734</v>
      </c>
      <c r="AG99" s="480">
        <v>1590</v>
      </c>
      <c r="AH99" s="34">
        <f t="shared" si="54"/>
        <v>54.115942028985508</v>
      </c>
      <c r="AI99" s="481"/>
      <c r="AJ99" s="481"/>
      <c r="AK99" s="481"/>
      <c r="AL99" s="493">
        <v>42812.2</v>
      </c>
      <c r="AM99" s="471">
        <f t="shared" si="67"/>
        <v>469</v>
      </c>
    </row>
    <row r="100" spans="1:50" s="141" customFormat="1" ht="15.95">
      <c r="A100" s="141">
        <v>37</v>
      </c>
      <c r="B100" s="141">
        <f t="shared" si="45"/>
        <v>28</v>
      </c>
      <c r="C100" s="142">
        <v>46153</v>
      </c>
      <c r="D100" s="141" t="s">
        <v>102</v>
      </c>
      <c r="G100" s="142">
        <v>46157.833333333336</v>
      </c>
      <c r="H100" s="141" t="s">
        <v>60</v>
      </c>
      <c r="I100" s="439">
        <v>0.85</v>
      </c>
      <c r="J100" s="29">
        <f t="shared" si="43"/>
        <v>0.62135176651305679</v>
      </c>
      <c r="K100" s="35">
        <f t="shared" si="53"/>
        <v>809</v>
      </c>
      <c r="L100" s="37">
        <f t="shared" si="57"/>
        <v>67940</v>
      </c>
      <c r="M100" s="30">
        <f t="shared" si="42"/>
        <v>103333</v>
      </c>
      <c r="N100" s="429">
        <f t="shared" si="63"/>
        <v>-35393</v>
      </c>
      <c r="O100" s="29" t="str">
        <f t="shared" si="64"/>
        <v>Too early</v>
      </c>
      <c r="P100" s="36" t="str">
        <f t="shared" si="46"/>
        <v>Too early</v>
      </c>
      <c r="Q100" s="37" t="str">
        <f t="shared" si="51"/>
        <v>Too early</v>
      </c>
      <c r="R100" s="443" t="str">
        <f t="shared" si="52"/>
        <v>Too early</v>
      </c>
      <c r="S100" s="460">
        <v>71</v>
      </c>
      <c r="T100" s="461">
        <f t="shared" si="47"/>
        <v>564</v>
      </c>
      <c r="U100" s="461">
        <f t="shared" si="44"/>
        <v>479.4</v>
      </c>
      <c r="V100" s="462" t="str">
        <f>IF(B100&lt;11,MIN((S100/VLOOKUP(B100,'Sales Pacing'!$A$23:$E$36,2)),T100),"Too early")</f>
        <v>Too early</v>
      </c>
      <c r="W100" s="522" t="e">
        <f t="shared" si="48"/>
        <v>#VALUE!</v>
      </c>
      <c r="X100" s="463" t="str">
        <f t="shared" si="65"/>
        <v>Too early</v>
      </c>
      <c r="Y100" s="467">
        <v>5507</v>
      </c>
      <c r="Z100" s="465">
        <v>60000</v>
      </c>
      <c r="AA100" s="473">
        <f t="shared" si="49"/>
        <v>9.1783333333333328E-2</v>
      </c>
      <c r="AB100" s="29" t="str">
        <f t="shared" si="66"/>
        <v>Too early</v>
      </c>
      <c r="AC100" s="466">
        <v>738</v>
      </c>
      <c r="AD100" s="467">
        <v>62433</v>
      </c>
      <c r="AE100" s="465">
        <v>43333</v>
      </c>
      <c r="AF100" s="29">
        <f t="shared" si="50"/>
        <v>1.4407726213278564</v>
      </c>
      <c r="AG100" s="468">
        <v>1302</v>
      </c>
      <c r="AH100" s="30">
        <f t="shared" si="54"/>
        <v>77.563380281690144</v>
      </c>
      <c r="AI100" s="469"/>
      <c r="AJ100" s="469"/>
      <c r="AK100" s="469"/>
      <c r="AL100" s="470">
        <v>67716</v>
      </c>
      <c r="AM100" s="471">
        <f t="shared" si="67"/>
        <v>224</v>
      </c>
    </row>
    <row r="101" spans="1:50" s="141" customFormat="1" ht="15.95">
      <c r="A101" s="141">
        <v>37</v>
      </c>
      <c r="B101" s="141">
        <f t="shared" si="45"/>
        <v>28</v>
      </c>
      <c r="C101" s="142">
        <v>46153</v>
      </c>
      <c r="D101" s="141" t="s">
        <v>102</v>
      </c>
      <c r="G101" s="142">
        <v>46158.833333333336</v>
      </c>
      <c r="H101" s="141" t="s">
        <v>60</v>
      </c>
      <c r="I101" s="439">
        <v>0.85</v>
      </c>
      <c r="J101" s="29">
        <f t="shared" si="43"/>
        <v>0.56682027649769584</v>
      </c>
      <c r="K101" s="35">
        <f t="shared" si="53"/>
        <v>738</v>
      </c>
      <c r="L101" s="37">
        <f t="shared" si="57"/>
        <v>61787</v>
      </c>
      <c r="M101" s="30">
        <f t="shared" si="42"/>
        <v>103334</v>
      </c>
      <c r="N101" s="429">
        <f t="shared" si="63"/>
        <v>-41547</v>
      </c>
      <c r="O101" s="29" t="str">
        <f t="shared" si="64"/>
        <v>Too early</v>
      </c>
      <c r="P101" s="36" t="str">
        <f t="shared" si="46"/>
        <v>Too early</v>
      </c>
      <c r="Q101" s="37" t="str">
        <f t="shared" si="51"/>
        <v>Too early</v>
      </c>
      <c r="R101" s="443" t="str">
        <f t="shared" si="52"/>
        <v>Too early</v>
      </c>
      <c r="S101" s="460">
        <v>68</v>
      </c>
      <c r="T101" s="461">
        <f t="shared" si="47"/>
        <v>632</v>
      </c>
      <c r="U101" s="461">
        <f t="shared" si="44"/>
        <v>537.19999999999993</v>
      </c>
      <c r="V101" s="462" t="str">
        <f>IF(B101&lt;11,MIN((S101/VLOOKUP(B101,'Sales Pacing'!$A$23:$E$36,2)),T101),"Too early")</f>
        <v>Too early</v>
      </c>
      <c r="W101" s="522" t="e">
        <f t="shared" si="48"/>
        <v>#VALUE!</v>
      </c>
      <c r="X101" s="463" t="str">
        <f t="shared" si="65"/>
        <v>Too early</v>
      </c>
      <c r="Y101" s="467">
        <v>4810</v>
      </c>
      <c r="Z101" s="465">
        <v>60000</v>
      </c>
      <c r="AA101" s="473">
        <f t="shared" si="49"/>
        <v>8.0166666666666664E-2</v>
      </c>
      <c r="AB101" s="29" t="str">
        <f t="shared" si="66"/>
        <v>Too early</v>
      </c>
      <c r="AC101" s="466">
        <v>670</v>
      </c>
      <c r="AD101" s="467">
        <v>56977</v>
      </c>
      <c r="AE101" s="465">
        <v>43334</v>
      </c>
      <c r="AF101" s="29">
        <f t="shared" si="50"/>
        <v>1.3148336179443394</v>
      </c>
      <c r="AG101" s="468">
        <v>1302</v>
      </c>
      <c r="AH101" s="30">
        <f t="shared" si="54"/>
        <v>70.735294117647058</v>
      </c>
      <c r="AI101" s="469"/>
      <c r="AJ101" s="469"/>
      <c r="AK101" s="469"/>
      <c r="AL101" s="470">
        <v>62277</v>
      </c>
      <c r="AM101" s="471">
        <f t="shared" si="67"/>
        <v>-490</v>
      </c>
    </row>
    <row r="102" spans="1:50" s="145" customFormat="1" ht="15.95">
      <c r="A102" s="145">
        <v>37</v>
      </c>
      <c r="B102" s="145">
        <f t="shared" si="45"/>
        <v>28</v>
      </c>
      <c r="C102" s="146">
        <v>46153</v>
      </c>
      <c r="D102" s="145" t="s">
        <v>102</v>
      </c>
      <c r="G102" s="146">
        <v>46159.583333333336</v>
      </c>
      <c r="H102" s="145" t="s">
        <v>60</v>
      </c>
      <c r="I102" s="439">
        <v>0.85</v>
      </c>
      <c r="J102" s="29">
        <f t="shared" ref="J102:J117" si="68">K102/AG102</f>
        <v>0.39170506912442399</v>
      </c>
      <c r="K102" s="147">
        <f t="shared" si="53"/>
        <v>510</v>
      </c>
      <c r="L102" s="33">
        <f t="shared" si="57"/>
        <v>40500</v>
      </c>
      <c r="M102" s="34">
        <f t="shared" si="42"/>
        <v>103333</v>
      </c>
      <c r="N102" s="431">
        <f t="shared" si="63"/>
        <v>-62833</v>
      </c>
      <c r="O102" s="32" t="str">
        <f t="shared" si="64"/>
        <v>Too early</v>
      </c>
      <c r="P102" s="31" t="str">
        <f t="shared" si="46"/>
        <v>Too early</v>
      </c>
      <c r="Q102" s="33" t="str">
        <f t="shared" si="51"/>
        <v>Too early</v>
      </c>
      <c r="R102" s="444" t="str">
        <f t="shared" si="52"/>
        <v>Too early</v>
      </c>
      <c r="S102" s="474">
        <v>117</v>
      </c>
      <c r="T102" s="461">
        <f t="shared" si="47"/>
        <v>909</v>
      </c>
      <c r="U102" s="461">
        <f t="shared" ref="U102:U117" si="69">(AG102-AC102)*I102</f>
        <v>772.65</v>
      </c>
      <c r="V102" s="491" t="str">
        <f>IF(B102&lt;11,MIN((S102/VLOOKUP(B102,'Sales Pacing'!$A$23:$E$36,2)),T102),"Too early")</f>
        <v>Too early</v>
      </c>
      <c r="W102" s="522" t="e">
        <f t="shared" si="48"/>
        <v>#VALUE!</v>
      </c>
      <c r="X102" s="463" t="str">
        <f t="shared" si="65"/>
        <v>Too early</v>
      </c>
      <c r="Y102" s="479">
        <v>9238</v>
      </c>
      <c r="Z102" s="476">
        <v>60000</v>
      </c>
      <c r="AA102" s="477">
        <f t="shared" si="49"/>
        <v>0.15396666666666667</v>
      </c>
      <c r="AB102" s="32" t="str">
        <f t="shared" si="66"/>
        <v>Too early</v>
      </c>
      <c r="AC102" s="478">
        <v>393</v>
      </c>
      <c r="AD102" s="479">
        <v>31262</v>
      </c>
      <c r="AE102" s="476">
        <v>43333</v>
      </c>
      <c r="AF102" s="32">
        <f t="shared" si="50"/>
        <v>0.72143631874091341</v>
      </c>
      <c r="AG102" s="480">
        <v>1302</v>
      </c>
      <c r="AH102" s="34">
        <f t="shared" si="54"/>
        <v>78.957264957264954</v>
      </c>
      <c r="AI102" s="481"/>
      <c r="AJ102" s="481"/>
      <c r="AK102" s="481"/>
      <c r="AL102" s="493">
        <v>39876</v>
      </c>
      <c r="AM102" s="471">
        <f t="shared" si="67"/>
        <v>624</v>
      </c>
    </row>
    <row r="103" spans="1:50" s="184" customFormat="1" ht="15.95">
      <c r="A103" s="184">
        <v>38</v>
      </c>
      <c r="B103" s="184">
        <f t="shared" si="45"/>
        <v>29</v>
      </c>
      <c r="C103" s="185">
        <v>46160</v>
      </c>
      <c r="D103" s="184" t="s">
        <v>74</v>
      </c>
      <c r="G103" s="194"/>
      <c r="H103" s="195"/>
      <c r="I103" s="442"/>
      <c r="J103" s="198" t="e">
        <f t="shared" si="68"/>
        <v>#DIV/0!</v>
      </c>
      <c r="K103" s="196">
        <f t="shared" si="53"/>
        <v>0</v>
      </c>
      <c r="L103" s="199">
        <f t="shared" si="57"/>
        <v>0</v>
      </c>
      <c r="M103" s="200">
        <f t="shared" si="42"/>
        <v>0</v>
      </c>
      <c r="N103" s="430"/>
      <c r="O103" s="198"/>
      <c r="P103" s="197" t="str">
        <f t="shared" si="46"/>
        <v>Too early</v>
      </c>
      <c r="Q103" s="199" t="str">
        <f t="shared" si="51"/>
        <v>Too early</v>
      </c>
      <c r="R103" s="445" t="str">
        <f t="shared" si="52"/>
        <v>Too early</v>
      </c>
      <c r="S103" s="482"/>
      <c r="T103" s="482">
        <f t="shared" si="47"/>
        <v>0</v>
      </c>
      <c r="U103" s="482">
        <f t="shared" si="69"/>
        <v>0</v>
      </c>
      <c r="V103" s="483" t="str">
        <f>IF(B103&lt;11,MIN((S103/VLOOKUP(B103,'Sales Pacing'!$A$23:$E$36,2)),T103),"Too early")</f>
        <v>Too early</v>
      </c>
      <c r="W103" s="523" t="e">
        <f t="shared" si="48"/>
        <v>#VALUE!</v>
      </c>
      <c r="X103" s="483"/>
      <c r="Y103" s="484"/>
      <c r="Z103" s="484"/>
      <c r="AA103" s="485" t="str">
        <f t="shared" si="49"/>
        <v/>
      </c>
      <c r="AB103" s="198"/>
      <c r="AC103" s="482"/>
      <c r="AD103" s="484"/>
      <c r="AE103" s="484"/>
      <c r="AF103" s="198" t="s">
        <v>58</v>
      </c>
      <c r="AG103" s="482"/>
      <c r="AH103" s="200" t="e">
        <f t="shared" si="54"/>
        <v>#DIV/0!</v>
      </c>
      <c r="AI103" s="486"/>
      <c r="AJ103" s="486"/>
      <c r="AK103" s="486"/>
      <c r="AL103" s="487">
        <v>0</v>
      </c>
    </row>
    <row r="104" spans="1:50" s="249" customFormat="1" ht="15.95">
      <c r="A104" s="141">
        <v>38</v>
      </c>
      <c r="B104" s="141">
        <v>45</v>
      </c>
      <c r="C104" s="142">
        <v>46160</v>
      </c>
      <c r="D104" s="141" t="s">
        <v>103</v>
      </c>
      <c r="E104" s="141"/>
      <c r="F104" s="141"/>
      <c r="G104" s="142">
        <v>46163</v>
      </c>
      <c r="H104" s="141" t="s">
        <v>55</v>
      </c>
      <c r="I104" s="439">
        <v>0.85</v>
      </c>
      <c r="J104" s="29">
        <f t="shared" si="68"/>
        <v>7.2327044025157231E-2</v>
      </c>
      <c r="K104" s="521">
        <f t="shared" si="53"/>
        <v>115</v>
      </c>
      <c r="L104" s="512">
        <f t="shared" si="57"/>
        <v>9816</v>
      </c>
      <c r="M104" s="513">
        <f t="shared" si="42"/>
        <v>112468</v>
      </c>
      <c r="N104" s="514">
        <f t="shared" ref="N104:N113" si="70">L104-M104</f>
        <v>-102652</v>
      </c>
      <c r="O104" s="29" t="str">
        <f t="shared" ref="O104:O113" si="71">IF(P104="Too early",P104,P104/AG104)</f>
        <v>Too early</v>
      </c>
      <c r="P104" s="511" t="str">
        <f>IF(V104="Too early",V104,V104+AC104)</f>
        <v>Too early</v>
      </c>
      <c r="Q104" s="512" t="str">
        <f t="shared" si="51"/>
        <v>Too early</v>
      </c>
      <c r="R104" s="443" t="str">
        <f t="shared" si="52"/>
        <v>Too early</v>
      </c>
      <c r="S104" s="460">
        <v>115</v>
      </c>
      <c r="T104" s="461">
        <f t="shared" si="47"/>
        <v>1590</v>
      </c>
      <c r="U104" s="461">
        <f t="shared" si="69"/>
        <v>1351.5</v>
      </c>
      <c r="V104" s="462" t="str">
        <f>IF(B104&lt;11,MIN((S104/VLOOKUP(B104,'Sales Pacing'!$A$23:$E$36,2)),T104),"Too early")</f>
        <v>Too early</v>
      </c>
      <c r="W104" s="522" t="e">
        <f t="shared" si="48"/>
        <v>#VALUE!</v>
      </c>
      <c r="X104" s="463" t="str">
        <f t="shared" ref="X104:X113" si="72">IF(V104="Too early","Too early",V104/U104)</f>
        <v>Too early</v>
      </c>
      <c r="Y104" s="467">
        <v>9816</v>
      </c>
      <c r="Z104" s="465">
        <v>112468</v>
      </c>
      <c r="AA104" s="473">
        <f>IF(Y104&gt;0,Y104/Z104,"")</f>
        <v>8.7278159120816587E-2</v>
      </c>
      <c r="AB104" s="29" t="str">
        <f t="shared" ref="AB104:AB113" si="73">IF($V104="Too early",V104,V104*AH104/Z104)</f>
        <v>Too early</v>
      </c>
      <c r="AC104" s="466"/>
      <c r="AD104" s="467"/>
      <c r="AE104" s="465"/>
      <c r="AF104" s="29" t="str">
        <f t="shared" si="50"/>
        <v/>
      </c>
      <c r="AG104" s="468">
        <v>1590</v>
      </c>
      <c r="AH104" s="518">
        <f t="shared" si="54"/>
        <v>85.356521739130429</v>
      </c>
      <c r="AI104" s="469"/>
      <c r="AJ104" s="469"/>
      <c r="AK104" s="469"/>
      <c r="AL104" s="470">
        <v>8896</v>
      </c>
      <c r="AM104" s="471">
        <f t="shared" ref="AM104:AM113" si="74">L104-AL104</f>
        <v>920</v>
      </c>
      <c r="AN104" s="141"/>
      <c r="AO104" s="141"/>
      <c r="AP104" s="141"/>
      <c r="AQ104" s="141"/>
      <c r="AR104" s="141"/>
      <c r="AS104" s="141"/>
      <c r="AT104" s="141"/>
      <c r="AU104" s="141"/>
      <c r="AV104" s="141"/>
      <c r="AW104" s="141"/>
      <c r="AX104" s="141"/>
    </row>
    <row r="105" spans="1:50" s="249" customFormat="1" ht="15.95">
      <c r="A105" s="145">
        <v>38</v>
      </c>
      <c r="B105" s="145">
        <v>45</v>
      </c>
      <c r="C105" s="146">
        <v>46160</v>
      </c>
      <c r="D105" s="145" t="s">
        <v>103</v>
      </c>
      <c r="E105" s="145"/>
      <c r="F105" s="145"/>
      <c r="G105" s="146">
        <v>46164</v>
      </c>
      <c r="H105" s="145" t="s">
        <v>55</v>
      </c>
      <c r="I105" s="453">
        <v>0.85</v>
      </c>
      <c r="J105" s="515">
        <f t="shared" si="68"/>
        <v>0.1270440251572327</v>
      </c>
      <c r="K105" s="516">
        <f t="shared" si="53"/>
        <v>202</v>
      </c>
      <c r="L105" s="517">
        <f t="shared" si="57"/>
        <v>18452</v>
      </c>
      <c r="M105" s="518">
        <f t="shared" si="42"/>
        <v>112468</v>
      </c>
      <c r="N105" s="519">
        <f t="shared" si="70"/>
        <v>-94016</v>
      </c>
      <c r="O105" s="32" t="str">
        <f t="shared" si="71"/>
        <v>Too early</v>
      </c>
      <c r="P105" s="516" t="str">
        <f>IF(V105="Too early",V105,V105+AC105)</f>
        <v>Too early</v>
      </c>
      <c r="Q105" s="517" t="str">
        <f t="shared" si="51"/>
        <v>Too early</v>
      </c>
      <c r="R105" s="444" t="str">
        <f t="shared" si="52"/>
        <v>Too early</v>
      </c>
      <c r="S105" s="474">
        <v>202</v>
      </c>
      <c r="T105" s="490">
        <f t="shared" si="47"/>
        <v>1590</v>
      </c>
      <c r="U105" s="490">
        <f t="shared" si="69"/>
        <v>1351.5</v>
      </c>
      <c r="V105" s="491" t="str">
        <f>IF(B105&lt;11,MIN((S105/VLOOKUP(B105,'Sales Pacing'!$A$23:$E$36,2)),T105),"Too early")</f>
        <v>Too early</v>
      </c>
      <c r="W105" s="524" t="e">
        <f t="shared" si="48"/>
        <v>#VALUE!</v>
      </c>
      <c r="X105" s="492" t="str">
        <f t="shared" si="72"/>
        <v>Too early</v>
      </c>
      <c r="Y105" s="479">
        <v>18452</v>
      </c>
      <c r="Z105" s="476">
        <v>112468</v>
      </c>
      <c r="AA105" s="477">
        <f>IF(Y105&gt;0,Y105/Z105,"")</f>
        <v>0.16406444499768824</v>
      </c>
      <c r="AB105" s="32" t="str">
        <f t="shared" si="73"/>
        <v>Too early</v>
      </c>
      <c r="AC105" s="478"/>
      <c r="AD105" s="479"/>
      <c r="AE105" s="476"/>
      <c r="AF105" s="32" t="str">
        <f t="shared" si="50"/>
        <v/>
      </c>
      <c r="AG105" s="480">
        <v>1590</v>
      </c>
      <c r="AH105" s="518">
        <f t="shared" si="54"/>
        <v>91.346534653465341</v>
      </c>
      <c r="AI105" s="481"/>
      <c r="AJ105" s="481"/>
      <c r="AK105" s="481"/>
      <c r="AL105" s="470">
        <v>17072</v>
      </c>
      <c r="AM105" s="471">
        <f t="shared" si="74"/>
        <v>1380</v>
      </c>
      <c r="AN105" s="141"/>
      <c r="AO105" s="141"/>
      <c r="AP105" s="141"/>
      <c r="AQ105" s="141"/>
      <c r="AR105" s="141"/>
      <c r="AS105" s="141"/>
      <c r="AT105" s="141"/>
      <c r="AU105" s="141"/>
      <c r="AV105" s="141"/>
      <c r="AW105" s="141"/>
      <c r="AX105" s="141"/>
    </row>
    <row r="106" spans="1:50" s="141" customFormat="1" ht="15.95">
      <c r="A106" s="141">
        <v>39</v>
      </c>
      <c r="B106" s="141">
        <f t="shared" si="45"/>
        <v>30</v>
      </c>
      <c r="C106" s="142">
        <v>46167</v>
      </c>
      <c r="D106" s="141" t="s">
        <v>104</v>
      </c>
      <c r="G106" s="142">
        <v>46170.833333333336</v>
      </c>
      <c r="H106" s="141" t="s">
        <v>71</v>
      </c>
      <c r="I106" s="439">
        <v>0.85</v>
      </c>
      <c r="J106" s="29">
        <f t="shared" si="68"/>
        <v>0.17</v>
      </c>
      <c r="K106" s="35">
        <f t="shared" si="53"/>
        <v>17</v>
      </c>
      <c r="L106" s="37">
        <f t="shared" si="57"/>
        <v>1680</v>
      </c>
      <c r="M106" s="30">
        <v>9000</v>
      </c>
      <c r="N106" s="429">
        <f t="shared" si="70"/>
        <v>-7320</v>
      </c>
      <c r="O106" s="29" t="str">
        <f t="shared" si="71"/>
        <v>Too early</v>
      </c>
      <c r="P106" s="36" t="str">
        <f t="shared" si="46"/>
        <v>Too early</v>
      </c>
      <c r="Q106" s="37" t="str">
        <f t="shared" si="51"/>
        <v>Too early</v>
      </c>
      <c r="R106" s="443" t="str">
        <f t="shared" si="52"/>
        <v>Too early</v>
      </c>
      <c r="S106" s="466">
        <v>17</v>
      </c>
      <c r="T106" s="468">
        <f t="shared" si="47"/>
        <v>100</v>
      </c>
      <c r="U106" s="461">
        <f t="shared" si="69"/>
        <v>85</v>
      </c>
      <c r="V106" s="462" t="str">
        <f>IF(B106&lt;11,MIN((S106/VLOOKUP(B106,'Sales Pacing'!$A$23:$E$36,2)),T106),"Too early")</f>
        <v>Too early</v>
      </c>
      <c r="W106" s="522" t="e">
        <f t="shared" si="48"/>
        <v>#VALUE!</v>
      </c>
      <c r="X106" s="463" t="str">
        <f t="shared" si="72"/>
        <v>Too early</v>
      </c>
      <c r="Y106" s="467">
        <v>1680</v>
      </c>
      <c r="Z106" s="465">
        <v>9000</v>
      </c>
      <c r="AA106" s="473">
        <f t="shared" si="49"/>
        <v>0.18666666666666668</v>
      </c>
      <c r="AB106" s="29" t="str">
        <f t="shared" si="73"/>
        <v>Too early</v>
      </c>
      <c r="AC106" s="466"/>
      <c r="AD106" s="467"/>
      <c r="AE106" s="465"/>
      <c r="AF106" s="29" t="str">
        <f t="shared" si="50"/>
        <v/>
      </c>
      <c r="AG106" s="468">
        <v>100</v>
      </c>
      <c r="AH106" s="30">
        <f t="shared" si="54"/>
        <v>98.82352941176471</v>
      </c>
      <c r="AI106" s="469"/>
      <c r="AJ106" s="469"/>
      <c r="AK106" s="469"/>
      <c r="AL106" s="470">
        <v>1680</v>
      </c>
      <c r="AM106" s="471">
        <f t="shared" si="74"/>
        <v>0</v>
      </c>
    </row>
    <row r="107" spans="1:50" s="141" customFormat="1" ht="15.95">
      <c r="A107" s="141">
        <v>39</v>
      </c>
      <c r="B107" s="141">
        <f t="shared" si="45"/>
        <v>30</v>
      </c>
      <c r="C107" s="142">
        <v>46167</v>
      </c>
      <c r="D107" s="141" t="s">
        <v>105</v>
      </c>
      <c r="G107" s="142">
        <v>46171.833333333336</v>
      </c>
      <c r="H107" s="141" t="s">
        <v>65</v>
      </c>
      <c r="I107" s="439">
        <v>0.85</v>
      </c>
      <c r="J107" s="29">
        <f t="shared" si="68"/>
        <v>0.38616352201257864</v>
      </c>
      <c r="K107" s="35">
        <f t="shared" si="53"/>
        <v>614</v>
      </c>
      <c r="L107" s="37">
        <f t="shared" si="57"/>
        <v>39454</v>
      </c>
      <c r="M107" s="30">
        <f>Z107+AE107</f>
        <v>51666</v>
      </c>
      <c r="N107" s="429">
        <f t="shared" si="70"/>
        <v>-12212</v>
      </c>
      <c r="O107" s="29" t="str">
        <f t="shared" si="71"/>
        <v>Too early</v>
      </c>
      <c r="P107" s="36" t="str">
        <f t="shared" si="46"/>
        <v>Too early</v>
      </c>
      <c r="Q107" s="37" t="str">
        <f t="shared" si="51"/>
        <v>Too early</v>
      </c>
      <c r="R107" s="443" t="str">
        <f t="shared" si="52"/>
        <v>Too early</v>
      </c>
      <c r="S107" s="460">
        <v>49</v>
      </c>
      <c r="T107" s="461">
        <f t="shared" si="47"/>
        <v>1025</v>
      </c>
      <c r="U107" s="461">
        <f t="shared" si="69"/>
        <v>871.25</v>
      </c>
      <c r="V107" s="462" t="str">
        <f>IF(B107&lt;11,MIN((S107/VLOOKUP(B107,'Sales Pacing'!$A$23:$E$36,2)),T107),"Too early")</f>
        <v>Too early</v>
      </c>
      <c r="W107" s="522" t="e">
        <f t="shared" si="48"/>
        <v>#VALUE!</v>
      </c>
      <c r="X107" s="463" t="str">
        <f t="shared" si="72"/>
        <v>Too early</v>
      </c>
      <c r="Y107" s="467">
        <v>1728</v>
      </c>
      <c r="Z107" s="465">
        <v>20000</v>
      </c>
      <c r="AA107" s="473">
        <f t="shared" si="49"/>
        <v>8.6400000000000005E-2</v>
      </c>
      <c r="AB107" s="29" t="str">
        <f t="shared" si="73"/>
        <v>Too early</v>
      </c>
      <c r="AC107" s="466">
        <v>565</v>
      </c>
      <c r="AD107" s="467">
        <v>37726</v>
      </c>
      <c r="AE107" s="465">
        <v>31666</v>
      </c>
      <c r="AF107" s="29">
        <f t="shared" si="50"/>
        <v>1.1913724499463147</v>
      </c>
      <c r="AG107" s="468">
        <v>1590</v>
      </c>
      <c r="AH107" s="30">
        <f t="shared" si="54"/>
        <v>35.265306122448976</v>
      </c>
      <c r="AI107" s="469"/>
      <c r="AJ107" s="469"/>
      <c r="AK107" s="469"/>
      <c r="AL107" s="470">
        <v>39074</v>
      </c>
      <c r="AM107" s="471">
        <f t="shared" si="74"/>
        <v>380</v>
      </c>
    </row>
    <row r="108" spans="1:50" s="141" customFormat="1" ht="15.95">
      <c r="A108" s="141">
        <v>39</v>
      </c>
      <c r="B108" s="141">
        <f t="shared" si="45"/>
        <v>30</v>
      </c>
      <c r="C108" s="142">
        <v>46167</v>
      </c>
      <c r="D108" s="141" t="s">
        <v>106</v>
      </c>
      <c r="G108" s="142">
        <v>46172.833333333336</v>
      </c>
      <c r="H108" s="141" t="s">
        <v>65</v>
      </c>
      <c r="I108" s="439">
        <v>0.85</v>
      </c>
      <c r="J108" s="29">
        <f t="shared" si="68"/>
        <v>0.39182389937106921</v>
      </c>
      <c r="K108" s="35">
        <f t="shared" si="53"/>
        <v>623</v>
      </c>
      <c r="L108" s="37">
        <f t="shared" si="57"/>
        <v>39181</v>
      </c>
      <c r="M108" s="30">
        <f>Z108+AE108</f>
        <v>51667</v>
      </c>
      <c r="N108" s="429">
        <f t="shared" si="70"/>
        <v>-12486</v>
      </c>
      <c r="O108" s="29" t="str">
        <f t="shared" si="71"/>
        <v>Too early</v>
      </c>
      <c r="P108" s="36" t="str">
        <f t="shared" si="46"/>
        <v>Too early</v>
      </c>
      <c r="Q108" s="37" t="str">
        <f t="shared" si="51"/>
        <v>Too early</v>
      </c>
      <c r="R108" s="443" t="str">
        <f t="shared" si="52"/>
        <v>Too early</v>
      </c>
      <c r="S108" s="460">
        <v>49</v>
      </c>
      <c r="T108" s="461">
        <f t="shared" si="47"/>
        <v>1016</v>
      </c>
      <c r="U108" s="461">
        <f t="shared" si="69"/>
        <v>863.6</v>
      </c>
      <c r="V108" s="462" t="str">
        <f>IF(B108&lt;11,MIN((S108/VLOOKUP(B108,'Sales Pacing'!$A$23:$E$36,2)),T108),"Too early")</f>
        <v>Too early</v>
      </c>
      <c r="W108" s="522" t="e">
        <f t="shared" si="48"/>
        <v>#VALUE!</v>
      </c>
      <c r="X108" s="463" t="str">
        <f t="shared" si="72"/>
        <v>Too early</v>
      </c>
      <c r="Y108" s="467">
        <v>1935</v>
      </c>
      <c r="Z108" s="465">
        <v>20000</v>
      </c>
      <c r="AA108" s="473">
        <f t="shared" si="49"/>
        <v>9.6750000000000003E-2</v>
      </c>
      <c r="AB108" s="29" t="str">
        <f t="shared" si="73"/>
        <v>Too early</v>
      </c>
      <c r="AC108" s="466">
        <v>574</v>
      </c>
      <c r="AD108" s="467">
        <v>37246</v>
      </c>
      <c r="AE108" s="465">
        <v>31667</v>
      </c>
      <c r="AF108" s="29">
        <f t="shared" si="50"/>
        <v>1.1761770928727067</v>
      </c>
      <c r="AG108" s="468">
        <v>1590</v>
      </c>
      <c r="AH108" s="30">
        <f t="shared" si="54"/>
        <v>39.489795918367349</v>
      </c>
      <c r="AI108" s="469"/>
      <c r="AJ108" s="469"/>
      <c r="AK108" s="469"/>
      <c r="AL108" s="470">
        <v>38938</v>
      </c>
      <c r="AM108" s="471">
        <f t="shared" si="74"/>
        <v>243</v>
      </c>
    </row>
    <row r="109" spans="1:50" s="145" customFormat="1" ht="15.95">
      <c r="A109" s="145">
        <v>39</v>
      </c>
      <c r="B109" s="145">
        <f t="shared" si="45"/>
        <v>30</v>
      </c>
      <c r="C109" s="146">
        <v>46167</v>
      </c>
      <c r="D109" s="145" t="s">
        <v>107</v>
      </c>
      <c r="G109" s="146">
        <v>46173.583333333336</v>
      </c>
      <c r="H109" s="145" t="s">
        <v>65</v>
      </c>
      <c r="I109" s="453">
        <v>0.85</v>
      </c>
      <c r="J109" s="32">
        <f t="shared" si="68"/>
        <v>0.40125786163522015</v>
      </c>
      <c r="K109" s="147">
        <f t="shared" si="53"/>
        <v>638</v>
      </c>
      <c r="L109" s="33">
        <f t="shared" si="57"/>
        <v>39993.5</v>
      </c>
      <c r="M109" s="34">
        <f>Z109+AE109</f>
        <v>51667</v>
      </c>
      <c r="N109" s="431">
        <f t="shared" si="70"/>
        <v>-11673.5</v>
      </c>
      <c r="O109" s="32" t="str">
        <f t="shared" si="71"/>
        <v>Too early</v>
      </c>
      <c r="P109" s="31" t="str">
        <f t="shared" si="46"/>
        <v>Too early</v>
      </c>
      <c r="Q109" s="33" t="str">
        <f t="shared" ref="Q109:Q117" si="75">IF(V109="Too early",V109,AD109+V109*AH109)</f>
        <v>Too early</v>
      </c>
      <c r="R109" s="444" t="str">
        <f t="shared" si="52"/>
        <v>Too early</v>
      </c>
      <c r="S109" s="474">
        <v>64</v>
      </c>
      <c r="T109" s="490">
        <f t="shared" si="47"/>
        <v>1016</v>
      </c>
      <c r="U109" s="490">
        <f t="shared" si="69"/>
        <v>863.6</v>
      </c>
      <c r="V109" s="491" t="str">
        <f>IF(B109&lt;11,MIN((S109/VLOOKUP(B109,'Sales Pacing'!$A$23:$E$36,2)),T109),"Too early")</f>
        <v>Too early</v>
      </c>
      <c r="W109" s="524" t="e">
        <f t="shared" si="48"/>
        <v>#VALUE!</v>
      </c>
      <c r="X109" s="492" t="str">
        <f t="shared" si="72"/>
        <v>Too early</v>
      </c>
      <c r="Y109" s="479">
        <v>2881</v>
      </c>
      <c r="Z109" s="476">
        <v>20000</v>
      </c>
      <c r="AA109" s="477">
        <f t="shared" si="49"/>
        <v>0.14405000000000001</v>
      </c>
      <c r="AB109" s="32" t="str">
        <f t="shared" si="73"/>
        <v>Too early</v>
      </c>
      <c r="AC109" s="478">
        <v>574</v>
      </c>
      <c r="AD109" s="479">
        <v>37112.5</v>
      </c>
      <c r="AE109" s="476">
        <v>31667</v>
      </c>
      <c r="AF109" s="32">
        <f t="shared" si="50"/>
        <v>1.1719613477752866</v>
      </c>
      <c r="AG109" s="480">
        <v>1590</v>
      </c>
      <c r="AH109" s="34">
        <f t="shared" si="54"/>
        <v>45.015625</v>
      </c>
      <c r="AI109" s="481"/>
      <c r="AJ109" s="481"/>
      <c r="AK109" s="481"/>
      <c r="AL109" s="493">
        <v>39947.5</v>
      </c>
      <c r="AM109" s="471">
        <f t="shared" si="74"/>
        <v>46</v>
      </c>
    </row>
    <row r="110" spans="1:50" s="141" customFormat="1" ht="15.95">
      <c r="A110" s="141">
        <v>40</v>
      </c>
      <c r="B110" s="141">
        <f t="shared" si="45"/>
        <v>31</v>
      </c>
      <c r="C110" s="142">
        <v>46174</v>
      </c>
      <c r="D110" s="141" t="s">
        <v>108</v>
      </c>
      <c r="G110" s="142">
        <v>46177.833333333336</v>
      </c>
      <c r="H110" s="141" t="s">
        <v>71</v>
      </c>
      <c r="I110" s="439">
        <v>0.85</v>
      </c>
      <c r="J110" s="29">
        <f t="shared" si="68"/>
        <v>0.2</v>
      </c>
      <c r="K110" s="35">
        <f t="shared" si="53"/>
        <v>20</v>
      </c>
      <c r="L110" s="37">
        <f t="shared" si="57"/>
        <v>2100</v>
      </c>
      <c r="M110" s="30">
        <v>9000</v>
      </c>
      <c r="N110" s="429">
        <f t="shared" si="70"/>
        <v>-6900</v>
      </c>
      <c r="O110" s="29" t="str">
        <f t="shared" si="71"/>
        <v>Too early</v>
      </c>
      <c r="P110" s="36" t="str">
        <f t="shared" si="46"/>
        <v>Too early</v>
      </c>
      <c r="Q110" s="37" t="str">
        <f t="shared" si="75"/>
        <v>Too early</v>
      </c>
      <c r="R110" s="443" t="str">
        <f t="shared" si="52"/>
        <v>Too early</v>
      </c>
      <c r="S110" s="466">
        <v>20</v>
      </c>
      <c r="T110" s="468">
        <f t="shared" si="47"/>
        <v>100</v>
      </c>
      <c r="U110" s="461">
        <f t="shared" si="69"/>
        <v>85</v>
      </c>
      <c r="V110" s="462" t="str">
        <f>IF(B110&lt;11,MIN((S110/VLOOKUP(B110,'Sales Pacing'!$A$23:$E$36,2)),T110),"Too early")</f>
        <v>Too early</v>
      </c>
      <c r="W110" s="522" t="e">
        <f t="shared" si="48"/>
        <v>#VALUE!</v>
      </c>
      <c r="X110" s="463" t="str">
        <f t="shared" si="72"/>
        <v>Too early</v>
      </c>
      <c r="Y110" s="467">
        <v>2100</v>
      </c>
      <c r="Z110" s="465">
        <v>9000</v>
      </c>
      <c r="AA110" s="473">
        <f t="shared" si="49"/>
        <v>0.23333333333333334</v>
      </c>
      <c r="AB110" s="29" t="str">
        <f t="shared" si="73"/>
        <v>Too early</v>
      </c>
      <c r="AC110" s="466"/>
      <c r="AD110" s="467"/>
      <c r="AE110" s="465"/>
      <c r="AF110" s="29" t="str">
        <f t="shared" si="50"/>
        <v/>
      </c>
      <c r="AG110" s="468">
        <v>100</v>
      </c>
      <c r="AH110" s="30">
        <f t="shared" si="54"/>
        <v>105</v>
      </c>
      <c r="AI110" s="469"/>
      <c r="AJ110" s="469"/>
      <c r="AK110" s="469"/>
      <c r="AL110" s="470">
        <v>2100</v>
      </c>
      <c r="AM110" s="471">
        <f t="shared" si="74"/>
        <v>0</v>
      </c>
    </row>
    <row r="111" spans="1:50" s="141" customFormat="1" ht="15.95">
      <c r="A111" s="141">
        <v>40</v>
      </c>
      <c r="B111" s="141">
        <f t="shared" si="45"/>
        <v>31</v>
      </c>
      <c r="C111" s="142">
        <v>46174</v>
      </c>
      <c r="D111" s="141" t="s">
        <v>109</v>
      </c>
      <c r="G111" s="142">
        <v>46178.833333333336</v>
      </c>
      <c r="H111" s="141" t="s">
        <v>65</v>
      </c>
      <c r="I111" s="439">
        <v>0.85</v>
      </c>
      <c r="J111" s="29">
        <f t="shared" si="68"/>
        <v>0.39622641509433965</v>
      </c>
      <c r="K111" s="35">
        <f t="shared" ref="K111:K117" si="76">S111+AC111</f>
        <v>630</v>
      </c>
      <c r="L111" s="37">
        <f t="shared" si="57"/>
        <v>41444</v>
      </c>
      <c r="M111" s="30">
        <f t="shared" ref="M111:M117" si="77">Z111+AE111</f>
        <v>66666</v>
      </c>
      <c r="N111" s="429">
        <f t="shared" si="70"/>
        <v>-25222</v>
      </c>
      <c r="O111" s="29" t="str">
        <f t="shared" si="71"/>
        <v>Too early</v>
      </c>
      <c r="P111" s="36" t="str">
        <f t="shared" si="46"/>
        <v>Too early</v>
      </c>
      <c r="Q111" s="37" t="str">
        <f t="shared" si="75"/>
        <v>Too early</v>
      </c>
      <c r="R111" s="443" t="str">
        <f t="shared" si="52"/>
        <v>Too early</v>
      </c>
      <c r="S111" s="460">
        <v>51</v>
      </c>
      <c r="T111" s="461">
        <f t="shared" si="47"/>
        <v>1011</v>
      </c>
      <c r="U111" s="461">
        <f t="shared" si="69"/>
        <v>859.35</v>
      </c>
      <c r="V111" s="462" t="str">
        <f>IF(B111&lt;11,MIN((S111/VLOOKUP(B111,'Sales Pacing'!$A$23:$E$36,2)),T111),"Too early")</f>
        <v>Too early</v>
      </c>
      <c r="W111" s="522" t="e">
        <f t="shared" si="48"/>
        <v>#VALUE!</v>
      </c>
      <c r="X111" s="463" t="str">
        <f t="shared" si="72"/>
        <v>Too early</v>
      </c>
      <c r="Y111" s="467">
        <v>2689</v>
      </c>
      <c r="Z111" s="465">
        <v>30000</v>
      </c>
      <c r="AA111" s="473">
        <f t="shared" si="49"/>
        <v>8.9633333333333329E-2</v>
      </c>
      <c r="AB111" s="29" t="str">
        <f t="shared" si="73"/>
        <v>Too early</v>
      </c>
      <c r="AC111" s="466">
        <v>579</v>
      </c>
      <c r="AD111" s="467">
        <v>38755</v>
      </c>
      <c r="AE111" s="465">
        <v>36666</v>
      </c>
      <c r="AF111" s="29">
        <f t="shared" si="50"/>
        <v>1.0569737631593301</v>
      </c>
      <c r="AG111" s="468">
        <v>1590</v>
      </c>
      <c r="AH111" s="30">
        <f t="shared" ref="AH111:AH117" si="78">Y111/S111</f>
        <v>52.725490196078432</v>
      </c>
      <c r="AI111" s="469"/>
      <c r="AJ111" s="469"/>
      <c r="AK111" s="469"/>
      <c r="AL111" s="470">
        <v>41049</v>
      </c>
      <c r="AM111" s="471">
        <f t="shared" si="74"/>
        <v>395</v>
      </c>
    </row>
    <row r="112" spans="1:50" s="141" customFormat="1" ht="15.95">
      <c r="A112" s="141">
        <v>40</v>
      </c>
      <c r="B112" s="141">
        <f t="shared" si="45"/>
        <v>31</v>
      </c>
      <c r="C112" s="142">
        <v>46174</v>
      </c>
      <c r="D112" s="141" t="s">
        <v>109</v>
      </c>
      <c r="G112" s="142">
        <v>46179.833333333336</v>
      </c>
      <c r="H112" s="141" t="s">
        <v>65</v>
      </c>
      <c r="I112" s="439">
        <v>0.85</v>
      </c>
      <c r="J112" s="29">
        <f t="shared" si="68"/>
        <v>0.42893081761006291</v>
      </c>
      <c r="K112" s="35">
        <f t="shared" si="76"/>
        <v>682</v>
      </c>
      <c r="L112" s="37">
        <f t="shared" si="57"/>
        <v>45415.9</v>
      </c>
      <c r="M112" s="30">
        <f t="shared" si="77"/>
        <v>66667</v>
      </c>
      <c r="N112" s="429">
        <f t="shared" si="70"/>
        <v>-21251.1</v>
      </c>
      <c r="O112" s="29" t="str">
        <f t="shared" si="71"/>
        <v>Too early</v>
      </c>
      <c r="P112" s="36" t="str">
        <f t="shared" si="46"/>
        <v>Too early</v>
      </c>
      <c r="Q112" s="37" t="str">
        <f t="shared" si="75"/>
        <v>Too early</v>
      </c>
      <c r="R112" s="443" t="str">
        <f t="shared" si="52"/>
        <v>Too early</v>
      </c>
      <c r="S112" s="460">
        <v>83</v>
      </c>
      <c r="T112" s="461">
        <f t="shared" si="47"/>
        <v>991</v>
      </c>
      <c r="U112" s="461">
        <f t="shared" si="69"/>
        <v>842.35</v>
      </c>
      <c r="V112" s="462" t="str">
        <f>IF(B112&lt;11,MIN((S112/VLOOKUP(B112,'Sales Pacing'!$A$23:$E$36,2)),T112),"Too early")</f>
        <v>Too early</v>
      </c>
      <c r="W112" s="522" t="e">
        <f t="shared" si="48"/>
        <v>#VALUE!</v>
      </c>
      <c r="X112" s="463" t="str">
        <f t="shared" si="72"/>
        <v>Too early</v>
      </c>
      <c r="Y112" s="467">
        <v>4955</v>
      </c>
      <c r="Z112" s="465">
        <v>30000</v>
      </c>
      <c r="AA112" s="473">
        <f t="shared" si="49"/>
        <v>0.16516666666666666</v>
      </c>
      <c r="AB112" s="29" t="str">
        <f t="shared" si="73"/>
        <v>Too early</v>
      </c>
      <c r="AC112" s="466">
        <v>599</v>
      </c>
      <c r="AD112" s="467">
        <v>40460.9</v>
      </c>
      <c r="AE112" s="465">
        <v>36667</v>
      </c>
      <c r="AF112" s="29">
        <f t="shared" si="50"/>
        <v>1.1034690593721876</v>
      </c>
      <c r="AG112" s="468">
        <v>1590</v>
      </c>
      <c r="AH112" s="30">
        <f t="shared" si="78"/>
        <v>59.69879518072289</v>
      </c>
      <c r="AI112" s="469"/>
      <c r="AJ112" s="469"/>
      <c r="AK112" s="469"/>
      <c r="AL112" s="470">
        <v>45694.9</v>
      </c>
      <c r="AM112" s="471">
        <f t="shared" si="74"/>
        <v>-279</v>
      </c>
    </row>
    <row r="113" spans="1:39" s="145" customFormat="1" ht="15.95">
      <c r="A113" s="145">
        <v>40</v>
      </c>
      <c r="B113" s="145">
        <f t="shared" si="45"/>
        <v>31</v>
      </c>
      <c r="C113" s="146">
        <v>46174</v>
      </c>
      <c r="D113" s="145" t="s">
        <v>109</v>
      </c>
      <c r="G113" s="146">
        <v>46180.583333333336</v>
      </c>
      <c r="H113" s="145" t="s">
        <v>65</v>
      </c>
      <c r="I113" s="439">
        <v>0.85</v>
      </c>
      <c r="J113" s="29">
        <f t="shared" si="68"/>
        <v>0.45408805031446542</v>
      </c>
      <c r="K113" s="147">
        <f t="shared" si="76"/>
        <v>722</v>
      </c>
      <c r="L113" s="33">
        <f t="shared" si="57"/>
        <v>46159.6</v>
      </c>
      <c r="M113" s="34">
        <f t="shared" si="77"/>
        <v>66667</v>
      </c>
      <c r="N113" s="431">
        <f t="shared" si="70"/>
        <v>-20507.400000000001</v>
      </c>
      <c r="O113" s="32" t="str">
        <f t="shared" si="71"/>
        <v>Too early</v>
      </c>
      <c r="P113" s="31" t="str">
        <f t="shared" si="46"/>
        <v>Too early</v>
      </c>
      <c r="Q113" s="33" t="str">
        <f t="shared" si="75"/>
        <v>Too early</v>
      </c>
      <c r="R113" s="444" t="str">
        <f t="shared" si="52"/>
        <v>Too early</v>
      </c>
      <c r="S113" s="474">
        <v>91</v>
      </c>
      <c r="T113" s="461">
        <f t="shared" si="47"/>
        <v>959</v>
      </c>
      <c r="U113" s="461">
        <f t="shared" si="69"/>
        <v>815.15</v>
      </c>
      <c r="V113" s="491" t="str">
        <f>IF(B113&lt;11,MIN((S113/VLOOKUP(B113,'Sales Pacing'!$A$23:$E$36,2)),T113),"Too early")</f>
        <v>Too early</v>
      </c>
      <c r="W113" s="522" t="e">
        <f t="shared" si="48"/>
        <v>#VALUE!</v>
      </c>
      <c r="X113" s="463" t="str">
        <f t="shared" si="72"/>
        <v>Too early</v>
      </c>
      <c r="Y113" s="479">
        <v>5466</v>
      </c>
      <c r="Z113" s="476">
        <v>30000</v>
      </c>
      <c r="AA113" s="477">
        <f t="shared" si="49"/>
        <v>0.1822</v>
      </c>
      <c r="AB113" s="32" t="str">
        <f t="shared" si="73"/>
        <v>Too early</v>
      </c>
      <c r="AC113" s="478">
        <v>631</v>
      </c>
      <c r="AD113" s="479">
        <v>40693.599999999999</v>
      </c>
      <c r="AE113" s="476">
        <v>36667</v>
      </c>
      <c r="AF113" s="32">
        <f t="shared" si="50"/>
        <v>1.1098153653148608</v>
      </c>
      <c r="AG113" s="480">
        <v>1590</v>
      </c>
      <c r="AH113" s="34">
        <f t="shared" si="78"/>
        <v>60.065934065934066</v>
      </c>
      <c r="AI113" s="481"/>
      <c r="AJ113" s="481"/>
      <c r="AK113" s="481"/>
      <c r="AL113" s="493">
        <v>46004.6</v>
      </c>
      <c r="AM113" s="471">
        <f t="shared" si="74"/>
        <v>155</v>
      </c>
    </row>
    <row r="114" spans="1:39" s="184" customFormat="1" ht="15.95">
      <c r="A114" s="184">
        <v>41</v>
      </c>
      <c r="B114" s="184">
        <f t="shared" si="45"/>
        <v>32</v>
      </c>
      <c r="C114" s="185">
        <v>46181</v>
      </c>
      <c r="D114" s="184" t="s">
        <v>74</v>
      </c>
      <c r="G114" s="194"/>
      <c r="H114" s="195"/>
      <c r="I114" s="442"/>
      <c r="J114" s="198" t="e">
        <f t="shared" si="68"/>
        <v>#DIV/0!</v>
      </c>
      <c r="K114" s="196">
        <f t="shared" si="76"/>
        <v>0</v>
      </c>
      <c r="L114" s="199">
        <f t="shared" si="57"/>
        <v>0</v>
      </c>
      <c r="M114" s="200">
        <f t="shared" si="77"/>
        <v>0</v>
      </c>
      <c r="N114" s="430"/>
      <c r="O114" s="198"/>
      <c r="P114" s="197" t="str">
        <f t="shared" si="46"/>
        <v>Too early</v>
      </c>
      <c r="Q114" s="199" t="str">
        <f t="shared" si="75"/>
        <v>Too early</v>
      </c>
      <c r="R114" s="445" t="str">
        <f t="shared" si="52"/>
        <v>Too early</v>
      </c>
      <c r="S114" s="482"/>
      <c r="T114" s="482">
        <f t="shared" si="47"/>
        <v>0</v>
      </c>
      <c r="U114" s="482">
        <f t="shared" si="69"/>
        <v>0</v>
      </c>
      <c r="V114" s="483" t="str">
        <f>IF(B114&lt;11,MIN((S114/VLOOKUP(B114,'Sales Pacing'!$A$23:$E$36,2)),T114),"Too early")</f>
        <v>Too early</v>
      </c>
      <c r="W114" s="523" t="e">
        <f t="shared" si="48"/>
        <v>#VALUE!</v>
      </c>
      <c r="X114" s="483"/>
      <c r="Y114" s="484"/>
      <c r="Z114" s="484"/>
      <c r="AA114" s="485" t="str">
        <f t="shared" si="49"/>
        <v/>
      </c>
      <c r="AB114" s="198"/>
      <c r="AC114" s="482"/>
      <c r="AD114" s="484"/>
      <c r="AE114" s="484"/>
      <c r="AF114" s="198" t="s">
        <v>58</v>
      </c>
      <c r="AG114" s="482"/>
      <c r="AH114" s="200" t="e">
        <f t="shared" si="78"/>
        <v>#DIV/0!</v>
      </c>
      <c r="AI114" s="486"/>
      <c r="AJ114" s="486"/>
      <c r="AK114" s="486"/>
      <c r="AL114" s="487">
        <v>0</v>
      </c>
    </row>
    <row r="115" spans="1:39" s="141" customFormat="1" ht="15.95">
      <c r="A115" s="141">
        <v>42</v>
      </c>
      <c r="B115" s="141">
        <f t="shared" si="45"/>
        <v>33</v>
      </c>
      <c r="C115" s="175">
        <v>46188</v>
      </c>
      <c r="D115" s="176" t="s">
        <v>110</v>
      </c>
      <c r="E115" s="176"/>
      <c r="F115" s="176"/>
      <c r="G115" s="175">
        <v>46192.833333333336</v>
      </c>
      <c r="H115" s="176" t="s">
        <v>65</v>
      </c>
      <c r="I115" s="439">
        <v>0.85</v>
      </c>
      <c r="J115" s="29">
        <f t="shared" si="68"/>
        <v>0.30880503144654087</v>
      </c>
      <c r="K115" s="35">
        <f t="shared" si="76"/>
        <v>491</v>
      </c>
      <c r="L115" s="37">
        <f t="shared" si="57"/>
        <v>32669</v>
      </c>
      <c r="M115" s="30">
        <f t="shared" si="77"/>
        <v>60000</v>
      </c>
      <c r="N115" s="429">
        <f>L115-M115</f>
        <v>-27331</v>
      </c>
      <c r="O115" s="29" t="str">
        <f>IF(P115="Too early",P115,P115/AG115)</f>
        <v>Too early</v>
      </c>
      <c r="P115" s="36" t="str">
        <f t="shared" si="46"/>
        <v>Too early</v>
      </c>
      <c r="Q115" s="37" t="str">
        <f t="shared" si="75"/>
        <v>Too early</v>
      </c>
      <c r="R115" s="443" t="str">
        <f t="shared" si="52"/>
        <v>Too early</v>
      </c>
      <c r="S115" s="460">
        <v>111</v>
      </c>
      <c r="T115" s="461">
        <f t="shared" si="47"/>
        <v>1210</v>
      </c>
      <c r="U115" s="461">
        <f t="shared" si="69"/>
        <v>1028.5</v>
      </c>
      <c r="V115" s="462" t="str">
        <f>IF(B115&lt;11,MIN((S115/VLOOKUP(B115,'Sales Pacing'!$A$23:$E$36,2)),T115),"Too early")</f>
        <v>Too early</v>
      </c>
      <c r="W115" s="522" t="e">
        <f t="shared" si="48"/>
        <v>#VALUE!</v>
      </c>
      <c r="X115" s="463" t="str">
        <f>IF(V115="Too early","Too early",V115/U115)</f>
        <v>Too early</v>
      </c>
      <c r="Y115" s="467">
        <v>6390</v>
      </c>
      <c r="Z115" s="465">
        <v>30000</v>
      </c>
      <c r="AA115" s="473">
        <f t="shared" si="49"/>
        <v>0.21299999999999999</v>
      </c>
      <c r="AB115" s="29" t="str">
        <f>IF($V115="Too early",V115,V115*AH115/Z115)</f>
        <v>Too early</v>
      </c>
      <c r="AC115" s="466">
        <v>380</v>
      </c>
      <c r="AD115" s="467">
        <v>26279</v>
      </c>
      <c r="AE115" s="465">
        <v>30000</v>
      </c>
      <c r="AF115" s="29">
        <f t="shared" si="50"/>
        <v>0.87596666666666667</v>
      </c>
      <c r="AG115" s="468">
        <v>1590</v>
      </c>
      <c r="AH115" s="30">
        <f t="shared" si="78"/>
        <v>57.567567567567565</v>
      </c>
      <c r="AI115" s="469"/>
      <c r="AJ115" s="469"/>
      <c r="AK115" s="469"/>
      <c r="AL115" s="470">
        <v>31448</v>
      </c>
      <c r="AM115" s="471">
        <f>L115-AL115</f>
        <v>1221</v>
      </c>
    </row>
    <row r="116" spans="1:39" s="141" customFormat="1" ht="15.95">
      <c r="A116" s="141">
        <v>42</v>
      </c>
      <c r="B116" s="141">
        <f t="shared" si="45"/>
        <v>33</v>
      </c>
      <c r="C116" s="142">
        <v>46188</v>
      </c>
      <c r="D116" s="141" t="s">
        <v>110</v>
      </c>
      <c r="G116" s="142">
        <v>46193.833333333336</v>
      </c>
      <c r="H116" s="141" t="s">
        <v>65</v>
      </c>
      <c r="I116" s="439">
        <v>0.85</v>
      </c>
      <c r="J116" s="29">
        <f t="shared" si="68"/>
        <v>0.50880503144654088</v>
      </c>
      <c r="K116" s="35">
        <f t="shared" si="76"/>
        <v>809</v>
      </c>
      <c r="L116" s="37">
        <f t="shared" si="57"/>
        <v>51247</v>
      </c>
      <c r="M116" s="30">
        <f t="shared" si="77"/>
        <v>70000</v>
      </c>
      <c r="N116" s="429">
        <f>L116-M116</f>
        <v>-18753</v>
      </c>
      <c r="O116" s="29" t="str">
        <f>IF(P116="Too early",P116,P116/AG116)</f>
        <v>Too early</v>
      </c>
      <c r="P116" s="36" t="str">
        <f t="shared" si="46"/>
        <v>Too early</v>
      </c>
      <c r="Q116" s="37" t="str">
        <f t="shared" si="75"/>
        <v>Too early</v>
      </c>
      <c r="R116" s="443" t="str">
        <f t="shared" si="52"/>
        <v>Too early</v>
      </c>
      <c r="S116" s="460">
        <v>220</v>
      </c>
      <c r="T116" s="461">
        <f t="shared" si="47"/>
        <v>1001</v>
      </c>
      <c r="U116" s="461">
        <f t="shared" si="69"/>
        <v>850.85</v>
      </c>
      <c r="V116" s="462" t="str">
        <f>IF(B116&lt;11,MIN((S116/VLOOKUP(B116,'Sales Pacing'!$A$23:$E$36,2)),T116),"Too early")</f>
        <v>Too early</v>
      </c>
      <c r="W116" s="522" t="e">
        <f t="shared" si="48"/>
        <v>#VALUE!</v>
      </c>
      <c r="X116" s="463" t="str">
        <f>IF(V116="Too early","Too early",V116/U116)</f>
        <v>Too early</v>
      </c>
      <c r="Y116" s="467">
        <v>13052</v>
      </c>
      <c r="Z116" s="465">
        <v>27500</v>
      </c>
      <c r="AA116" s="473">
        <f t="shared" si="49"/>
        <v>0.47461818181818183</v>
      </c>
      <c r="AB116" s="29" t="str">
        <f>IF($V116="Too early",V116,V116*AH116/Z116)</f>
        <v>Too early</v>
      </c>
      <c r="AC116" s="466">
        <v>589</v>
      </c>
      <c r="AD116" s="467">
        <v>38195</v>
      </c>
      <c r="AE116" s="465">
        <v>42500</v>
      </c>
      <c r="AF116" s="29">
        <f t="shared" si="50"/>
        <v>0.89870588235294113</v>
      </c>
      <c r="AG116" s="468">
        <v>1590</v>
      </c>
      <c r="AH116" s="30">
        <f t="shared" si="78"/>
        <v>59.327272727272728</v>
      </c>
      <c r="AI116" s="469"/>
      <c r="AJ116" s="469"/>
      <c r="AK116" s="469"/>
      <c r="AL116" s="470">
        <v>49815</v>
      </c>
      <c r="AM116" s="471">
        <f>L116-AL116</f>
        <v>1432</v>
      </c>
    </row>
    <row r="117" spans="1:39" s="145" customFormat="1" ht="15.95">
      <c r="A117" s="145">
        <v>42</v>
      </c>
      <c r="B117" s="145">
        <f t="shared" si="45"/>
        <v>33</v>
      </c>
      <c r="C117" s="146">
        <v>46188</v>
      </c>
      <c r="D117" s="145" t="s">
        <v>110</v>
      </c>
      <c r="G117" s="146">
        <v>46194.583333333336</v>
      </c>
      <c r="H117" s="145" t="s">
        <v>65</v>
      </c>
      <c r="I117" s="453">
        <v>0.85</v>
      </c>
      <c r="J117" s="32">
        <f t="shared" si="68"/>
        <v>0.47547169811320755</v>
      </c>
      <c r="K117" s="147">
        <f t="shared" si="76"/>
        <v>756</v>
      </c>
      <c r="L117" s="33">
        <f t="shared" si="57"/>
        <v>47850</v>
      </c>
      <c r="M117" s="34">
        <f t="shared" si="77"/>
        <v>70000</v>
      </c>
      <c r="N117" s="431">
        <f>L117-M117</f>
        <v>-22150</v>
      </c>
      <c r="O117" s="32" t="str">
        <f>IF(P117="Too early",P117,P117/AG117)</f>
        <v>Too early</v>
      </c>
      <c r="P117" s="31" t="str">
        <f t="shared" si="46"/>
        <v>Too early</v>
      </c>
      <c r="Q117" s="33" t="str">
        <f t="shared" si="75"/>
        <v>Too early</v>
      </c>
      <c r="R117" s="444" t="str">
        <f t="shared" si="52"/>
        <v>Too early</v>
      </c>
      <c r="S117" s="474">
        <v>187</v>
      </c>
      <c r="T117" s="490">
        <f t="shared" si="47"/>
        <v>1021</v>
      </c>
      <c r="U117" s="490">
        <f t="shared" si="69"/>
        <v>867.85</v>
      </c>
      <c r="V117" s="491" t="str">
        <f>IF(B117&lt;11,MIN((S117/VLOOKUP(B117,'Sales Pacing'!$A$23:$E$36,2)),T117),"Too early")</f>
        <v>Too early</v>
      </c>
      <c r="W117" s="524" t="e">
        <f t="shared" si="48"/>
        <v>#VALUE!</v>
      </c>
      <c r="X117" s="492" t="str">
        <f>IF(V117="Too early","Too early",V117/U117)</f>
        <v>Too early</v>
      </c>
      <c r="Y117" s="479">
        <v>11098</v>
      </c>
      <c r="Z117" s="476">
        <v>27500</v>
      </c>
      <c r="AA117" s="477">
        <f t="shared" si="49"/>
        <v>0.40356363636363635</v>
      </c>
      <c r="AB117" s="32" t="str">
        <f>IF($V117="Too early",V117,V117*AH117/Z117)</f>
        <v>Too early</v>
      </c>
      <c r="AC117" s="478">
        <v>569</v>
      </c>
      <c r="AD117" s="479">
        <v>36752</v>
      </c>
      <c r="AE117" s="476">
        <v>42500</v>
      </c>
      <c r="AF117" s="32">
        <f t="shared" si="50"/>
        <v>0.86475294117647061</v>
      </c>
      <c r="AG117" s="480">
        <v>1590</v>
      </c>
      <c r="AH117" s="34">
        <f t="shared" si="78"/>
        <v>59.347593582887697</v>
      </c>
      <c r="AI117" s="481"/>
      <c r="AJ117" s="481"/>
      <c r="AK117" s="481"/>
      <c r="AL117" s="493">
        <v>47300</v>
      </c>
      <c r="AM117" s="520">
        <f>L117-AL117</f>
        <v>550</v>
      </c>
    </row>
    <row r="118" spans="1:39">
      <c r="A118" s="557"/>
      <c r="B118" s="557"/>
      <c r="C118" s="557"/>
      <c r="D118" s="557"/>
      <c r="E118" s="1"/>
      <c r="F118" s="1"/>
      <c r="G118" s="1"/>
      <c r="H118" s="1"/>
      <c r="I118" s="4"/>
      <c r="J118" s="1"/>
      <c r="K118" s="1"/>
      <c r="L118" s="18"/>
      <c r="M118" s="18"/>
      <c r="N118" s="18"/>
      <c r="O118" s="18"/>
      <c r="P118" s="18"/>
      <c r="Q118" s="19"/>
      <c r="R118" s="19"/>
      <c r="S118" s="20"/>
      <c r="T118" s="20"/>
      <c r="U118" s="20"/>
      <c r="V118" s="20"/>
      <c r="W118" s="20"/>
      <c r="X118" s="18"/>
      <c r="Y118" s="18"/>
      <c r="Z118" s="18"/>
      <c r="AA118" s="1"/>
      <c r="AB118" s="4"/>
      <c r="AC118" s="18"/>
      <c r="AD118" s="21"/>
      <c r="AE118" s="18"/>
      <c r="AF118" s="17"/>
      <c r="AG118" s="19"/>
      <c r="AH118" s="19"/>
      <c r="AI118" s="22"/>
      <c r="AJ118" s="18"/>
      <c r="AK118" s="23"/>
      <c r="AM118" s="295">
        <f>SUM(AM6:AM117)</f>
        <v>593472.29999999993</v>
      </c>
    </row>
    <row r="119" spans="1:39">
      <c r="A119" s="1"/>
      <c r="B119" s="1"/>
      <c r="C119" s="1"/>
      <c r="D119" s="264" t="s">
        <v>111</v>
      </c>
      <c r="E119" s="265"/>
      <c r="F119" s="265"/>
      <c r="G119" s="265"/>
      <c r="H119" s="265"/>
      <c r="I119" s="266">
        <f t="shared" ref="I119:I125" si="79">SUMIF($H$118:$H$167,D119,$I$118:$I$167)</f>
        <v>0</v>
      </c>
      <c r="J119" s="267">
        <f>I119</f>
        <v>0</v>
      </c>
      <c r="K119" s="29"/>
      <c r="L119" s="439"/>
      <c r="M119" s="42">
        <f t="shared" ref="M119:M125" si="80">SUMIF($H$118:$H$167,D119,$M$118:$M$167)</f>
        <v>0</v>
      </c>
      <c r="N119" s="42"/>
      <c r="O119" s="42">
        <v>2139000</v>
      </c>
      <c r="P119" s="190"/>
      <c r="Q119" s="29" t="str">
        <f>IF(M119&gt;0,M119/O119,"")</f>
        <v/>
      </c>
      <c r="R119" s="29"/>
      <c r="S119" s="41"/>
      <c r="T119" s="41"/>
      <c r="U119" s="41" t="e">
        <f>#REF!</f>
        <v>#REF!</v>
      </c>
      <c r="V119" s="41"/>
      <c r="W119" s="41"/>
      <c r="X119" s="42">
        <f t="shared" ref="X119:X125" si="81">SUMIF($H$118:$H$167,$D119,X$118:X$167)</f>
        <v>0</v>
      </c>
      <c r="Y119" s="42">
        <v>704000</v>
      </c>
      <c r="Z119" s="190"/>
      <c r="AA119" s="29" t="str">
        <f>IF(X119&gt;0,X119/Y119,"")</f>
        <v/>
      </c>
      <c r="AB119" s="40">
        <f t="shared" ref="AB119:AC125" si="82">SUMIF($H$118:$H$167,$D119,AB$118:AB$167)</f>
        <v>0</v>
      </c>
      <c r="AC119" s="42">
        <f t="shared" si="82"/>
        <v>0</v>
      </c>
      <c r="AD119" s="43">
        <v>1435000</v>
      </c>
      <c r="AE119" s="29" t="str">
        <f>IF(AC119&gt;0,AC119/AD119,"")</f>
        <v/>
      </c>
      <c r="AF119" s="40">
        <f t="shared" ref="AF119:AF125" si="83">SUMIF($H$118:$H$167,D119,$AF$118:$AF$167)</f>
        <v>0</v>
      </c>
      <c r="AG119" s="44" t="e">
        <f t="shared" ref="AG119:AG126" si="84">I119/AF119</f>
        <v>#DIV/0!</v>
      </c>
      <c r="AH119" s="45" t="e">
        <f t="shared" ref="AH119:AH126" si="85">M119/I119</f>
        <v>#DIV/0!</v>
      </c>
      <c r="AI119" s="46"/>
      <c r="AJ119" s="47"/>
      <c r="AK119" s="48"/>
    </row>
    <row r="120" spans="1:39">
      <c r="A120" s="1"/>
      <c r="B120" s="1"/>
      <c r="C120" s="1"/>
      <c r="D120" s="276" t="s">
        <v>112</v>
      </c>
      <c r="E120" s="277"/>
      <c r="F120" s="277"/>
      <c r="G120" s="277"/>
      <c r="H120" s="277"/>
      <c r="I120" s="278">
        <f t="shared" si="79"/>
        <v>0</v>
      </c>
      <c r="J120" s="279">
        <f t="shared" ref="J120:J125" si="86">I120</f>
        <v>0</v>
      </c>
      <c r="K120" s="29"/>
      <c r="L120" s="439"/>
      <c r="M120" s="42">
        <f t="shared" si="80"/>
        <v>0</v>
      </c>
      <c r="N120" s="42"/>
      <c r="O120" s="42">
        <v>363000</v>
      </c>
      <c r="P120" s="190"/>
      <c r="Q120" s="29" t="str">
        <f t="shared" ref="Q120:Q126" si="87">IF(M120&gt;0,M120/O120,"")</f>
        <v/>
      </c>
      <c r="R120" s="29"/>
      <c r="S120" s="41"/>
      <c r="T120" s="41"/>
      <c r="U120" s="41" t="e">
        <f>#REF!</f>
        <v>#REF!</v>
      </c>
      <c r="V120" s="41"/>
      <c r="W120" s="41"/>
      <c r="X120" s="42">
        <f t="shared" si="81"/>
        <v>0</v>
      </c>
      <c r="Y120" s="42">
        <v>163000</v>
      </c>
      <c r="Z120" s="190"/>
      <c r="AA120" s="29" t="str">
        <f t="shared" ref="AA120:AA126" si="88">IF(X120&gt;0,X120/Y120,"")</f>
        <v/>
      </c>
      <c r="AB120" s="40">
        <f t="shared" si="82"/>
        <v>0</v>
      </c>
      <c r="AC120" s="42">
        <f t="shared" si="82"/>
        <v>0</v>
      </c>
      <c r="AD120" s="43">
        <v>200000</v>
      </c>
      <c r="AE120" s="29" t="str">
        <f t="shared" ref="AE120:AE125" si="89">IF(AC120&gt;0,AC120/AD120,"")</f>
        <v/>
      </c>
      <c r="AF120" s="40">
        <f t="shared" si="83"/>
        <v>0</v>
      </c>
      <c r="AG120" s="44" t="e">
        <f t="shared" si="84"/>
        <v>#DIV/0!</v>
      </c>
      <c r="AH120" s="49" t="e">
        <f t="shared" si="85"/>
        <v>#DIV/0!</v>
      </c>
      <c r="AI120" s="46"/>
      <c r="AJ120" s="47"/>
      <c r="AK120" s="48"/>
    </row>
    <row r="121" spans="1:39">
      <c r="A121" s="1"/>
      <c r="B121" s="1"/>
      <c r="C121" s="1"/>
      <c r="D121" s="276" t="s">
        <v>113</v>
      </c>
      <c r="E121" s="277"/>
      <c r="F121" s="277"/>
      <c r="G121" s="277"/>
      <c r="H121" s="277"/>
      <c r="I121" s="278">
        <f t="shared" si="79"/>
        <v>0</v>
      </c>
      <c r="J121" s="279">
        <f t="shared" si="86"/>
        <v>0</v>
      </c>
      <c r="K121" s="29"/>
      <c r="L121" s="439"/>
      <c r="M121" s="42">
        <f t="shared" si="80"/>
        <v>0</v>
      </c>
      <c r="N121" s="42"/>
      <c r="O121" s="50">
        <v>1457000</v>
      </c>
      <c r="P121" s="191"/>
      <c r="Q121" s="29" t="str">
        <f t="shared" si="87"/>
        <v/>
      </c>
      <c r="R121" s="29"/>
      <c r="S121" s="41"/>
      <c r="T121" s="41"/>
      <c r="U121" s="41" t="e">
        <f>#REF!</f>
        <v>#REF!</v>
      </c>
      <c r="V121" s="41"/>
      <c r="W121" s="41"/>
      <c r="X121" s="42">
        <f t="shared" si="81"/>
        <v>0</v>
      </c>
      <c r="Y121" s="50">
        <v>838000</v>
      </c>
      <c r="Z121" s="191"/>
      <c r="AA121" s="29" t="str">
        <f t="shared" si="88"/>
        <v/>
      </c>
      <c r="AB121" s="40">
        <f t="shared" si="82"/>
        <v>0</v>
      </c>
      <c r="AC121" s="42">
        <f t="shared" si="82"/>
        <v>0</v>
      </c>
      <c r="AD121" s="43">
        <v>619000</v>
      </c>
      <c r="AE121" s="29" t="str">
        <f t="shared" si="89"/>
        <v/>
      </c>
      <c r="AF121" s="40">
        <f t="shared" si="83"/>
        <v>0</v>
      </c>
      <c r="AG121" s="51" t="e">
        <f t="shared" si="84"/>
        <v>#DIV/0!</v>
      </c>
      <c r="AH121" s="45" t="e">
        <f t="shared" si="85"/>
        <v>#DIV/0!</v>
      </c>
      <c r="AI121" s="46"/>
      <c r="AJ121" s="47"/>
      <c r="AK121" s="48"/>
    </row>
    <row r="122" spans="1:39">
      <c r="A122" s="1"/>
      <c r="B122" s="1"/>
      <c r="C122" s="1"/>
      <c r="D122" s="272" t="s">
        <v>114</v>
      </c>
      <c r="E122" s="273"/>
      <c r="F122" s="273"/>
      <c r="G122" s="273"/>
      <c r="H122" s="273"/>
      <c r="I122" s="274">
        <f t="shared" si="79"/>
        <v>0</v>
      </c>
      <c r="J122" s="275">
        <f t="shared" si="86"/>
        <v>0</v>
      </c>
      <c r="K122" s="29"/>
      <c r="L122" s="439"/>
      <c r="M122" s="42">
        <f t="shared" si="80"/>
        <v>0</v>
      </c>
      <c r="N122" s="42"/>
      <c r="O122" s="50">
        <v>525950</v>
      </c>
      <c r="P122" s="191"/>
      <c r="Q122" s="29" t="str">
        <f t="shared" si="87"/>
        <v/>
      </c>
      <c r="R122" s="29"/>
      <c r="S122" s="41"/>
      <c r="T122" s="41"/>
      <c r="U122" s="41" t="e">
        <f>#REF!</f>
        <v>#REF!</v>
      </c>
      <c r="V122" s="41"/>
      <c r="W122" s="41"/>
      <c r="X122" s="42">
        <f t="shared" si="81"/>
        <v>0</v>
      </c>
      <c r="Y122" s="50">
        <v>485000</v>
      </c>
      <c r="Z122" s="191"/>
      <c r="AA122" s="29" t="str">
        <f t="shared" si="88"/>
        <v/>
      </c>
      <c r="AB122" s="40">
        <f t="shared" si="82"/>
        <v>0</v>
      </c>
      <c r="AC122" s="42">
        <f t="shared" si="82"/>
        <v>0</v>
      </c>
      <c r="AD122" s="43">
        <v>40950</v>
      </c>
      <c r="AE122" s="29" t="str">
        <f t="shared" si="89"/>
        <v/>
      </c>
      <c r="AF122" s="40">
        <f t="shared" si="83"/>
        <v>0</v>
      </c>
      <c r="AG122" s="51" t="e">
        <f t="shared" si="84"/>
        <v>#DIV/0!</v>
      </c>
      <c r="AH122" s="45" t="e">
        <f t="shared" si="85"/>
        <v>#DIV/0!</v>
      </c>
      <c r="AI122" s="46"/>
      <c r="AJ122" s="47"/>
      <c r="AK122" s="48"/>
    </row>
    <row r="123" spans="1:39">
      <c r="A123" s="1"/>
      <c r="B123" s="1"/>
      <c r="C123" s="1"/>
      <c r="D123" s="268" t="s">
        <v>115</v>
      </c>
      <c r="E123" s="269"/>
      <c r="F123" s="269"/>
      <c r="G123" s="269"/>
      <c r="H123" s="269"/>
      <c r="I123" s="270">
        <f t="shared" si="79"/>
        <v>0</v>
      </c>
      <c r="J123" s="271">
        <f t="shared" si="86"/>
        <v>0</v>
      </c>
      <c r="K123" s="29"/>
      <c r="L123" s="439"/>
      <c r="M123" s="42">
        <f t="shared" si="80"/>
        <v>0</v>
      </c>
      <c r="N123" s="59"/>
      <c r="O123" s="54">
        <v>1745490</v>
      </c>
      <c r="P123" s="191"/>
      <c r="Q123" s="29" t="str">
        <f t="shared" si="87"/>
        <v/>
      </c>
      <c r="R123" s="29"/>
      <c r="S123" s="41"/>
      <c r="T123" s="41"/>
      <c r="U123" s="41" t="e">
        <f>#REF!</f>
        <v>#REF!</v>
      </c>
      <c r="V123" s="41"/>
      <c r="W123" s="41"/>
      <c r="X123" s="42">
        <f t="shared" si="81"/>
        <v>0</v>
      </c>
      <c r="Y123" s="54">
        <v>1745490</v>
      </c>
      <c r="Z123" s="191"/>
      <c r="AA123" s="29" t="str">
        <f t="shared" si="88"/>
        <v/>
      </c>
      <c r="AB123" s="40">
        <f t="shared" si="82"/>
        <v>0</v>
      </c>
      <c r="AC123" s="42">
        <f t="shared" si="82"/>
        <v>0</v>
      </c>
      <c r="AD123" s="55">
        <v>0</v>
      </c>
      <c r="AE123" s="29" t="str">
        <f t="shared" si="89"/>
        <v/>
      </c>
      <c r="AF123" s="40">
        <f t="shared" si="83"/>
        <v>0</v>
      </c>
      <c r="AG123" s="51" t="e">
        <f t="shared" si="84"/>
        <v>#DIV/0!</v>
      </c>
      <c r="AH123" s="49" t="e">
        <f t="shared" si="85"/>
        <v>#DIV/0!</v>
      </c>
      <c r="AI123" s="56"/>
      <c r="AJ123" s="57"/>
      <c r="AK123" s="58"/>
    </row>
    <row r="124" spans="1:39">
      <c r="A124" s="1"/>
      <c r="B124" s="1"/>
      <c r="C124" s="1"/>
      <c r="D124" s="268" t="s">
        <v>116</v>
      </c>
      <c r="E124" s="269"/>
      <c r="F124" s="269"/>
      <c r="G124" s="269"/>
      <c r="H124" s="269"/>
      <c r="I124" s="270">
        <f t="shared" si="79"/>
        <v>0</v>
      </c>
      <c r="J124" s="271">
        <f t="shared" si="86"/>
        <v>0</v>
      </c>
      <c r="K124" s="29"/>
      <c r="L124" s="439"/>
      <c r="M124" s="42">
        <f t="shared" si="80"/>
        <v>0</v>
      </c>
      <c r="N124" s="59"/>
      <c r="O124" s="59">
        <v>38200</v>
      </c>
      <c r="P124" s="190"/>
      <c r="Q124" s="29" t="str">
        <f t="shared" si="87"/>
        <v/>
      </c>
      <c r="R124" s="29"/>
      <c r="S124" s="41"/>
      <c r="T124" s="41"/>
      <c r="U124" s="41" t="e">
        <f>#REF!</f>
        <v>#REF!</v>
      </c>
      <c r="V124" s="41"/>
      <c r="W124" s="41"/>
      <c r="X124" s="42">
        <f t="shared" si="81"/>
        <v>0</v>
      </c>
      <c r="Y124" s="54">
        <v>38200</v>
      </c>
      <c r="Z124" s="191"/>
      <c r="AA124" s="29" t="str">
        <f t="shared" si="88"/>
        <v/>
      </c>
      <c r="AB124" s="40">
        <f t="shared" si="82"/>
        <v>0</v>
      </c>
      <c r="AC124" s="42">
        <f t="shared" si="82"/>
        <v>0</v>
      </c>
      <c r="AD124" s="55">
        <v>0</v>
      </c>
      <c r="AE124" s="29" t="str">
        <f t="shared" si="89"/>
        <v/>
      </c>
      <c r="AF124" s="40">
        <f t="shared" si="83"/>
        <v>0</v>
      </c>
      <c r="AG124" s="51" t="e">
        <f t="shared" si="84"/>
        <v>#DIV/0!</v>
      </c>
      <c r="AH124" s="54" t="e">
        <f t="shared" si="85"/>
        <v>#DIV/0!</v>
      </c>
      <c r="AI124" s="56"/>
      <c r="AJ124" s="57"/>
      <c r="AK124" s="58"/>
    </row>
    <row r="125" spans="1:39">
      <c r="A125" s="1"/>
      <c r="B125" s="1"/>
      <c r="C125" s="1"/>
      <c r="D125" s="268" t="s">
        <v>117</v>
      </c>
      <c r="E125" s="284"/>
      <c r="F125" s="284"/>
      <c r="G125" s="284"/>
      <c r="H125" s="284"/>
      <c r="I125" s="270">
        <f t="shared" si="79"/>
        <v>0</v>
      </c>
      <c r="J125" s="271">
        <f t="shared" si="86"/>
        <v>0</v>
      </c>
      <c r="K125" s="29"/>
      <c r="L125" s="439"/>
      <c r="M125" s="42">
        <f t="shared" si="80"/>
        <v>0</v>
      </c>
      <c r="N125" s="42"/>
      <c r="O125" s="50"/>
      <c r="P125" s="191"/>
      <c r="Q125" s="29" t="str">
        <f t="shared" si="87"/>
        <v/>
      </c>
      <c r="R125" s="29"/>
      <c r="S125" s="41"/>
      <c r="T125" s="41"/>
      <c r="U125" s="41" t="e">
        <f>#REF!</f>
        <v>#REF!</v>
      </c>
      <c r="V125" s="41"/>
      <c r="W125" s="41"/>
      <c r="X125" s="42">
        <f t="shared" si="81"/>
        <v>0</v>
      </c>
      <c r="Y125" s="50"/>
      <c r="Z125" s="191"/>
      <c r="AA125" s="29" t="str">
        <f t="shared" si="88"/>
        <v/>
      </c>
      <c r="AB125" s="40">
        <f t="shared" si="82"/>
        <v>0</v>
      </c>
      <c r="AC125" s="42">
        <f t="shared" si="82"/>
        <v>0</v>
      </c>
      <c r="AD125" s="43">
        <v>0</v>
      </c>
      <c r="AE125" s="29" t="str">
        <f t="shared" si="89"/>
        <v/>
      </c>
      <c r="AF125" s="40">
        <f t="shared" si="83"/>
        <v>0</v>
      </c>
      <c r="AG125" s="44" t="e">
        <f t="shared" si="84"/>
        <v>#DIV/0!</v>
      </c>
      <c r="AH125" s="45" t="e">
        <f t="shared" si="85"/>
        <v>#DIV/0!</v>
      </c>
      <c r="AI125" s="46"/>
      <c r="AJ125" s="47"/>
      <c r="AK125" s="61"/>
    </row>
    <row r="126" spans="1:39">
      <c r="A126" s="62"/>
      <c r="B126" s="62"/>
      <c r="C126" s="62"/>
      <c r="D126" s="280" t="s">
        <v>118</v>
      </c>
      <c r="E126" s="281"/>
      <c r="F126" s="281"/>
      <c r="G126" s="281"/>
      <c r="H126" s="281"/>
      <c r="I126" s="282">
        <f>SUM(I119:I125)</f>
        <v>0</v>
      </c>
      <c r="J126" s="283">
        <f>SUM(J119:J125)</f>
        <v>0</v>
      </c>
      <c r="K126" s="29"/>
      <c r="L126" s="439"/>
      <c r="M126" s="65">
        <f>SUM(M119:M125)</f>
        <v>0</v>
      </c>
      <c r="N126" s="65"/>
      <c r="O126" s="65">
        <f>SUM(O119:O125)</f>
        <v>6268640</v>
      </c>
      <c r="P126" s="192"/>
      <c r="Q126" s="29" t="str">
        <f t="shared" si="87"/>
        <v/>
      </c>
      <c r="R126" s="29"/>
      <c r="S126" s="65"/>
      <c r="T126" s="65"/>
      <c r="U126" s="65" t="e">
        <f>SUM(U119:U125)</f>
        <v>#REF!</v>
      </c>
      <c r="V126" s="65"/>
      <c r="W126" s="65"/>
      <c r="X126" s="66">
        <f>SUM(X119:X125)</f>
        <v>0</v>
      </c>
      <c r="Y126" s="67">
        <f>SUM(Y119:Y125)</f>
        <v>3973690</v>
      </c>
      <c r="Z126" s="201"/>
      <c r="AA126" s="29" t="str">
        <f t="shared" si="88"/>
        <v/>
      </c>
      <c r="AB126" s="65">
        <f>SUM(AB119,AB120,AB121,AB122,AB123,AB124,AB125)</f>
        <v>0</v>
      </c>
      <c r="AC126" s="68">
        <f>SUM(AC119,AC120,AC121,AC122,AC123,AC124,AC125)</f>
        <v>0</v>
      </c>
      <c r="AD126" s="67">
        <v>2169893</v>
      </c>
      <c r="AE126" s="29" t="str">
        <f>IF(AC126&gt;0,AC126/AD126,"")</f>
        <v/>
      </c>
      <c r="AF126" s="69">
        <f>SUM(AF119:AF125)</f>
        <v>0</v>
      </c>
      <c r="AG126" s="70" t="e">
        <f t="shared" si="84"/>
        <v>#DIV/0!</v>
      </c>
      <c r="AH126" s="71" t="e">
        <f t="shared" si="85"/>
        <v>#DIV/0!</v>
      </c>
      <c r="AI126" s="72"/>
      <c r="AJ126" s="73"/>
      <c r="AK126" s="74"/>
    </row>
    <row r="127" spans="1:39">
      <c r="A127" s="1"/>
      <c r="B127" s="1"/>
      <c r="C127" s="1"/>
      <c r="D127" s="1"/>
      <c r="E127" s="1"/>
      <c r="F127" s="1"/>
      <c r="G127" s="1"/>
      <c r="H127" s="1"/>
      <c r="I127" s="75"/>
      <c r="J127" s="76"/>
      <c r="K127" s="75"/>
      <c r="L127" s="440"/>
      <c r="M127" s="77"/>
      <c r="N127" s="77"/>
      <c r="O127" s="77"/>
      <c r="P127" s="77"/>
      <c r="Q127" s="1"/>
      <c r="R127" s="1"/>
      <c r="S127" s="1"/>
      <c r="T127" s="1"/>
      <c r="U127" s="1"/>
      <c r="V127" s="1"/>
      <c r="W127" s="1"/>
      <c r="X127" s="78"/>
      <c r="Y127" s="1"/>
      <c r="Z127" s="1"/>
      <c r="AA127" s="29"/>
      <c r="AB127" s="4"/>
      <c r="AC127" s="79"/>
      <c r="AD127" s="79"/>
      <c r="AE127" s="29" t="str">
        <f>IF(AC126&gt;0,AC126/AD127,"")</f>
        <v/>
      </c>
      <c r="AF127" s="4"/>
      <c r="AG127" s="1"/>
      <c r="AH127" s="1"/>
      <c r="AI127" s="1"/>
      <c r="AJ127" s="1"/>
      <c r="AK127" s="1"/>
    </row>
    <row r="128" spans="1:39">
      <c r="A128" s="1"/>
      <c r="B128" s="1"/>
      <c r="C128" s="1"/>
      <c r="D128" s="1"/>
      <c r="E128" s="1"/>
      <c r="F128" s="1"/>
      <c r="G128" s="1"/>
      <c r="H128" s="1"/>
      <c r="I128" s="75"/>
      <c r="J128" s="80"/>
      <c r="K128" s="79"/>
      <c r="L128" s="440"/>
      <c r="M128" s="79"/>
      <c r="N128" s="79"/>
      <c r="O128" s="79"/>
      <c r="P128" s="79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9"/>
      <c r="AB128" s="4"/>
      <c r="AC128" s="79"/>
      <c r="AD128" s="79"/>
      <c r="AE128" s="79"/>
      <c r="AF128" s="4"/>
      <c r="AG128" s="1"/>
      <c r="AH128" s="1"/>
      <c r="AI128" s="1"/>
      <c r="AJ128" s="1"/>
      <c r="AK128" s="1"/>
    </row>
    <row r="129" spans="1:37">
      <c r="A129" s="557"/>
      <c r="B129" s="557"/>
      <c r="C129" s="557"/>
      <c r="D129" s="557"/>
      <c r="E129" s="1"/>
      <c r="F129" s="1"/>
      <c r="G129" s="1"/>
      <c r="H129" s="1"/>
      <c r="I129" s="4"/>
      <c r="J129" s="1"/>
      <c r="K129" s="1"/>
      <c r="L129" s="1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4"/>
      <c r="AC129" s="1"/>
      <c r="AD129" s="1"/>
      <c r="AE129" s="1"/>
      <c r="AF129" s="4"/>
      <c r="AG129" s="557"/>
      <c r="AH129" s="557"/>
      <c r="AI129" s="557"/>
      <c r="AJ129" s="557"/>
      <c r="AK129" s="1"/>
    </row>
    <row r="130" spans="1:37">
      <c r="A130" s="557"/>
      <c r="B130" s="557"/>
      <c r="C130" s="557"/>
      <c r="D130" s="557"/>
      <c r="E130" s="1"/>
      <c r="F130" s="1"/>
      <c r="G130" s="1"/>
      <c r="H130" s="1"/>
      <c r="I130" s="4"/>
      <c r="J130" s="24" t="s">
        <v>119</v>
      </c>
      <c r="K130" s="1"/>
      <c r="L130" s="1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4"/>
      <c r="AC130" s="1"/>
      <c r="AD130" s="1"/>
      <c r="AE130" s="1"/>
      <c r="AF130" s="4"/>
      <c r="AG130" s="557"/>
      <c r="AH130" s="557"/>
      <c r="AI130" s="557"/>
      <c r="AJ130" s="557"/>
      <c r="AK130" s="1"/>
    </row>
    <row r="131" spans="1:37">
      <c r="A131" s="557"/>
      <c r="B131" s="557"/>
      <c r="C131" s="557"/>
      <c r="D131" s="557"/>
      <c r="E131" s="1"/>
      <c r="F131" s="1"/>
      <c r="G131" s="1"/>
      <c r="H131" s="1"/>
      <c r="I131" s="4"/>
      <c r="J131" s="1" t="s">
        <v>120</v>
      </c>
      <c r="K131" s="1"/>
      <c r="L131" s="1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4"/>
      <c r="AC131" s="1"/>
      <c r="AD131" s="1"/>
      <c r="AE131" s="1"/>
      <c r="AF131" s="4"/>
      <c r="AG131" s="557"/>
      <c r="AH131" s="557"/>
      <c r="AI131" s="557"/>
      <c r="AJ131" s="557"/>
      <c r="AK131" s="1"/>
    </row>
    <row r="132" spans="1:37">
      <c r="A132" s="557"/>
      <c r="B132" s="557"/>
      <c r="C132" s="557"/>
      <c r="D132" s="557"/>
      <c r="E132" s="1"/>
      <c r="F132" s="1"/>
      <c r="G132" s="1"/>
      <c r="H132" s="1"/>
      <c r="I132" s="4"/>
      <c r="J132" s="25" t="s">
        <v>121</v>
      </c>
      <c r="K132" s="1"/>
      <c r="L132" s="1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4"/>
      <c r="AC132" s="1"/>
      <c r="AD132" s="1"/>
      <c r="AE132" s="1"/>
      <c r="AF132" s="4"/>
      <c r="AG132" s="557"/>
      <c r="AH132" s="557"/>
      <c r="AI132" s="557"/>
      <c r="AJ132" s="557"/>
      <c r="AK132" s="1"/>
    </row>
    <row r="133" spans="1:37">
      <c r="A133" s="557"/>
      <c r="B133" s="557"/>
      <c r="C133" s="557"/>
      <c r="D133" s="557"/>
      <c r="E133" s="1"/>
      <c r="F133" s="1"/>
      <c r="G133" s="1"/>
      <c r="H133" s="1"/>
      <c r="I133" s="4"/>
      <c r="J133" s="1" t="s">
        <v>122</v>
      </c>
      <c r="K133" s="1"/>
      <c r="L133" s="1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4"/>
      <c r="AC133" s="1"/>
      <c r="AD133" s="1"/>
      <c r="AE133" s="1"/>
      <c r="AF133" s="4"/>
      <c r="AG133" s="557"/>
      <c r="AH133" s="557"/>
      <c r="AI133" s="557"/>
      <c r="AJ133" s="557"/>
      <c r="AK133" s="1"/>
    </row>
    <row r="134" spans="1:37">
      <c r="A134" s="557"/>
      <c r="B134" s="557"/>
      <c r="C134" s="557"/>
      <c r="D134" s="557"/>
      <c r="E134" s="1"/>
      <c r="F134" s="1"/>
      <c r="G134" s="1"/>
      <c r="H134" s="1"/>
      <c r="I134" s="4"/>
      <c r="J134" s="1" t="s">
        <v>123</v>
      </c>
      <c r="K134" s="1"/>
      <c r="L134" s="1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4"/>
      <c r="AC134" s="1"/>
      <c r="AD134" s="1"/>
      <c r="AE134" s="1"/>
      <c r="AF134" s="4"/>
      <c r="AG134" s="557"/>
      <c r="AH134" s="557"/>
      <c r="AI134" s="557"/>
      <c r="AJ134" s="557"/>
      <c r="AK134" s="1"/>
    </row>
    <row r="135" spans="1:37">
      <c r="A135" s="557"/>
      <c r="B135" s="557"/>
      <c r="C135" s="557"/>
      <c r="D135" s="557"/>
      <c r="E135" s="1"/>
      <c r="F135" s="1"/>
      <c r="G135" s="1"/>
      <c r="H135" s="1"/>
      <c r="I135" s="4"/>
      <c r="J135" s="1"/>
      <c r="K135" s="1"/>
      <c r="L135" s="1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4"/>
      <c r="AC135" s="1"/>
      <c r="AD135" s="1"/>
      <c r="AE135" s="1"/>
      <c r="AF135" s="4"/>
      <c r="AG135" s="557"/>
      <c r="AH135" s="557"/>
      <c r="AI135" s="557"/>
      <c r="AJ135" s="557"/>
      <c r="AK135" s="1"/>
    </row>
    <row r="136" spans="1:37">
      <c r="A136" s="557"/>
      <c r="B136" s="557"/>
      <c r="C136" s="557"/>
      <c r="D136" s="557"/>
      <c r="E136" s="1"/>
      <c r="F136" s="1"/>
      <c r="G136" s="1"/>
      <c r="H136" s="1"/>
      <c r="I136" s="4"/>
      <c r="J136" s="1"/>
      <c r="K136" s="1"/>
      <c r="L136" s="1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4"/>
      <c r="AC136" s="1"/>
      <c r="AD136" s="1"/>
      <c r="AE136" s="1"/>
      <c r="AF136" s="4"/>
      <c r="AG136" s="557"/>
      <c r="AH136" s="557"/>
      <c r="AI136" s="557"/>
      <c r="AJ136" s="557"/>
      <c r="AK136" s="1"/>
    </row>
  </sheetData>
  <autoFilter ref="A5:AX127" xr:uid="{65861D9D-DF6D-458E-8EEC-6179E128FC3E}">
    <filterColumn colId="3" showButton="0"/>
    <filterColumn colId="4" showButton="0"/>
  </autoFilter>
  <mergeCells count="54">
    <mergeCell ref="AF1:AK1"/>
    <mergeCell ref="A2:B2"/>
    <mergeCell ref="C2:D2"/>
    <mergeCell ref="AG2:AH2"/>
    <mergeCell ref="AI2:AJ2"/>
    <mergeCell ref="D5:F5"/>
    <mergeCell ref="A1:B1"/>
    <mergeCell ref="C1:D1"/>
    <mergeCell ref="I1:I3"/>
    <mergeCell ref="J1:J3"/>
    <mergeCell ref="A3:B3"/>
    <mergeCell ref="C3:D3"/>
    <mergeCell ref="AG3:AH3"/>
    <mergeCell ref="AI3:AJ3"/>
    <mergeCell ref="A4:B4"/>
    <mergeCell ref="I4:Q4"/>
    <mergeCell ref="AG4:AI4"/>
    <mergeCell ref="AJ4:AL4"/>
    <mergeCell ref="S4:AB4"/>
    <mergeCell ref="AC4:AF4"/>
    <mergeCell ref="A129:B129"/>
    <mergeCell ref="C129:D129"/>
    <mergeCell ref="AG129:AH129"/>
    <mergeCell ref="AI129:AJ129"/>
    <mergeCell ref="A118:B118"/>
    <mergeCell ref="C118:D118"/>
    <mergeCell ref="A130:B130"/>
    <mergeCell ref="C130:D130"/>
    <mergeCell ref="AG130:AH130"/>
    <mergeCell ref="AI130:AJ130"/>
    <mergeCell ref="A131:B131"/>
    <mergeCell ref="C131:D131"/>
    <mergeCell ref="AG131:AH131"/>
    <mergeCell ref="AI131:AJ131"/>
    <mergeCell ref="A132:B132"/>
    <mergeCell ref="C132:D132"/>
    <mergeCell ref="AG132:AH132"/>
    <mergeCell ref="AI132:AJ132"/>
    <mergeCell ref="A133:B133"/>
    <mergeCell ref="C133:D133"/>
    <mergeCell ref="AG133:AH133"/>
    <mergeCell ref="AI133:AJ133"/>
    <mergeCell ref="A136:B136"/>
    <mergeCell ref="C136:D136"/>
    <mergeCell ref="AG136:AH136"/>
    <mergeCell ref="AI136:AJ136"/>
    <mergeCell ref="A134:B134"/>
    <mergeCell ref="C134:D134"/>
    <mergeCell ref="AG134:AH134"/>
    <mergeCell ref="AI134:AJ134"/>
    <mergeCell ref="A135:B135"/>
    <mergeCell ref="C135:D135"/>
    <mergeCell ref="AG135:AH135"/>
    <mergeCell ref="AI135:AJ135"/>
  </mergeCells>
  <conditionalFormatting sqref="K119:K126">
    <cfRule type="cellIs" dxfId="166" priority="87" operator="greaterThanOrEqual">
      <formula>0.85</formula>
    </cfRule>
    <cfRule type="cellIs" dxfId="165" priority="86" operator="between">
      <formula>0.85</formula>
      <formula>0.7</formula>
    </cfRule>
    <cfRule type="cellIs" dxfId="164" priority="85" operator="lessThanOrEqual">
      <formula>0.7</formula>
    </cfRule>
    <cfRule type="cellIs" dxfId="163" priority="84" operator="equal">
      <formula>""</formula>
    </cfRule>
  </conditionalFormatting>
  <conditionalFormatting sqref="O6:O20 O22:O25 O27:O28 O30 O32:O117">
    <cfRule type="cellIs" dxfId="162" priority="79" operator="greaterThanOrEqual">
      <formula>0.85</formula>
    </cfRule>
    <cfRule type="cellIs" dxfId="161" priority="78" operator="between">
      <formula>0.85</formula>
      <formula>0.7</formula>
    </cfRule>
    <cfRule type="cellIs" dxfId="160" priority="77" operator="lessThanOrEqual">
      <formula>0.7</formula>
    </cfRule>
    <cfRule type="cellIs" dxfId="159" priority="76" operator="equal">
      <formula>"Too early"</formula>
    </cfRule>
    <cfRule type="cellIs" dxfId="158" priority="55" stopIfTrue="1" operator="equal">
      <formula>""</formula>
    </cfRule>
  </conditionalFormatting>
  <conditionalFormatting sqref="Q119:R126">
    <cfRule type="cellIs" dxfId="157" priority="95" operator="greaterThanOrEqual">
      <formula>0.95</formula>
    </cfRule>
    <cfRule type="cellIs" dxfId="156" priority="94" operator="between">
      <formula>0.95</formula>
      <formula>0.8</formula>
    </cfRule>
    <cfRule type="cellIs" dxfId="155" priority="93" operator="lessThanOrEqual">
      <formula>0.8</formula>
    </cfRule>
    <cfRule type="cellIs" dxfId="154" priority="92" operator="equal">
      <formula>""</formula>
    </cfRule>
  </conditionalFormatting>
  <conditionalFormatting sqref="R6:R117">
    <cfRule type="cellIs" priority="1" stopIfTrue="1" operator="equal">
      <formula>"Too early"</formula>
    </cfRule>
    <cfRule type="cellIs" dxfId="153" priority="2" operator="lessThan">
      <formula>0</formula>
    </cfRule>
    <cfRule type="cellIs" dxfId="152" priority="3" operator="greaterThan">
      <formula>0</formula>
    </cfRule>
  </conditionalFormatting>
  <conditionalFormatting sqref="X6">
    <cfRule type="cellIs" priority="40" operator="equal">
      <formula>"Too early"</formula>
    </cfRule>
  </conditionalFormatting>
  <conditionalFormatting sqref="X6:X8">
    <cfRule type="cellIs" dxfId="151" priority="49" operator="lessThan">
      <formula>0.9</formula>
    </cfRule>
    <cfRule type="cellIs" dxfId="150" priority="48" operator="between">
      <formula>0.9</formula>
      <formula>1</formula>
    </cfRule>
    <cfRule type="cellIs" dxfId="149" priority="47" operator="greaterThan">
      <formula>1</formula>
    </cfRule>
  </conditionalFormatting>
  <conditionalFormatting sqref="X15:X29 X10:X13">
    <cfRule type="cellIs" dxfId="148" priority="38" operator="between">
      <formula>0.9</formula>
      <formula>1</formula>
    </cfRule>
    <cfRule type="cellIs" dxfId="147" priority="37" operator="greaterThan">
      <formula>1</formula>
    </cfRule>
    <cfRule type="cellIs" dxfId="146" priority="39" operator="lessThan">
      <formula>0.9</formula>
    </cfRule>
  </conditionalFormatting>
  <conditionalFormatting sqref="X21:X29">
    <cfRule type="cellIs" priority="36" stopIfTrue="1" operator="equal">
      <formula>"Too early"</formula>
    </cfRule>
  </conditionalFormatting>
  <conditionalFormatting sqref="X31:X50">
    <cfRule type="cellIs" priority="32" stopIfTrue="1" operator="equal">
      <formula>"Too early"</formula>
    </cfRule>
    <cfRule type="cellIs" dxfId="145" priority="33" operator="greaterThan">
      <formula>1</formula>
    </cfRule>
    <cfRule type="cellIs" dxfId="144" priority="34" operator="between">
      <formula>0.9</formula>
      <formula>1</formula>
    </cfRule>
    <cfRule type="cellIs" dxfId="143" priority="35" operator="lessThan">
      <formula>0.9</formula>
    </cfRule>
  </conditionalFormatting>
  <conditionalFormatting sqref="X52:X77">
    <cfRule type="cellIs" priority="28" stopIfTrue="1" operator="equal">
      <formula>"Too early"</formula>
    </cfRule>
    <cfRule type="cellIs" dxfId="142" priority="29" operator="greaterThan">
      <formula>1</formula>
    </cfRule>
    <cfRule type="cellIs" dxfId="141" priority="30" operator="between">
      <formula>0.9</formula>
      <formula>1</formula>
    </cfRule>
    <cfRule type="cellIs" dxfId="140" priority="31" operator="lessThan">
      <formula>0.9</formula>
    </cfRule>
  </conditionalFormatting>
  <conditionalFormatting sqref="X79:X81">
    <cfRule type="cellIs" priority="24" stopIfTrue="1" operator="equal">
      <formula>"Too early"</formula>
    </cfRule>
    <cfRule type="cellIs" dxfId="139" priority="25" operator="greaterThan">
      <formula>1</formula>
    </cfRule>
    <cfRule type="cellIs" dxfId="138" priority="26" operator="between">
      <formula>0.9</formula>
      <formula>1</formula>
    </cfRule>
    <cfRule type="cellIs" dxfId="137" priority="27" operator="lessThan">
      <formula>0.9</formula>
    </cfRule>
  </conditionalFormatting>
  <conditionalFormatting sqref="X83:X87">
    <cfRule type="cellIs" dxfId="136" priority="23" operator="lessThan">
      <formula>0.9</formula>
    </cfRule>
    <cfRule type="cellIs" dxfId="135" priority="21" operator="greaterThan">
      <formula>1</formula>
    </cfRule>
    <cfRule type="cellIs" priority="20" stopIfTrue="1" operator="equal">
      <formula>"Too early"</formula>
    </cfRule>
    <cfRule type="cellIs" dxfId="134" priority="22" operator="between">
      <formula>0.9</formula>
      <formula>1</formula>
    </cfRule>
  </conditionalFormatting>
  <conditionalFormatting sqref="X89:X94">
    <cfRule type="cellIs" priority="16" stopIfTrue="1" operator="equal">
      <formula>"Too early"</formula>
    </cfRule>
    <cfRule type="cellIs" dxfId="133" priority="19" operator="lessThan">
      <formula>0.9</formula>
    </cfRule>
    <cfRule type="cellIs" dxfId="132" priority="18" operator="between">
      <formula>0.9</formula>
      <formula>1</formula>
    </cfRule>
    <cfRule type="cellIs" dxfId="131" priority="17" operator="greaterThan">
      <formula>1</formula>
    </cfRule>
  </conditionalFormatting>
  <conditionalFormatting sqref="X97:X102">
    <cfRule type="cellIs" dxfId="130" priority="13" operator="greaterThan">
      <formula>1</formula>
    </cfRule>
    <cfRule type="cellIs" priority="12" stopIfTrue="1" operator="equal">
      <formula>"Too early"</formula>
    </cfRule>
    <cfRule type="cellIs" dxfId="129" priority="15" operator="lessThan">
      <formula>0.9</formula>
    </cfRule>
    <cfRule type="cellIs" dxfId="128" priority="14" operator="between">
      <formula>0.9</formula>
      <formula>1</formula>
    </cfRule>
  </conditionalFormatting>
  <conditionalFormatting sqref="X104:X113">
    <cfRule type="cellIs" priority="8" stopIfTrue="1" operator="equal">
      <formula>"Too early"</formula>
    </cfRule>
    <cfRule type="cellIs" dxfId="127" priority="9" operator="greaterThan">
      <formula>1</formula>
    </cfRule>
    <cfRule type="cellIs" dxfId="126" priority="10" operator="between">
      <formula>0.9</formula>
      <formula>1</formula>
    </cfRule>
    <cfRule type="cellIs" dxfId="125" priority="11" operator="lessThan">
      <formula>0.9</formula>
    </cfRule>
  </conditionalFormatting>
  <conditionalFormatting sqref="X115:X117">
    <cfRule type="cellIs" dxfId="124" priority="5" operator="greaterThan">
      <formula>1</formula>
    </cfRule>
    <cfRule type="cellIs" dxfId="123" priority="6" operator="between">
      <formula>0.9</formula>
      <formula>1</formula>
    </cfRule>
    <cfRule type="cellIs" priority="4" stopIfTrue="1" operator="equal">
      <formula>"Too early"</formula>
    </cfRule>
    <cfRule type="cellIs" dxfId="122" priority="7" operator="lessThan">
      <formula>0.9</formula>
    </cfRule>
  </conditionalFormatting>
  <conditionalFormatting sqref="AA119:AA128">
    <cfRule type="cellIs" dxfId="121" priority="99" operator="greaterThanOrEqual">
      <formula>0.95</formula>
    </cfRule>
    <cfRule type="cellIs" dxfId="120" priority="96" operator="equal">
      <formula>""</formula>
    </cfRule>
    <cfRule type="cellIs" dxfId="119" priority="97" operator="lessThanOrEqual">
      <formula>0.8</formula>
    </cfRule>
    <cfRule type="cellIs" dxfId="118" priority="98" operator="between">
      <formula>0.95</formula>
      <formula>0.8</formula>
    </cfRule>
  </conditionalFormatting>
  <conditionalFormatting sqref="AB21:AB117">
    <cfRule type="cellIs" dxfId="117" priority="59" operator="greaterThanOrEqual">
      <formula>0.95</formula>
    </cfRule>
    <cfRule type="cellIs" dxfId="116" priority="58" operator="between">
      <formula>0.95</formula>
      <formula>0.85</formula>
    </cfRule>
    <cfRule type="cellIs" dxfId="115" priority="56" operator="equal">
      <formula>"Too early"</formula>
    </cfRule>
    <cfRule type="cellIs" dxfId="114" priority="52" stopIfTrue="1" operator="equal">
      <formula>""</formula>
    </cfRule>
    <cfRule type="cellIs" dxfId="113" priority="57" operator="lessThanOrEqual">
      <formula>0.85</formula>
    </cfRule>
  </conditionalFormatting>
  <conditionalFormatting sqref="AE119:AE127">
    <cfRule type="cellIs" dxfId="112" priority="88" operator="equal">
      <formula>""</formula>
    </cfRule>
    <cfRule type="cellIs" dxfId="111" priority="89" operator="lessThanOrEqual">
      <formula>0.8</formula>
    </cfRule>
    <cfRule type="cellIs" dxfId="110" priority="90" operator="between">
      <formula>0.95</formula>
      <formula>0.8</formula>
    </cfRule>
    <cfRule type="cellIs" dxfId="109" priority="91" operator="greaterThanOrEqual">
      <formula>0.95</formula>
    </cfRule>
  </conditionalFormatting>
  <conditionalFormatting sqref="AF30:AF117">
    <cfRule type="cellIs" dxfId="108" priority="67" operator="greaterThanOrEqual">
      <formula>0.95</formula>
    </cfRule>
    <cfRule type="cellIs" dxfId="107" priority="66" operator="between">
      <formula>0.95</formula>
      <formula>0.8</formula>
    </cfRule>
    <cfRule type="cellIs" dxfId="106" priority="65" operator="lessThanOrEqual">
      <formula>0.8</formula>
    </cfRule>
    <cfRule type="cellIs" dxfId="105" priority="64" operator="equal">
      <formula>""</formula>
    </cfRule>
    <cfRule type="cellIs" dxfId="104" priority="50" stopIfTrue="1" operator="equal">
      <formula>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C9C8-6AFE-4BA6-9D34-A3248D71E79B}">
  <dimension ref="A1:V15"/>
  <sheetViews>
    <sheetView workbookViewId="0">
      <selection activeCell="L15" sqref="L15"/>
    </sheetView>
  </sheetViews>
  <sheetFormatPr defaultColWidth="8.85546875" defaultRowHeight="15"/>
  <cols>
    <col min="1" max="1" width="24.140625" customWidth="1"/>
    <col min="12" max="22" width="6.42578125" customWidth="1"/>
  </cols>
  <sheetData>
    <row r="1" spans="1:22">
      <c r="B1" s="538" t="s">
        <v>124</v>
      </c>
      <c r="C1" s="538"/>
      <c r="D1" s="538"/>
      <c r="E1" s="538"/>
      <c r="F1" s="538"/>
      <c r="G1" s="538"/>
    </row>
    <row r="2" spans="1:22">
      <c r="A2" t="s">
        <v>15</v>
      </c>
      <c r="B2">
        <v>5</v>
      </c>
      <c r="C2">
        <v>4</v>
      </c>
      <c r="D2" s="315">
        <v>3</v>
      </c>
      <c r="E2" s="315">
        <v>2</v>
      </c>
      <c r="F2" s="315">
        <v>1</v>
      </c>
      <c r="G2" s="315">
        <v>0</v>
      </c>
      <c r="L2" s="539" t="s">
        <v>125</v>
      </c>
      <c r="M2" s="539"/>
      <c r="N2" s="539"/>
      <c r="O2" s="539"/>
      <c r="P2" s="540" t="s">
        <v>126</v>
      </c>
      <c r="Q2" s="540"/>
      <c r="R2" s="540"/>
      <c r="S2" s="540"/>
      <c r="T2" s="540"/>
      <c r="U2" s="540"/>
      <c r="V2" s="540"/>
    </row>
    <row r="3" spans="1:22" ht="63.95">
      <c r="A3" t="s">
        <v>127</v>
      </c>
      <c r="B3" s="257">
        <v>45880</v>
      </c>
      <c r="C3" s="257">
        <v>45887</v>
      </c>
      <c r="D3" s="257">
        <v>45894</v>
      </c>
      <c r="E3" s="257">
        <v>45901</v>
      </c>
      <c r="F3" s="257">
        <v>45908</v>
      </c>
      <c r="G3" s="257">
        <v>45915</v>
      </c>
      <c r="H3" s="229" t="s">
        <v>128</v>
      </c>
      <c r="I3" s="229" t="s">
        <v>129</v>
      </c>
      <c r="K3" s="27" t="s">
        <v>130</v>
      </c>
      <c r="L3" s="331">
        <v>10</v>
      </c>
      <c r="M3" s="331">
        <v>9</v>
      </c>
      <c r="N3" s="331">
        <v>8</v>
      </c>
      <c r="O3" s="331">
        <v>7</v>
      </c>
      <c r="P3" s="26">
        <v>6</v>
      </c>
      <c r="Q3" s="26">
        <v>5</v>
      </c>
      <c r="R3" s="319">
        <v>4</v>
      </c>
      <c r="S3" s="320">
        <v>3</v>
      </c>
      <c r="T3" s="320">
        <v>2</v>
      </c>
      <c r="U3" s="320">
        <v>1</v>
      </c>
      <c r="V3" s="319">
        <v>0</v>
      </c>
    </row>
    <row r="4" spans="1:22">
      <c r="A4" s="257" t="s">
        <v>131</v>
      </c>
      <c r="B4">
        <v>60</v>
      </c>
      <c r="C4">
        <v>160</v>
      </c>
      <c r="D4">
        <v>205</v>
      </c>
      <c r="E4">
        <v>262</v>
      </c>
      <c r="F4">
        <v>311</v>
      </c>
      <c r="G4">
        <v>390</v>
      </c>
      <c r="H4">
        <f>'Performances by Week'!AG10-'Performances by Week'!AC10</f>
        <v>975</v>
      </c>
      <c r="I4" s="29" t="e">
        <f>'Performances by Week'!O10</f>
        <v>#N/A</v>
      </c>
      <c r="K4" s="26" t="s">
        <v>65</v>
      </c>
      <c r="L4" s="332">
        <v>0.15</v>
      </c>
      <c r="M4" s="332">
        <v>0.18</v>
      </c>
      <c r="N4" s="332">
        <v>0.21</v>
      </c>
      <c r="O4" s="332">
        <v>0.24</v>
      </c>
      <c r="P4" s="316">
        <v>0.27</v>
      </c>
      <c r="Q4" s="316">
        <v>0.3</v>
      </c>
      <c r="R4" s="316">
        <v>0.33</v>
      </c>
      <c r="S4" s="316">
        <v>0.39</v>
      </c>
      <c r="T4" s="317">
        <v>0.46</v>
      </c>
      <c r="U4" s="316">
        <v>0.59</v>
      </c>
      <c r="V4" s="316">
        <v>1</v>
      </c>
    </row>
    <row r="5" spans="1:22">
      <c r="A5" s="257" t="s">
        <v>132</v>
      </c>
      <c r="B5">
        <v>63</v>
      </c>
      <c r="C5">
        <v>206</v>
      </c>
      <c r="D5">
        <v>250</v>
      </c>
      <c r="E5">
        <v>294</v>
      </c>
      <c r="F5">
        <v>360</v>
      </c>
      <c r="G5">
        <v>422</v>
      </c>
      <c r="H5">
        <f>'Performances by Week'!AG11-'Performances by Week'!AC11</f>
        <v>1076</v>
      </c>
      <c r="I5" s="29" t="e">
        <f>'Performances by Week'!O11</f>
        <v>#N/A</v>
      </c>
      <c r="K5" s="26" t="s">
        <v>60</v>
      </c>
      <c r="L5" s="332">
        <v>0.15</v>
      </c>
      <c r="M5" s="332">
        <v>0.18</v>
      </c>
      <c r="N5" s="332">
        <v>0.21</v>
      </c>
      <c r="O5" s="332">
        <v>0.24</v>
      </c>
      <c r="P5" s="316">
        <v>0.27</v>
      </c>
      <c r="Q5" s="316">
        <v>0.3</v>
      </c>
      <c r="R5" s="316">
        <v>0.33</v>
      </c>
      <c r="S5" s="316">
        <v>0.39</v>
      </c>
      <c r="T5" s="317">
        <v>0.46</v>
      </c>
      <c r="U5" s="316">
        <v>0.59</v>
      </c>
      <c r="V5" s="316">
        <v>1</v>
      </c>
    </row>
    <row r="6" spans="1:22">
      <c r="A6" s="257" t="s">
        <v>133</v>
      </c>
      <c r="B6">
        <v>57</v>
      </c>
      <c r="C6">
        <v>219</v>
      </c>
      <c r="D6">
        <v>296</v>
      </c>
      <c r="E6">
        <v>322</v>
      </c>
      <c r="F6">
        <v>444</v>
      </c>
      <c r="G6">
        <v>516</v>
      </c>
      <c r="H6">
        <f>'Performances by Week'!AG12-'Performances by Week'!AC12</f>
        <v>1246</v>
      </c>
      <c r="I6" s="29" t="e">
        <f>'Performances by Week'!O12</f>
        <v>#N/A</v>
      </c>
      <c r="K6" s="26" t="s">
        <v>55</v>
      </c>
      <c r="L6" s="332">
        <v>0.15</v>
      </c>
      <c r="M6" s="332">
        <v>0.18</v>
      </c>
      <c r="N6" s="332">
        <v>0.21</v>
      </c>
      <c r="O6" s="332">
        <v>0.24</v>
      </c>
      <c r="P6" s="316">
        <v>0.27</v>
      </c>
      <c r="Q6" s="316">
        <v>0.3</v>
      </c>
      <c r="R6" s="316">
        <v>0.33</v>
      </c>
      <c r="S6" s="316">
        <v>0.39</v>
      </c>
      <c r="T6" s="317">
        <v>0.46</v>
      </c>
      <c r="U6" s="316">
        <v>0.59</v>
      </c>
      <c r="V6" s="316">
        <v>1</v>
      </c>
    </row>
    <row r="7" spans="1:22">
      <c r="A7" s="257" t="s">
        <v>134</v>
      </c>
      <c r="B7" s="315">
        <f t="shared" ref="B7:G7" si="0">$H$7*$H$10*Q5</f>
        <v>280.245</v>
      </c>
      <c r="C7" s="315">
        <f t="shared" si="0"/>
        <v>308.26949999999999</v>
      </c>
      <c r="D7" s="315">
        <f t="shared" si="0"/>
        <v>364.31850000000003</v>
      </c>
      <c r="E7" s="315">
        <f t="shared" si="0"/>
        <v>429.709</v>
      </c>
      <c r="F7" s="315">
        <f t="shared" si="0"/>
        <v>551.14850000000001</v>
      </c>
      <c r="G7" s="315">
        <f t="shared" si="0"/>
        <v>934.15</v>
      </c>
      <c r="H7" s="315">
        <f>AVERAGE(H4:H6)</f>
        <v>1099</v>
      </c>
      <c r="K7" s="26" t="s">
        <v>135</v>
      </c>
      <c r="L7" s="332">
        <v>0.15</v>
      </c>
      <c r="M7" s="332">
        <v>0.18</v>
      </c>
      <c r="N7" s="332">
        <v>0.21</v>
      </c>
      <c r="O7" s="332">
        <v>0.24</v>
      </c>
      <c r="P7" s="316">
        <v>0.27</v>
      </c>
      <c r="Q7" s="316">
        <v>0.3</v>
      </c>
      <c r="R7" s="316">
        <v>0.33</v>
      </c>
      <c r="S7" s="316">
        <v>0.39</v>
      </c>
      <c r="T7" s="317">
        <v>0.46</v>
      </c>
      <c r="U7" s="316">
        <v>0.59</v>
      </c>
      <c r="V7" s="316">
        <v>1</v>
      </c>
    </row>
    <row r="8" spans="1:22">
      <c r="A8" s="257" t="s">
        <v>136</v>
      </c>
      <c r="B8" s="315">
        <f t="shared" ref="B8:E8" si="1">IF(B4&gt;0,AVERAGE(B4:B6)-B7,"TBD")</f>
        <v>-220.245</v>
      </c>
      <c r="C8" s="315">
        <f t="shared" si="1"/>
        <v>-113.26949999999999</v>
      </c>
      <c r="D8" s="315">
        <f t="shared" si="1"/>
        <v>-113.98516666666669</v>
      </c>
      <c r="E8" s="315">
        <f t="shared" si="1"/>
        <v>-137.04233333333332</v>
      </c>
      <c r="F8" s="315">
        <f>IF(F4&gt;0,AVERAGE(F4:F6)-F7,"TBD")</f>
        <v>-179.48183333333333</v>
      </c>
      <c r="G8" s="315">
        <f t="shared" ref="G8" si="2">IF(G4&gt;0,AVERAGE(G4:G6)-G7,"TBD")</f>
        <v>-491.48333333333329</v>
      </c>
      <c r="M8" s="314"/>
      <c r="N8" s="316"/>
      <c r="O8" s="316"/>
      <c r="P8" s="316"/>
      <c r="Q8" s="316"/>
    </row>
    <row r="9" spans="1:22">
      <c r="A9" s="257"/>
      <c r="H9" t="s">
        <v>137</v>
      </c>
      <c r="M9" s="27"/>
      <c r="N9" s="316"/>
      <c r="O9" s="316"/>
      <c r="P9" s="316"/>
      <c r="Q9" s="316"/>
    </row>
    <row r="10" spans="1:22">
      <c r="A10" s="257"/>
      <c r="H10" s="126">
        <v>0.85</v>
      </c>
      <c r="M10" s="25"/>
      <c r="N10" s="316"/>
      <c r="O10" s="316"/>
      <c r="P10" s="316"/>
      <c r="Q10" s="316"/>
    </row>
    <row r="11" spans="1:22">
      <c r="A11" s="257"/>
      <c r="M11" s="25"/>
      <c r="N11" s="316"/>
      <c r="O11" s="316"/>
      <c r="P11" s="316"/>
      <c r="Q11" s="316"/>
    </row>
    <row r="12" spans="1:22">
      <c r="I12" t="s">
        <v>138</v>
      </c>
      <c r="J12" t="s">
        <v>139</v>
      </c>
      <c r="K12" t="s">
        <v>140</v>
      </c>
    </row>
    <row r="13" spans="1:22">
      <c r="I13">
        <v>511</v>
      </c>
      <c r="J13">
        <f>I13-G4</f>
        <v>121</v>
      </c>
      <c r="K13" s="126">
        <f>J13/I13</f>
        <v>0.23679060665362034</v>
      </c>
    </row>
    <row r="14" spans="1:22">
      <c r="I14">
        <v>550</v>
      </c>
      <c r="J14">
        <f>I14-G5</f>
        <v>128</v>
      </c>
      <c r="K14" s="126">
        <f>J14/I14</f>
        <v>0.23272727272727273</v>
      </c>
    </row>
    <row r="15" spans="1:22">
      <c r="I15">
        <v>662</v>
      </c>
      <c r="J15">
        <f>I15-G6</f>
        <v>146</v>
      </c>
      <c r="K15" s="126">
        <f>J15/I15</f>
        <v>0.22054380664652568</v>
      </c>
    </row>
  </sheetData>
  <mergeCells count="3">
    <mergeCell ref="B1:G1"/>
    <mergeCell ref="L2:O2"/>
    <mergeCell ref="P2:V2"/>
  </mergeCells>
  <conditionalFormatting sqref="I4:I6">
    <cfRule type="cellIs" dxfId="103" priority="1" stopIfTrue="1" operator="equal">
      <formula>""</formula>
    </cfRule>
    <cfRule type="cellIs" dxfId="102" priority="2" operator="equal">
      <formula>"Too early"</formula>
    </cfRule>
    <cfRule type="cellIs" dxfId="101" priority="3" operator="lessThanOrEqual">
      <formula>0.7</formula>
    </cfRule>
    <cfRule type="cellIs" dxfId="100" priority="4" operator="between">
      <formula>0.85</formula>
      <formula>0.7</formula>
    </cfRule>
    <cfRule type="cellIs" dxfId="99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0928-6078-4C51-91A0-1202B64C6447}">
  <dimension ref="A1:AA13"/>
  <sheetViews>
    <sheetView workbookViewId="0">
      <selection activeCell="J6" sqref="J4:J6"/>
    </sheetView>
  </sheetViews>
  <sheetFormatPr defaultColWidth="8.85546875" defaultRowHeight="15"/>
  <cols>
    <col min="1" max="1" width="24.85546875" customWidth="1"/>
    <col min="14" max="14" width="14.42578125" customWidth="1"/>
    <col min="15" max="25" width="6.85546875" customWidth="1"/>
  </cols>
  <sheetData>
    <row r="1" spans="1:27">
      <c r="B1" s="538" t="s">
        <v>124</v>
      </c>
      <c r="C1" s="538"/>
      <c r="D1" s="538"/>
      <c r="E1" s="538"/>
      <c r="F1" s="538"/>
      <c r="G1" s="538"/>
      <c r="H1" s="538"/>
      <c r="I1" s="538"/>
      <c r="J1" s="538"/>
    </row>
    <row r="2" spans="1:27">
      <c r="A2" t="s">
        <v>15</v>
      </c>
      <c r="B2">
        <v>8</v>
      </c>
      <c r="C2">
        <v>7</v>
      </c>
      <c r="D2">
        <v>6</v>
      </c>
      <c r="E2">
        <v>5</v>
      </c>
      <c r="F2">
        <v>4</v>
      </c>
      <c r="G2" s="315">
        <v>3</v>
      </c>
      <c r="H2" s="315">
        <v>2</v>
      </c>
      <c r="I2" s="315">
        <v>1</v>
      </c>
      <c r="J2" s="315">
        <v>0</v>
      </c>
      <c r="O2" s="539" t="s">
        <v>125</v>
      </c>
      <c r="P2" s="539"/>
      <c r="Q2" s="539"/>
      <c r="R2" s="539"/>
      <c r="S2" s="540" t="s">
        <v>126</v>
      </c>
      <c r="T2" s="540"/>
      <c r="U2" s="540"/>
      <c r="V2" s="540"/>
      <c r="W2" s="540"/>
      <c r="X2" s="540"/>
      <c r="Y2" s="540"/>
    </row>
    <row r="3" spans="1:27" ht="63.95">
      <c r="A3" t="s">
        <v>141</v>
      </c>
      <c r="B3" s="257">
        <v>45880</v>
      </c>
      <c r="C3" s="257">
        <v>45887</v>
      </c>
      <c r="D3" s="257">
        <v>45894</v>
      </c>
      <c r="E3" s="257">
        <v>45901</v>
      </c>
      <c r="F3" s="257">
        <v>45908</v>
      </c>
      <c r="G3" s="257">
        <v>45915</v>
      </c>
      <c r="H3" s="257">
        <v>45922</v>
      </c>
      <c r="I3" s="257">
        <v>45929</v>
      </c>
      <c r="J3" s="257">
        <v>45936</v>
      </c>
      <c r="K3" s="229" t="s">
        <v>128</v>
      </c>
      <c r="L3" s="229" t="s">
        <v>142</v>
      </c>
      <c r="N3" s="27" t="s">
        <v>130</v>
      </c>
      <c r="O3" s="331">
        <v>10</v>
      </c>
      <c r="P3" s="331">
        <v>9</v>
      </c>
      <c r="Q3" s="331">
        <v>8</v>
      </c>
      <c r="R3" s="331">
        <v>7</v>
      </c>
      <c r="S3" s="26">
        <v>6</v>
      </c>
      <c r="T3" s="26">
        <v>5</v>
      </c>
      <c r="U3" s="319">
        <v>4</v>
      </c>
      <c r="V3" s="320">
        <v>3</v>
      </c>
      <c r="W3" s="320">
        <v>2</v>
      </c>
      <c r="X3" s="320">
        <v>1</v>
      </c>
      <c r="Y3" s="319">
        <v>0</v>
      </c>
    </row>
    <row r="4" spans="1:27">
      <c r="A4" s="257" t="s">
        <v>143</v>
      </c>
      <c r="B4" s="350">
        <v>60</v>
      </c>
      <c r="C4" s="350">
        <v>100</v>
      </c>
      <c r="D4" s="350">
        <v>106</v>
      </c>
      <c r="E4" s="350">
        <v>135</v>
      </c>
      <c r="F4" s="350">
        <v>193</v>
      </c>
      <c r="G4" s="350">
        <v>212</v>
      </c>
      <c r="H4" s="350">
        <v>238</v>
      </c>
      <c r="I4" s="350">
        <v>326</v>
      </c>
      <c r="J4" s="350">
        <v>418</v>
      </c>
      <c r="K4">
        <f>1433-543</f>
        <v>890</v>
      </c>
      <c r="L4" s="29" t="e">
        <f>'Performances by Week'!O15</f>
        <v>#N/A</v>
      </c>
      <c r="N4" s="26" t="s">
        <v>65</v>
      </c>
      <c r="O4" s="332">
        <v>0.15</v>
      </c>
      <c r="P4" s="332">
        <v>0.18</v>
      </c>
      <c r="Q4" s="332">
        <v>0.21</v>
      </c>
      <c r="R4" s="332">
        <v>0.24</v>
      </c>
      <c r="S4" s="316">
        <v>0.27</v>
      </c>
      <c r="T4" s="316">
        <v>0.3</v>
      </c>
      <c r="U4" s="316">
        <v>0.33</v>
      </c>
      <c r="V4" s="316">
        <v>0.39</v>
      </c>
      <c r="W4" s="317">
        <v>0.46</v>
      </c>
      <c r="X4" s="316">
        <v>0.59</v>
      </c>
      <c r="Y4" s="316">
        <v>1</v>
      </c>
    </row>
    <row r="5" spans="1:27">
      <c r="A5" s="257" t="s">
        <v>144</v>
      </c>
      <c r="B5" s="350">
        <v>63</v>
      </c>
      <c r="C5" s="350">
        <v>98</v>
      </c>
      <c r="D5" s="350">
        <v>115</v>
      </c>
      <c r="E5" s="350">
        <v>130</v>
      </c>
      <c r="F5" s="350">
        <v>179</v>
      </c>
      <c r="G5" s="350">
        <v>225</v>
      </c>
      <c r="H5" s="350">
        <v>258</v>
      </c>
      <c r="I5" s="350">
        <v>355</v>
      </c>
      <c r="J5" s="350">
        <v>429</v>
      </c>
      <c r="K5">
        <f>1433-581</f>
        <v>852</v>
      </c>
      <c r="L5" s="29" t="e">
        <f>'Performances by Week'!O16</f>
        <v>#N/A</v>
      </c>
      <c r="N5" s="26" t="s">
        <v>60</v>
      </c>
      <c r="O5" s="332">
        <v>0.15</v>
      </c>
      <c r="P5" s="332">
        <v>0.18</v>
      </c>
      <c r="Q5" s="332">
        <v>0.21</v>
      </c>
      <c r="R5" s="332">
        <v>0.24</v>
      </c>
      <c r="S5" s="316">
        <v>0.27</v>
      </c>
      <c r="T5" s="316">
        <v>0.3</v>
      </c>
      <c r="U5" s="316">
        <v>0.33</v>
      </c>
      <c r="V5" s="316">
        <v>0.39</v>
      </c>
      <c r="W5" s="317">
        <v>0.46</v>
      </c>
      <c r="X5" s="316">
        <v>0.59</v>
      </c>
      <c r="Y5" s="316">
        <v>1</v>
      </c>
    </row>
    <row r="6" spans="1:27">
      <c r="A6" s="257" t="s">
        <v>145</v>
      </c>
      <c r="B6" s="350">
        <v>57</v>
      </c>
      <c r="C6" s="350">
        <v>137</v>
      </c>
      <c r="D6" s="350">
        <v>154</v>
      </c>
      <c r="E6" s="350">
        <v>174</v>
      </c>
      <c r="F6" s="350">
        <v>239</v>
      </c>
      <c r="G6" s="350">
        <v>295</v>
      </c>
      <c r="H6" s="350">
        <v>328</v>
      </c>
      <c r="I6" s="350">
        <v>430</v>
      </c>
      <c r="J6" s="350">
        <v>565</v>
      </c>
      <c r="K6">
        <f>1433-613</f>
        <v>820</v>
      </c>
      <c r="L6" s="29" t="e">
        <f>'Performances by Week'!O17</f>
        <v>#N/A</v>
      </c>
      <c r="N6" s="26" t="s">
        <v>55</v>
      </c>
      <c r="O6" s="332">
        <v>0.15</v>
      </c>
      <c r="P6" s="332">
        <v>0.18</v>
      </c>
      <c r="Q6" s="332">
        <v>0.21</v>
      </c>
      <c r="R6" s="332">
        <v>0.24</v>
      </c>
      <c r="S6" s="316">
        <v>0.27</v>
      </c>
      <c r="T6" s="316">
        <v>0.3</v>
      </c>
      <c r="U6" s="316">
        <v>0.33</v>
      </c>
      <c r="V6" s="316">
        <v>0.39</v>
      </c>
      <c r="W6" s="317">
        <v>0.46</v>
      </c>
      <c r="X6" s="316">
        <v>0.59</v>
      </c>
      <c r="Y6" s="316">
        <v>1</v>
      </c>
    </row>
    <row r="7" spans="1:27">
      <c r="A7" s="257" t="s">
        <v>134</v>
      </c>
      <c r="B7" s="348">
        <f t="shared" ref="B7:J7" si="0">$K$7*$K$12*Q4</f>
        <v>151.72499999999999</v>
      </c>
      <c r="C7" s="348">
        <f t="shared" si="0"/>
        <v>173.4</v>
      </c>
      <c r="D7" s="348">
        <f t="shared" si="0"/>
        <v>195.07500000000002</v>
      </c>
      <c r="E7" s="348">
        <f t="shared" si="0"/>
        <v>216.75</v>
      </c>
      <c r="F7" s="348">
        <f t="shared" si="0"/>
        <v>238.42500000000001</v>
      </c>
      <c r="G7" s="348">
        <f t="shared" si="0"/>
        <v>281.77500000000003</v>
      </c>
      <c r="H7" s="348">
        <f t="shared" si="0"/>
        <v>332.35</v>
      </c>
      <c r="I7" s="348">
        <f t="shared" si="0"/>
        <v>426.27499999999998</v>
      </c>
      <c r="J7" s="348">
        <f t="shared" si="0"/>
        <v>722.5</v>
      </c>
      <c r="K7">
        <v>850</v>
      </c>
      <c r="N7" s="26" t="s">
        <v>135</v>
      </c>
      <c r="O7" s="332">
        <v>0.15</v>
      </c>
      <c r="P7" s="332">
        <v>0.18</v>
      </c>
      <c r="Q7" s="332">
        <v>0.21</v>
      </c>
      <c r="R7" s="332">
        <v>0.24</v>
      </c>
      <c r="S7" s="316">
        <v>0.27</v>
      </c>
      <c r="T7" s="316">
        <v>0.3</v>
      </c>
      <c r="U7" s="316">
        <v>0.33</v>
      </c>
      <c r="V7" s="316">
        <v>0.39</v>
      </c>
      <c r="W7" s="317">
        <v>0.46</v>
      </c>
      <c r="X7" s="316">
        <v>0.59</v>
      </c>
      <c r="Y7" s="316">
        <v>1</v>
      </c>
    </row>
    <row r="8" spans="1:27">
      <c r="A8" s="541" t="s">
        <v>146</v>
      </c>
      <c r="B8" s="541"/>
      <c r="C8" s="315">
        <f>C7-B7</f>
        <v>21.675000000000011</v>
      </c>
      <c r="D8" s="315">
        <f t="shared" ref="D8:J8" si="1">D7-C7</f>
        <v>21.675000000000011</v>
      </c>
      <c r="E8" s="315">
        <f t="shared" si="1"/>
        <v>21.674999999999983</v>
      </c>
      <c r="F8" s="315">
        <f t="shared" si="1"/>
        <v>21.675000000000011</v>
      </c>
      <c r="G8" s="315">
        <f t="shared" si="1"/>
        <v>43.350000000000023</v>
      </c>
      <c r="H8" s="315">
        <f t="shared" si="1"/>
        <v>50.574999999999989</v>
      </c>
      <c r="I8" s="315">
        <f t="shared" si="1"/>
        <v>93.924999999999955</v>
      </c>
      <c r="J8" s="315">
        <f t="shared" si="1"/>
        <v>296.22500000000002</v>
      </c>
      <c r="K8" s="315"/>
      <c r="L8" s="315"/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>IF(C4="","Too early",AVERAGE(C4:C6)-AVERAGE(B4:B6))</f>
        <v>51.666666666666671</v>
      </c>
      <c r="D9" s="315">
        <f t="shared" ref="D9:J9" si="2">IF(D4="","Too early",AVERAGE(D4:D6)-AVERAGE(C4:C6))</f>
        <v>13.333333333333329</v>
      </c>
      <c r="E9" s="315">
        <f t="shared" si="2"/>
        <v>21.333333333333343</v>
      </c>
      <c r="F9" s="315">
        <f t="shared" si="2"/>
        <v>57.333333333333314</v>
      </c>
      <c r="G9" s="315">
        <f t="shared" si="2"/>
        <v>40.333333333333343</v>
      </c>
      <c r="H9" s="315">
        <f t="shared" si="2"/>
        <v>30.666666666666686</v>
      </c>
      <c r="I9" s="315">
        <f t="shared" si="2"/>
        <v>95.666666666666629</v>
      </c>
      <c r="J9" s="315">
        <f t="shared" si="2"/>
        <v>100.33333333333337</v>
      </c>
      <c r="K9" s="315"/>
      <c r="L9" s="315"/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>IF(B4&gt;0,AVERAGE(B4:B6)-B7,"TBD")</f>
        <v>-91.724999999999994</v>
      </c>
      <c r="C10" s="315">
        <f t="shared" ref="C10:J10" si="3">IF(C4&gt;0,AVERAGE(C4:C6)-C7,"TBD")</f>
        <v>-61.733333333333334</v>
      </c>
      <c r="D10" s="315">
        <f t="shared" si="3"/>
        <v>-70.075000000000017</v>
      </c>
      <c r="E10" s="315">
        <f t="shared" si="3"/>
        <v>-70.416666666666657</v>
      </c>
      <c r="F10" s="315">
        <f t="shared" si="3"/>
        <v>-34.758333333333354</v>
      </c>
      <c r="G10" s="315">
        <f t="shared" si="3"/>
        <v>-37.775000000000034</v>
      </c>
      <c r="H10" s="315">
        <f t="shared" si="3"/>
        <v>-57.683333333333337</v>
      </c>
      <c r="I10" s="315">
        <f t="shared" si="3"/>
        <v>-55.941666666666663</v>
      </c>
      <c r="J10" s="315">
        <f t="shared" si="3"/>
        <v>-251.83333333333331</v>
      </c>
      <c r="K10" s="315"/>
      <c r="L10" s="315"/>
      <c r="P10" s="314"/>
      <c r="Q10" s="316"/>
      <c r="R10" s="316"/>
      <c r="S10" s="316"/>
      <c r="T10" s="316"/>
    </row>
    <row r="11" spans="1:27">
      <c r="A11" s="257"/>
      <c r="E11" s="315"/>
      <c r="F11" s="315"/>
      <c r="G11" s="315"/>
      <c r="H11" s="315"/>
      <c r="K11" t="s">
        <v>137</v>
      </c>
      <c r="N11" s="27"/>
      <c r="O11" s="316"/>
      <c r="P11" s="316"/>
      <c r="Q11" s="316"/>
      <c r="R11" s="316"/>
    </row>
    <row r="12" spans="1:27">
      <c r="A12" s="257"/>
      <c r="K12" s="126">
        <v>0.85</v>
      </c>
      <c r="N12" s="25"/>
      <c r="O12" s="316"/>
      <c r="P12" s="316"/>
      <c r="Q12" s="316"/>
      <c r="R12" s="316"/>
    </row>
    <row r="13" spans="1:27">
      <c r="A13" s="257"/>
      <c r="N13" s="25"/>
      <c r="O13" s="316"/>
      <c r="P13" s="316"/>
      <c r="Q13" s="316"/>
      <c r="R13" s="316"/>
    </row>
  </sheetData>
  <mergeCells count="5">
    <mergeCell ref="A8:B8"/>
    <mergeCell ref="A9:B9"/>
    <mergeCell ref="B1:J1"/>
    <mergeCell ref="O2:R2"/>
    <mergeCell ref="S2:Y2"/>
  </mergeCells>
  <conditionalFormatting sqref="B10:L10">
    <cfRule type="cellIs" priority="1" stopIfTrue="1" operator="equal">
      <formula>"TBD"</formula>
    </cfRule>
    <cfRule type="cellIs" dxfId="98" priority="2" operator="greaterThan">
      <formula>0</formula>
    </cfRule>
    <cfRule type="cellIs" dxfId="97" priority="3" operator="lessThan">
      <formula>0</formula>
    </cfRule>
  </conditionalFormatting>
  <conditionalFormatting sqref="L4:L6">
    <cfRule type="cellIs" dxfId="96" priority="4" stopIfTrue="1" operator="equal">
      <formula>""</formula>
    </cfRule>
    <cfRule type="cellIs" dxfId="95" priority="5" operator="equal">
      <formula>"Too early"</formula>
    </cfRule>
    <cfRule type="cellIs" dxfId="94" priority="6" operator="lessThanOrEqual">
      <formula>0.7</formula>
    </cfRule>
    <cfRule type="cellIs" dxfId="93" priority="7" operator="between">
      <formula>0.85</formula>
      <formula>0.7</formula>
    </cfRule>
    <cfRule type="cellIs" dxfId="92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B552-1C8B-4D0F-BE7C-4211098FFCDD}">
  <dimension ref="A1:AA13"/>
  <sheetViews>
    <sheetView workbookViewId="0">
      <selection activeCell="O10" sqref="O10"/>
    </sheetView>
  </sheetViews>
  <sheetFormatPr defaultColWidth="8.85546875" defaultRowHeight="15"/>
  <cols>
    <col min="1" max="1" width="24.140625" customWidth="1"/>
    <col min="16" max="16" width="12.85546875" customWidth="1"/>
    <col min="17" max="27" width="6.42578125" customWidth="1"/>
  </cols>
  <sheetData>
    <row r="1" spans="1:27">
      <c r="B1" s="538" t="s">
        <v>148</v>
      </c>
      <c r="C1" s="538"/>
      <c r="D1" s="538"/>
      <c r="E1" s="538"/>
      <c r="F1" s="538"/>
      <c r="G1" s="538"/>
      <c r="H1" s="538"/>
      <c r="I1" s="538"/>
      <c r="J1" s="538"/>
      <c r="K1" s="538"/>
      <c r="L1" s="538"/>
      <c r="Q1" s="539" t="s">
        <v>125</v>
      </c>
      <c r="R1" s="539"/>
      <c r="S1" s="539"/>
      <c r="T1" s="539"/>
      <c r="U1" s="540" t="s">
        <v>126</v>
      </c>
      <c r="V1" s="540"/>
      <c r="W1" s="540"/>
      <c r="X1" s="540"/>
      <c r="Y1" s="540"/>
      <c r="Z1" s="540"/>
      <c r="AA1" s="540"/>
    </row>
    <row r="2" spans="1:27" ht="29.1">
      <c r="A2" t="s">
        <v>15</v>
      </c>
      <c r="B2">
        <v>10</v>
      </c>
      <c r="C2">
        <v>9</v>
      </c>
      <c r="D2" s="315">
        <v>8</v>
      </c>
      <c r="E2" s="315">
        <v>7</v>
      </c>
      <c r="F2" s="315">
        <v>6</v>
      </c>
      <c r="G2" s="315">
        <v>5</v>
      </c>
      <c r="H2" s="315">
        <v>4</v>
      </c>
      <c r="I2" s="315">
        <v>3</v>
      </c>
      <c r="J2" s="315">
        <v>2</v>
      </c>
      <c r="K2" s="315">
        <v>1</v>
      </c>
      <c r="L2" s="315">
        <v>0</v>
      </c>
      <c r="P2" s="27" t="s">
        <v>130</v>
      </c>
      <c r="Q2" s="331">
        <v>10</v>
      </c>
      <c r="R2" s="331">
        <v>9</v>
      </c>
      <c r="S2" s="331">
        <v>8</v>
      </c>
      <c r="T2" s="331">
        <v>7</v>
      </c>
      <c r="U2" s="26">
        <v>6</v>
      </c>
      <c r="V2" s="26">
        <v>5</v>
      </c>
      <c r="W2" s="319">
        <v>4</v>
      </c>
      <c r="X2" s="320">
        <v>3</v>
      </c>
      <c r="Y2" s="320">
        <v>2</v>
      </c>
      <c r="Z2" s="320">
        <v>1</v>
      </c>
      <c r="AA2" s="319">
        <v>0</v>
      </c>
    </row>
    <row r="3" spans="1:27" ht="63.95">
      <c r="A3" s="318" t="s">
        <v>149</v>
      </c>
      <c r="B3" s="257">
        <v>45880</v>
      </c>
      <c r="C3" s="257">
        <v>45887</v>
      </c>
      <c r="D3" s="257">
        <v>45894</v>
      </c>
      <c r="E3" s="257">
        <v>45901</v>
      </c>
      <c r="F3" s="257">
        <v>45908</v>
      </c>
      <c r="G3" s="257">
        <v>45915</v>
      </c>
      <c r="H3" s="257">
        <v>45922</v>
      </c>
      <c r="I3" s="257">
        <v>45929</v>
      </c>
      <c r="J3" s="257">
        <v>45936</v>
      </c>
      <c r="K3" s="257">
        <v>45943</v>
      </c>
      <c r="L3" s="257">
        <v>45950</v>
      </c>
      <c r="M3" s="229" t="s">
        <v>128</v>
      </c>
      <c r="N3" s="229" t="s">
        <v>129</v>
      </c>
      <c r="P3" s="26" t="s">
        <v>65</v>
      </c>
      <c r="Q3" s="332">
        <v>0.15</v>
      </c>
      <c r="R3" s="332">
        <v>0.18</v>
      </c>
      <c r="S3" s="332">
        <v>0.21</v>
      </c>
      <c r="T3" s="332">
        <v>0.24</v>
      </c>
      <c r="U3" s="316">
        <v>0.27</v>
      </c>
      <c r="V3" s="316">
        <v>0.3</v>
      </c>
      <c r="W3" s="316">
        <v>0.33</v>
      </c>
      <c r="X3" s="316">
        <v>0.39</v>
      </c>
      <c r="Y3" s="317">
        <v>0.46</v>
      </c>
      <c r="Z3" s="316">
        <v>0.59</v>
      </c>
      <c r="AA3" s="316">
        <v>1</v>
      </c>
    </row>
    <row r="4" spans="1:27">
      <c r="A4" s="257" t="s">
        <v>150</v>
      </c>
      <c r="B4" s="350">
        <v>60</v>
      </c>
      <c r="C4" s="350">
        <v>64</v>
      </c>
      <c r="D4" s="350">
        <v>68</v>
      </c>
      <c r="E4" s="350">
        <v>74</v>
      </c>
      <c r="F4" s="350">
        <v>80</v>
      </c>
      <c r="G4" s="350">
        <v>92</v>
      </c>
      <c r="H4" s="350">
        <v>115</v>
      </c>
      <c r="I4" s="350">
        <v>145</v>
      </c>
      <c r="J4" s="350">
        <v>166</v>
      </c>
      <c r="K4" s="350">
        <v>193</v>
      </c>
      <c r="L4" s="350">
        <v>222</v>
      </c>
      <c r="M4">
        <f>'Performances by Week'!AG22-'Performances by Week'!AC22</f>
        <v>965</v>
      </c>
      <c r="N4" s="29" t="e">
        <f>'Performances by Week'!O22</f>
        <v>#N/A</v>
      </c>
      <c r="P4" s="26" t="s">
        <v>60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151</v>
      </c>
      <c r="B5" s="350">
        <v>63</v>
      </c>
      <c r="C5" s="350">
        <v>63</v>
      </c>
      <c r="D5" s="350">
        <v>73</v>
      </c>
      <c r="E5" s="350">
        <v>93</v>
      </c>
      <c r="F5" s="350">
        <v>106</v>
      </c>
      <c r="G5" s="350">
        <v>114</v>
      </c>
      <c r="H5" s="350">
        <v>155</v>
      </c>
      <c r="I5" s="350">
        <v>190</v>
      </c>
      <c r="J5" s="350">
        <v>218</v>
      </c>
      <c r="K5" s="350">
        <v>257</v>
      </c>
      <c r="L5" s="350">
        <v>306</v>
      </c>
      <c r="M5">
        <f>'Performances by Week'!AG23-'Performances by Week'!AC23</f>
        <v>1067</v>
      </c>
      <c r="N5" s="29" t="e">
        <f>'Performances by Week'!O23</f>
        <v>#N/A</v>
      </c>
      <c r="P5" s="26" t="s">
        <v>55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152</v>
      </c>
      <c r="B6" s="350">
        <v>57</v>
      </c>
      <c r="C6" s="350">
        <v>59</v>
      </c>
      <c r="D6" s="350">
        <v>66</v>
      </c>
      <c r="E6" s="350">
        <v>74</v>
      </c>
      <c r="F6" s="350">
        <v>76</v>
      </c>
      <c r="G6" s="350">
        <v>87</v>
      </c>
      <c r="H6" s="350">
        <v>110</v>
      </c>
      <c r="I6" s="350">
        <v>163</v>
      </c>
      <c r="J6" s="350">
        <v>181</v>
      </c>
      <c r="K6" s="350">
        <v>209</v>
      </c>
      <c r="L6" s="350">
        <v>251</v>
      </c>
      <c r="M6">
        <f>'Performances by Week'!AG24-'Performances by Week'!AC24</f>
        <v>1268</v>
      </c>
      <c r="N6" s="29" t="e">
        <f>'Performances by Week'!O24</f>
        <v>#N/A</v>
      </c>
      <c r="P6" s="26" t="s">
        <v>135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48">
        <f t="shared" ref="B7:L7" si="0">$M$7*$M$12*Q4</f>
        <v>140.25</v>
      </c>
      <c r="C7" s="348">
        <f t="shared" si="0"/>
        <v>168.29999999999998</v>
      </c>
      <c r="D7" s="348">
        <f t="shared" si="0"/>
        <v>196.35</v>
      </c>
      <c r="E7" s="348">
        <f t="shared" si="0"/>
        <v>224.4</v>
      </c>
      <c r="F7" s="348">
        <f t="shared" si="0"/>
        <v>252.45000000000002</v>
      </c>
      <c r="G7" s="348">
        <f t="shared" si="0"/>
        <v>280.5</v>
      </c>
      <c r="H7" s="348">
        <f t="shared" si="0"/>
        <v>308.55</v>
      </c>
      <c r="I7" s="348">
        <f t="shared" si="0"/>
        <v>364.65000000000003</v>
      </c>
      <c r="J7" s="348">
        <f t="shared" si="0"/>
        <v>430.1</v>
      </c>
      <c r="K7" s="348">
        <f t="shared" si="0"/>
        <v>551.65</v>
      </c>
      <c r="L7" s="348">
        <f t="shared" si="0"/>
        <v>935</v>
      </c>
      <c r="M7" s="315">
        <f>AVERAGE(M4:M6)</f>
        <v>1100</v>
      </c>
    </row>
    <row r="8" spans="1:27">
      <c r="A8" s="541" t="s">
        <v>146</v>
      </c>
      <c r="B8" s="541"/>
      <c r="C8" s="315">
        <f>C7-B7</f>
        <v>28.049999999999983</v>
      </c>
      <c r="D8" s="315">
        <f t="shared" ref="D8:L8" si="1">D7-C7</f>
        <v>28.050000000000011</v>
      </c>
      <c r="E8" s="315">
        <f t="shared" si="1"/>
        <v>28.050000000000011</v>
      </c>
      <c r="F8" s="315">
        <f t="shared" si="1"/>
        <v>28.050000000000011</v>
      </c>
      <c r="G8" s="315">
        <f t="shared" si="1"/>
        <v>28.049999999999983</v>
      </c>
      <c r="H8" s="315">
        <f t="shared" si="1"/>
        <v>28.050000000000011</v>
      </c>
      <c r="I8" s="315">
        <f t="shared" si="1"/>
        <v>56.100000000000023</v>
      </c>
      <c r="J8" s="315">
        <f t="shared" si="1"/>
        <v>65.449999999999989</v>
      </c>
      <c r="K8" s="315">
        <f t="shared" si="1"/>
        <v>121.54999999999995</v>
      </c>
      <c r="L8" s="315">
        <f t="shared" si="1"/>
        <v>383.35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>IF(C4="","Too early",AVERAGE(C4:C6)-AVERAGE(B4:B6))</f>
        <v>2</v>
      </c>
      <c r="D9" s="315">
        <f t="shared" ref="D9:L9" si="2">IF(D4="","Too early",AVERAGE(D4:D6)-AVERAGE(C4:C6))</f>
        <v>7</v>
      </c>
      <c r="E9" s="315">
        <f t="shared" si="2"/>
        <v>11.333333333333329</v>
      </c>
      <c r="F9" s="315">
        <f t="shared" si="2"/>
        <v>7</v>
      </c>
      <c r="G9" s="315">
        <f t="shared" si="2"/>
        <v>10.333333333333343</v>
      </c>
      <c r="H9" s="315">
        <f t="shared" si="2"/>
        <v>29</v>
      </c>
      <c r="I9" s="315">
        <f t="shared" si="2"/>
        <v>39.333333333333329</v>
      </c>
      <c r="J9" s="315">
        <f t="shared" si="2"/>
        <v>22.333333333333343</v>
      </c>
      <c r="K9" s="315">
        <f t="shared" si="2"/>
        <v>31.333333333333314</v>
      </c>
      <c r="L9" s="315">
        <f t="shared" si="2"/>
        <v>40.000000000000028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>IF(B4&gt;0,AVERAGE(B4:B6)-B7,"TBD")</f>
        <v>-80.25</v>
      </c>
      <c r="C10" s="315">
        <f t="shared" ref="C10:L10" si="3">IF(C4&gt;0,AVERAGE(C4:C6)-C7,"TBD")</f>
        <v>-106.29999999999998</v>
      </c>
      <c r="D10" s="315">
        <f t="shared" si="3"/>
        <v>-127.35</v>
      </c>
      <c r="E10" s="315">
        <f t="shared" si="3"/>
        <v>-144.06666666666666</v>
      </c>
      <c r="F10" s="315">
        <f t="shared" si="3"/>
        <v>-165.11666666666667</v>
      </c>
      <c r="G10" s="315">
        <f t="shared" si="3"/>
        <v>-182.83333333333331</v>
      </c>
      <c r="H10" s="315">
        <f t="shared" si="3"/>
        <v>-181.88333333333333</v>
      </c>
      <c r="I10" s="315">
        <f t="shared" si="3"/>
        <v>-198.65000000000003</v>
      </c>
      <c r="J10" s="315">
        <f t="shared" si="3"/>
        <v>-241.76666666666668</v>
      </c>
      <c r="K10" s="315">
        <f t="shared" si="3"/>
        <v>-331.98333333333335</v>
      </c>
      <c r="L10" s="315">
        <f t="shared" si="3"/>
        <v>-675.33333333333326</v>
      </c>
      <c r="P10" s="314"/>
      <c r="Q10" s="316"/>
      <c r="R10" s="316"/>
      <c r="S10" s="316"/>
      <c r="T10" s="316"/>
    </row>
    <row r="11" spans="1:27">
      <c r="A11" s="257"/>
      <c r="M11" t="s">
        <v>137</v>
      </c>
    </row>
    <row r="12" spans="1:27">
      <c r="A12" s="257"/>
      <c r="M12" s="126">
        <v>0.85</v>
      </c>
    </row>
    <row r="13" spans="1:27">
      <c r="A13" s="257"/>
    </row>
  </sheetData>
  <mergeCells count="5">
    <mergeCell ref="B1:L1"/>
    <mergeCell ref="Q1:T1"/>
    <mergeCell ref="U1:AA1"/>
    <mergeCell ref="A8:B8"/>
    <mergeCell ref="A9:B9"/>
  </mergeCells>
  <conditionalFormatting sqref="B10:L10">
    <cfRule type="cellIs" priority="1" stopIfTrue="1" operator="equal">
      <formula>"TBD"</formula>
    </cfRule>
    <cfRule type="cellIs" dxfId="91" priority="2" operator="greaterThan">
      <formula>0</formula>
    </cfRule>
    <cfRule type="cellIs" dxfId="90" priority="3" operator="lessThan">
      <formula>0</formula>
    </cfRule>
  </conditionalFormatting>
  <conditionalFormatting sqref="N4:N6">
    <cfRule type="cellIs" dxfId="89" priority="4" stopIfTrue="1" operator="equal">
      <formula>""</formula>
    </cfRule>
    <cfRule type="cellIs" dxfId="88" priority="5" operator="equal">
      <formula>"Too early"</formula>
    </cfRule>
    <cfRule type="cellIs" dxfId="87" priority="6" operator="lessThanOrEqual">
      <formula>0.7</formula>
    </cfRule>
    <cfRule type="cellIs" dxfId="86" priority="7" operator="between">
      <formula>0.85</formula>
      <formula>0.7</formula>
    </cfRule>
    <cfRule type="cellIs" dxfId="85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F45D-7497-4694-AE77-281F96865DF3}">
  <dimension ref="A1:O10"/>
  <sheetViews>
    <sheetView workbookViewId="0">
      <selection activeCell="F2" sqref="F2"/>
    </sheetView>
  </sheetViews>
  <sheetFormatPr defaultColWidth="8.85546875" defaultRowHeight="15"/>
  <cols>
    <col min="1" max="1" width="19.42578125" customWidth="1"/>
  </cols>
  <sheetData>
    <row r="1" spans="1:15">
      <c r="A1" t="s">
        <v>15</v>
      </c>
      <c r="B1" s="315">
        <v>3</v>
      </c>
      <c r="C1" s="315">
        <v>2</v>
      </c>
      <c r="D1" s="315">
        <v>1</v>
      </c>
      <c r="E1" s="315">
        <v>0</v>
      </c>
      <c r="K1" s="314"/>
      <c r="L1" s="542" t="s">
        <v>15</v>
      </c>
      <c r="M1" s="543"/>
      <c r="N1" s="543"/>
      <c r="O1" s="543"/>
    </row>
    <row r="2" spans="1:15" ht="63.95">
      <c r="A2" t="s">
        <v>153</v>
      </c>
      <c r="B2" s="257">
        <v>45880</v>
      </c>
      <c r="C2" s="257">
        <v>45887</v>
      </c>
      <c r="D2" s="257">
        <v>45894</v>
      </c>
      <c r="E2" s="257">
        <v>45901</v>
      </c>
      <c r="F2" s="229" t="s">
        <v>128</v>
      </c>
      <c r="K2" s="27" t="s">
        <v>130</v>
      </c>
      <c r="L2" s="26" t="s">
        <v>65</v>
      </c>
      <c r="M2" s="26" t="s">
        <v>60</v>
      </c>
      <c r="N2" s="26" t="s">
        <v>55</v>
      </c>
      <c r="O2" s="26" t="s">
        <v>135</v>
      </c>
    </row>
    <row r="3" spans="1:15">
      <c r="A3" s="257" t="s">
        <v>154</v>
      </c>
      <c r="B3">
        <v>754</v>
      </c>
      <c r="C3">
        <v>915</v>
      </c>
      <c r="D3">
        <v>1013</v>
      </c>
      <c r="E3">
        <v>1096</v>
      </c>
      <c r="G3">
        <f>E3/F5</f>
        <v>0.84178187403993854</v>
      </c>
      <c r="K3" s="27"/>
      <c r="L3" s="25"/>
      <c r="M3" s="25"/>
      <c r="N3" s="25"/>
      <c r="O3" s="25"/>
    </row>
    <row r="4" spans="1:15">
      <c r="A4" s="257" t="s">
        <v>155</v>
      </c>
      <c r="B4">
        <v>651</v>
      </c>
      <c r="C4">
        <v>826</v>
      </c>
      <c r="D4">
        <v>926</v>
      </c>
      <c r="E4">
        <v>1027</v>
      </c>
      <c r="G4">
        <f>E4/F5</f>
        <v>0.78878648233486948</v>
      </c>
      <c r="K4" s="27">
        <v>0</v>
      </c>
      <c r="L4" s="316">
        <v>1</v>
      </c>
      <c r="M4" s="316">
        <v>1</v>
      </c>
      <c r="N4" s="316">
        <v>1</v>
      </c>
      <c r="O4" s="316">
        <v>1</v>
      </c>
    </row>
    <row r="5" spans="1:15">
      <c r="A5" s="257" t="s">
        <v>134</v>
      </c>
      <c r="B5" s="315">
        <f>$F$5*$G$5*N7</f>
        <v>431.61300000000006</v>
      </c>
      <c r="C5" s="315">
        <f>$F$5*$G$5*N6</f>
        <v>509.08200000000005</v>
      </c>
      <c r="D5" s="315">
        <f>$F$5*$G$5*N5</f>
        <v>652.95299999999997</v>
      </c>
      <c r="E5" s="315">
        <f>$F$5*$G$5*N4</f>
        <v>1106.7</v>
      </c>
      <c r="F5">
        <v>1302</v>
      </c>
      <c r="G5" s="126">
        <v>0.85</v>
      </c>
      <c r="K5" s="314">
        <v>1</v>
      </c>
      <c r="L5" s="316">
        <v>0.59</v>
      </c>
      <c r="M5" s="316">
        <v>0.59</v>
      </c>
      <c r="N5" s="316">
        <v>0.59</v>
      </c>
      <c r="O5" s="316">
        <v>0.59</v>
      </c>
    </row>
    <row r="6" spans="1:15">
      <c r="A6" s="257"/>
      <c r="K6" s="314">
        <v>2</v>
      </c>
      <c r="L6" s="317">
        <v>0.46</v>
      </c>
      <c r="M6" s="317">
        <v>0.46</v>
      </c>
      <c r="N6" s="317">
        <v>0.46</v>
      </c>
      <c r="O6" s="317">
        <v>0.46</v>
      </c>
    </row>
    <row r="7" spans="1:15">
      <c r="A7" s="257"/>
      <c r="K7" s="314">
        <v>3</v>
      </c>
      <c r="L7" s="316">
        <v>0.39</v>
      </c>
      <c r="M7" s="316">
        <v>0.39</v>
      </c>
      <c r="N7" s="316">
        <v>0.39</v>
      </c>
      <c r="O7" s="316">
        <v>0.39</v>
      </c>
    </row>
    <row r="8" spans="1:15">
      <c r="A8" s="257"/>
      <c r="K8" s="27">
        <v>4</v>
      </c>
      <c r="L8" s="316">
        <v>0.33</v>
      </c>
      <c r="M8" s="316">
        <v>0.33</v>
      </c>
      <c r="N8" s="316">
        <v>0.33</v>
      </c>
      <c r="O8" s="316">
        <v>0.33</v>
      </c>
    </row>
    <row r="9" spans="1:15">
      <c r="A9" s="257"/>
      <c r="K9" s="25">
        <v>5</v>
      </c>
      <c r="L9" s="316">
        <v>0.3</v>
      </c>
      <c r="M9" s="316">
        <v>0.3</v>
      </c>
      <c r="N9" s="316">
        <v>0.3</v>
      </c>
      <c r="O9" s="316">
        <v>0.3</v>
      </c>
    </row>
    <row r="10" spans="1:15">
      <c r="K10" s="25">
        <v>6</v>
      </c>
      <c r="L10" s="316">
        <v>0.27</v>
      </c>
      <c r="M10" s="316">
        <v>0.27</v>
      </c>
      <c r="N10" s="316">
        <v>0.27</v>
      </c>
      <c r="O10" s="316">
        <v>0.27</v>
      </c>
    </row>
  </sheetData>
  <mergeCells count="1">
    <mergeCell ref="L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AC7C-A032-47B5-AD21-3F21FDBBACEB}">
  <dimension ref="A1:AA13"/>
  <sheetViews>
    <sheetView workbookViewId="0">
      <selection activeCell="L4" sqref="L4:L6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156</v>
      </c>
      <c r="B3" s="257">
        <v>45887</v>
      </c>
      <c r="C3" s="257">
        <v>45894</v>
      </c>
      <c r="D3" s="257">
        <v>45901</v>
      </c>
      <c r="E3" s="257">
        <v>45908</v>
      </c>
      <c r="F3" s="257">
        <v>45915</v>
      </c>
      <c r="G3" s="257">
        <v>45922</v>
      </c>
      <c r="H3" s="257">
        <v>45929</v>
      </c>
      <c r="I3" s="257">
        <v>45936</v>
      </c>
      <c r="J3" s="257">
        <v>45943</v>
      </c>
      <c r="K3" s="257">
        <v>45950</v>
      </c>
      <c r="L3" s="257">
        <v>45957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157</v>
      </c>
      <c r="B4" s="349">
        <v>87</v>
      </c>
      <c r="C4" s="349">
        <v>93</v>
      </c>
      <c r="D4" s="350">
        <v>102</v>
      </c>
      <c r="E4" s="350">
        <v>106</v>
      </c>
      <c r="F4" s="350">
        <v>111</v>
      </c>
      <c r="G4" s="350">
        <v>124</v>
      </c>
      <c r="H4" s="350">
        <v>144</v>
      </c>
      <c r="I4" s="350">
        <v>183</v>
      </c>
      <c r="J4" s="350">
        <v>234</v>
      </c>
      <c r="K4" s="350">
        <v>291</v>
      </c>
      <c r="L4" s="350"/>
      <c r="M4">
        <f>'Performances by Week'!AG26-'Performances by Week'!AC26</f>
        <v>1142</v>
      </c>
      <c r="N4" s="29">
        <f>'Performances by Week'!O26</f>
        <v>0.44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158</v>
      </c>
      <c r="B5" s="349">
        <v>192</v>
      </c>
      <c r="C5" s="349">
        <v>209</v>
      </c>
      <c r="D5" s="350">
        <v>256</v>
      </c>
      <c r="E5" s="350">
        <v>310</v>
      </c>
      <c r="F5" s="350">
        <v>340</v>
      </c>
      <c r="G5" s="350">
        <v>382</v>
      </c>
      <c r="H5" s="350">
        <v>446</v>
      </c>
      <c r="I5" s="350">
        <v>527</v>
      </c>
      <c r="J5" s="350">
        <v>648</v>
      </c>
      <c r="K5" s="350">
        <v>715</v>
      </c>
      <c r="L5" s="350"/>
      <c r="M5">
        <f>'Performances by Week'!AG27-'Performances by Week'!AC27</f>
        <v>943</v>
      </c>
      <c r="N5" s="29">
        <f>'Performances by Week'!O27</f>
        <v>0.90965517241379312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159</v>
      </c>
      <c r="B6" s="349">
        <v>138</v>
      </c>
      <c r="C6" s="349">
        <v>165</v>
      </c>
      <c r="D6" s="350">
        <v>187</v>
      </c>
      <c r="E6" s="350">
        <v>219</v>
      </c>
      <c r="F6" s="350">
        <v>232</v>
      </c>
      <c r="G6" s="350">
        <v>267</v>
      </c>
      <c r="H6" s="350">
        <v>309</v>
      </c>
      <c r="I6" s="350">
        <v>358</v>
      </c>
      <c r="J6" s="350">
        <v>432</v>
      </c>
      <c r="K6" s="350">
        <v>516</v>
      </c>
      <c r="L6" s="350"/>
      <c r="M6">
        <f>'Performances by Week'!AG28-'Performances by Week'!AC28</f>
        <v>914</v>
      </c>
      <c r="N6" s="29">
        <f>'Performances by Week'!O28</f>
        <v>0.77862068965517239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48">
        <f t="shared" ref="B7:L7" si="0">$M$7*$M$12*Q4</f>
        <v>127.45749999999998</v>
      </c>
      <c r="C7" s="348">
        <f t="shared" si="0"/>
        <v>152.94899999999998</v>
      </c>
      <c r="D7" s="348">
        <f t="shared" si="0"/>
        <v>178.44049999999999</v>
      </c>
      <c r="E7" s="348">
        <f t="shared" si="0"/>
        <v>203.93199999999996</v>
      </c>
      <c r="F7" s="348">
        <f t="shared" si="0"/>
        <v>229.42349999999999</v>
      </c>
      <c r="G7" s="348">
        <f t="shared" si="0"/>
        <v>254.91499999999996</v>
      </c>
      <c r="H7" s="348">
        <f t="shared" si="0"/>
        <v>280.40649999999999</v>
      </c>
      <c r="I7" s="348">
        <f t="shared" si="0"/>
        <v>331.3895</v>
      </c>
      <c r="J7" s="348">
        <f t="shared" si="0"/>
        <v>390.86966666666666</v>
      </c>
      <c r="K7" s="348">
        <f t="shared" si="0"/>
        <v>501.33283333333327</v>
      </c>
      <c r="L7" s="348">
        <f t="shared" si="0"/>
        <v>849.71666666666658</v>
      </c>
      <c r="M7" s="315">
        <f>AVERAGE(M4:M6)</f>
        <v>999.66666666666663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541" t="s">
        <v>146</v>
      </c>
      <c r="B8" s="541"/>
      <c r="C8" s="315">
        <f>C7-B7</f>
        <v>25.491500000000002</v>
      </c>
      <c r="D8" s="315">
        <f t="shared" ref="D8:L8" si="1">D7-C7</f>
        <v>25.491500000000002</v>
      </c>
      <c r="E8" s="315">
        <f t="shared" si="1"/>
        <v>25.491499999999974</v>
      </c>
      <c r="F8" s="315">
        <f t="shared" si="1"/>
        <v>25.49150000000003</v>
      </c>
      <c r="G8" s="315">
        <f t="shared" si="1"/>
        <v>25.491499999999974</v>
      </c>
      <c r="H8" s="315">
        <f t="shared" si="1"/>
        <v>25.49150000000003</v>
      </c>
      <c r="I8" s="315">
        <f t="shared" si="1"/>
        <v>50.983000000000004</v>
      </c>
      <c r="J8" s="315">
        <f t="shared" si="1"/>
        <v>59.480166666666662</v>
      </c>
      <c r="K8" s="315">
        <f t="shared" si="1"/>
        <v>110.46316666666661</v>
      </c>
      <c r="L8" s="315">
        <f t="shared" si="1"/>
        <v>348.38383333333331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 t="shared" ref="C9" si="2">IF(C4="","Too early",AVERAGE(C4:C7)-AVERAGE(B4:B7))</f>
        <v>18.872874999999993</v>
      </c>
      <c r="D9" s="315">
        <f>IF(D4="","Too early",AVERAGE(D4:D7)-AVERAGE(C4:C7))</f>
        <v>25.872874999999993</v>
      </c>
      <c r="E9" s="315">
        <f t="shared" ref="E9:L9" si="3">IF(E4="","Too early",AVERAGE(E4:E7)-AVERAGE(D4:D7))</f>
        <v>28.872875000000022</v>
      </c>
      <c r="F9" s="315">
        <f t="shared" si="3"/>
        <v>18.372874999999993</v>
      </c>
      <c r="G9" s="315">
        <f t="shared" si="3"/>
        <v>28.872874999999993</v>
      </c>
      <c r="H9" s="315">
        <f t="shared" si="3"/>
        <v>37.872875000000022</v>
      </c>
      <c r="I9" s="315">
        <f t="shared" si="3"/>
        <v>54.995749999999987</v>
      </c>
      <c r="J9" s="315">
        <f t="shared" si="3"/>
        <v>76.37004166666668</v>
      </c>
      <c r="K9" s="315">
        <f t="shared" si="3"/>
        <v>79.615791666666667</v>
      </c>
      <c r="L9" s="315" t="str">
        <f t="shared" si="3"/>
        <v>Too early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>IF(B4&gt;0,AVERAGE(B4:B6)-B7,"TBD")</f>
        <v>11.542500000000018</v>
      </c>
      <c r="C10" s="315">
        <f t="shared" ref="C10:L10" si="4">IF(C4&gt;0,AVERAGE(C4:C6)-C7,"TBD")</f>
        <v>2.7176666666666733</v>
      </c>
      <c r="D10" s="315">
        <f t="shared" si="4"/>
        <v>3.2261666666666713</v>
      </c>
      <c r="E10" s="315">
        <f t="shared" si="4"/>
        <v>7.7346666666666977</v>
      </c>
      <c r="F10" s="315">
        <f t="shared" si="4"/>
        <v>-1.7568333333333328</v>
      </c>
      <c r="G10" s="315">
        <f t="shared" si="4"/>
        <v>2.751666666666722</v>
      </c>
      <c r="H10" s="315">
        <f t="shared" si="4"/>
        <v>19.260166666666692</v>
      </c>
      <c r="I10" s="315">
        <f t="shared" si="4"/>
        <v>24.610500000000002</v>
      </c>
      <c r="J10" s="315">
        <f t="shared" si="4"/>
        <v>47.13033333333334</v>
      </c>
      <c r="K10" s="315">
        <f t="shared" si="4"/>
        <v>6.000500000000045</v>
      </c>
      <c r="L10" s="315" t="str">
        <f t="shared" si="4"/>
        <v>TBD</v>
      </c>
      <c r="P10" s="314"/>
      <c r="Q10" s="316"/>
      <c r="R10" s="316"/>
      <c r="S10" s="316"/>
      <c r="T10" s="316"/>
    </row>
    <row r="11" spans="1:27">
      <c r="A11" s="257"/>
      <c r="B11" s="257"/>
      <c r="C11" s="257"/>
      <c r="M11" t="s">
        <v>137</v>
      </c>
      <c r="P11" s="27"/>
      <c r="Q11" s="316"/>
      <c r="R11" s="316"/>
      <c r="S11" s="316"/>
      <c r="T11" s="316"/>
    </row>
    <row r="12" spans="1:27">
      <c r="A12" s="257"/>
      <c r="B12" s="257"/>
      <c r="C12" s="257"/>
      <c r="M12" s="126">
        <v>0.85</v>
      </c>
      <c r="P12" s="25"/>
      <c r="Q12" s="316"/>
      <c r="R12" s="316"/>
      <c r="S12" s="316"/>
      <c r="T12" s="316"/>
    </row>
    <row r="13" spans="1:27">
      <c r="A13" s="257"/>
      <c r="B13" s="257"/>
      <c r="C13" s="257"/>
      <c r="P13" s="25"/>
      <c r="Q13" s="316"/>
      <c r="R13" s="316"/>
      <c r="S13" s="316"/>
      <c r="T13" s="316"/>
    </row>
  </sheetData>
  <mergeCells count="5">
    <mergeCell ref="D1:L1"/>
    <mergeCell ref="Q2:T2"/>
    <mergeCell ref="U2:AA2"/>
    <mergeCell ref="A8:B8"/>
    <mergeCell ref="A9:B9"/>
  </mergeCells>
  <conditionalFormatting sqref="B10:L10">
    <cfRule type="cellIs" priority="1" stopIfTrue="1" operator="equal">
      <formula>"TBD"</formula>
    </cfRule>
    <cfRule type="cellIs" dxfId="84" priority="2" operator="greaterThan">
      <formula>0</formula>
    </cfRule>
    <cfRule type="cellIs" dxfId="83" priority="3" operator="lessThan">
      <formula>0</formula>
    </cfRule>
  </conditionalFormatting>
  <conditionalFormatting sqref="N4">
    <cfRule type="cellIs" dxfId="82" priority="6" operator="lessThanOrEqual">
      <formula>0.4</formula>
    </cfRule>
    <cfRule type="cellIs" dxfId="81" priority="7" operator="between">
      <formula>0.5</formula>
      <formula>0.4</formula>
    </cfRule>
    <cfRule type="cellIs" dxfId="80" priority="8" operator="greaterThanOrEqual">
      <formula>0.5</formula>
    </cfRule>
  </conditionalFormatting>
  <conditionalFormatting sqref="N4:N6">
    <cfRule type="cellIs" dxfId="79" priority="4" stopIfTrue="1" operator="equal">
      <formula>""</formula>
    </cfRule>
    <cfRule type="cellIs" dxfId="78" priority="5" operator="equal">
      <formula>"Too early"</formula>
    </cfRule>
  </conditionalFormatting>
  <conditionalFormatting sqref="N5:N6">
    <cfRule type="cellIs" dxfId="77" priority="11" operator="lessThanOrEqual">
      <formula>0.7</formula>
    </cfRule>
    <cfRule type="cellIs" dxfId="76" priority="12" operator="between">
      <formula>0.85</formula>
      <formula>0.7</formula>
    </cfRule>
    <cfRule type="cellIs" dxfId="75" priority="13" operator="greaterThanOrEqual">
      <formula>0.85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0321-A39C-437D-B864-229553EFA9F6}">
  <dimension ref="A1:AA13"/>
  <sheetViews>
    <sheetView tabSelected="1" workbookViewId="0">
      <selection activeCell="I4" sqref="I4:I6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160</v>
      </c>
      <c r="B3" s="257">
        <v>45908</v>
      </c>
      <c r="C3" s="257">
        <v>45915</v>
      </c>
      <c r="D3" s="257">
        <v>45922</v>
      </c>
      <c r="E3" s="257">
        <v>45929</v>
      </c>
      <c r="F3" s="257">
        <v>45936</v>
      </c>
      <c r="G3" s="257">
        <v>45943</v>
      </c>
      <c r="H3" s="257">
        <v>45950</v>
      </c>
      <c r="I3" s="257">
        <v>45957</v>
      </c>
      <c r="J3" s="257">
        <v>45964</v>
      </c>
      <c r="K3" s="257">
        <v>45971</v>
      </c>
      <c r="L3" s="257">
        <v>45978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161</v>
      </c>
      <c r="B4" s="528">
        <v>55</v>
      </c>
      <c r="C4" s="528">
        <v>60</v>
      </c>
      <c r="D4" s="529">
        <v>66</v>
      </c>
      <c r="E4" s="529">
        <v>75</v>
      </c>
      <c r="F4" s="529">
        <v>83</v>
      </c>
      <c r="G4" s="529">
        <v>113</v>
      </c>
      <c r="H4" s="529">
        <v>138</v>
      </c>
      <c r="I4" s="529">
        <v>180</v>
      </c>
      <c r="J4" s="529"/>
      <c r="K4" s="529"/>
      <c r="L4" s="529"/>
      <c r="M4">
        <f>'[1]Performances by Week'!AC31-'[1]Performances by Week'!Y31</f>
        <v>1210</v>
      </c>
      <c r="N4" s="29">
        <f>'[1]Performances by Week'!K31</f>
        <v>0.39622641509433965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162</v>
      </c>
      <c r="B5" s="528">
        <v>95</v>
      </c>
      <c r="C5" s="528">
        <v>110</v>
      </c>
      <c r="D5" s="529">
        <v>114</v>
      </c>
      <c r="E5" s="529">
        <v>143</v>
      </c>
      <c r="F5" s="529">
        <v>160</v>
      </c>
      <c r="G5" s="529">
        <v>189</v>
      </c>
      <c r="H5" s="529">
        <v>209</v>
      </c>
      <c r="I5" s="529">
        <v>235</v>
      </c>
      <c r="J5" s="529"/>
      <c r="K5" s="529"/>
      <c r="L5" s="529"/>
      <c r="M5">
        <f>'[1]Performances by Week'!AC32-'[1]Performances by Week'!Y32</f>
        <v>999</v>
      </c>
      <c r="N5" s="29">
        <f>'[1]Performances by Week'!K32</f>
        <v>0.67987421383647795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163</v>
      </c>
      <c r="B6" s="528">
        <v>75</v>
      </c>
      <c r="C6" s="528">
        <v>81</v>
      </c>
      <c r="D6" s="529">
        <v>83</v>
      </c>
      <c r="E6" s="529">
        <v>93</v>
      </c>
      <c r="F6" s="529">
        <v>99</v>
      </c>
      <c r="G6" s="529">
        <v>141</v>
      </c>
      <c r="H6" s="529">
        <v>167</v>
      </c>
      <c r="I6" s="529">
        <v>188</v>
      </c>
      <c r="J6" s="529"/>
      <c r="K6" s="529"/>
      <c r="L6" s="529"/>
      <c r="M6">
        <f>'[1]Performances by Week'!AC33-'[1]Performances by Week'!Y33</f>
        <v>955</v>
      </c>
      <c r="N6" s="29">
        <f>'[1]Performances by Week'!K33</f>
        <v>0.59433962264150941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48">
        <f t="shared" ref="B7:L7" si="0">$M$7*$M$12*Q4</f>
        <v>134.47</v>
      </c>
      <c r="C7" s="348">
        <f t="shared" si="0"/>
        <v>161.364</v>
      </c>
      <c r="D7" s="348">
        <f t="shared" si="0"/>
        <v>188.25800000000001</v>
      </c>
      <c r="E7" s="348">
        <f t="shared" si="0"/>
        <v>215.15199999999999</v>
      </c>
      <c r="F7" s="348">
        <f t="shared" si="0"/>
        <v>242.04600000000002</v>
      </c>
      <c r="G7" s="348">
        <f t="shared" si="0"/>
        <v>268.94</v>
      </c>
      <c r="H7" s="348">
        <f t="shared" si="0"/>
        <v>295.834</v>
      </c>
      <c r="I7" s="348">
        <f t="shared" si="0"/>
        <v>349.62200000000001</v>
      </c>
      <c r="J7" s="348">
        <f t="shared" si="0"/>
        <v>412.37466666666671</v>
      </c>
      <c r="K7" s="348">
        <f t="shared" si="0"/>
        <v>528.91533333333336</v>
      </c>
      <c r="L7" s="348">
        <f t="shared" si="0"/>
        <v>896.4666666666667</v>
      </c>
      <c r="M7" s="315">
        <f>AVERAGE(M4:M6)</f>
        <v>1054.6666666666667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541" t="s">
        <v>146</v>
      </c>
      <c r="B8" s="541"/>
      <c r="C8" s="315">
        <f>C7-B7</f>
        <v>26.894000000000005</v>
      </c>
      <c r="D8" s="315">
        <f t="shared" ref="D8:L8" si="1">D7-C7</f>
        <v>26.894000000000005</v>
      </c>
      <c r="E8" s="315">
        <f t="shared" si="1"/>
        <v>26.893999999999977</v>
      </c>
      <c r="F8" s="315">
        <f t="shared" si="1"/>
        <v>26.894000000000034</v>
      </c>
      <c r="G8" s="315">
        <f t="shared" si="1"/>
        <v>26.893999999999977</v>
      </c>
      <c r="H8" s="315">
        <f t="shared" si="1"/>
        <v>26.894000000000005</v>
      </c>
      <c r="I8" s="315">
        <f t="shared" si="1"/>
        <v>53.788000000000011</v>
      </c>
      <c r="J8" s="315">
        <f t="shared" si="1"/>
        <v>62.752666666666698</v>
      </c>
      <c r="K8" s="315">
        <f t="shared" si="1"/>
        <v>116.54066666666665</v>
      </c>
      <c r="L8" s="315">
        <f t="shared" si="1"/>
        <v>367.55133333333333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 t="shared" ref="C9" si="2">IF(C4="","Too early",AVERAGE(C4:C7)-AVERAGE(B4:B7))</f>
        <v>13.223500000000001</v>
      </c>
      <c r="D9" s="315">
        <f>IF(D4="","Too early",AVERAGE(D4:D7)-AVERAGE(C4:C7))</f>
        <v>9.7235000000000014</v>
      </c>
      <c r="E9" s="315">
        <f t="shared" ref="E9:L9" si="3">IF(E4="","Too early",AVERAGE(E4:E7)-AVERAGE(D4:D7))</f>
        <v>18.723500000000001</v>
      </c>
      <c r="F9" s="315">
        <f t="shared" si="3"/>
        <v>14.473500000000001</v>
      </c>
      <c r="G9" s="315">
        <f t="shared" si="3"/>
        <v>31.973500000000001</v>
      </c>
      <c r="H9" s="315">
        <f t="shared" si="3"/>
        <v>24.473500000000001</v>
      </c>
      <c r="I9" s="315">
        <f t="shared" si="3"/>
        <v>35.697000000000003</v>
      </c>
      <c r="J9" s="315" t="str">
        <f t="shared" si="3"/>
        <v>Too early</v>
      </c>
      <c r="K9" s="315" t="str">
        <f t="shared" si="3"/>
        <v>Too early</v>
      </c>
      <c r="L9" s="315" t="str">
        <f t="shared" si="3"/>
        <v>Too early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 t="shared" ref="B10:D10" si="4">IF(B4&gt;0,AVERAGE(B4:B6)-B7,"TBD")</f>
        <v>-59.47</v>
      </c>
      <c r="C10" s="315">
        <f t="shared" si="4"/>
        <v>-77.697333333333333</v>
      </c>
      <c r="D10" s="315">
        <f t="shared" si="4"/>
        <v>-100.59133333333334</v>
      </c>
      <c r="E10" s="315">
        <f>IF(E4&gt;0,AVERAGE(E4:E6)-E7,"TBD")</f>
        <v>-111.48533333333332</v>
      </c>
      <c r="F10" s="315">
        <f t="shared" ref="F10:L10" si="5">IF(F4&gt;0,AVERAGE(F4:F6)-F7,"TBD")</f>
        <v>-128.04600000000002</v>
      </c>
      <c r="G10" s="315">
        <f t="shared" si="5"/>
        <v>-121.27333333333334</v>
      </c>
      <c r="H10" s="315">
        <f t="shared" si="5"/>
        <v>-124.50066666666666</v>
      </c>
      <c r="I10" s="315">
        <f t="shared" si="5"/>
        <v>-148.62200000000001</v>
      </c>
      <c r="J10" s="315" t="str">
        <f t="shared" si="5"/>
        <v>TBD</v>
      </c>
      <c r="K10" s="315" t="str">
        <f t="shared" si="5"/>
        <v>TBD</v>
      </c>
      <c r="L10" s="315" t="str">
        <f t="shared" si="5"/>
        <v>TBD</v>
      </c>
      <c r="P10" s="314"/>
      <c r="Q10" s="316"/>
      <c r="R10" s="316"/>
      <c r="S10" s="316"/>
      <c r="T10" s="316"/>
    </row>
    <row r="11" spans="1:27">
      <c r="A11" s="257"/>
      <c r="B11" s="257"/>
      <c r="C11" s="257"/>
      <c r="M11" t="s">
        <v>137</v>
      </c>
      <c r="P11" s="27"/>
      <c r="Q11" s="316"/>
      <c r="R11" s="316"/>
      <c r="S11" s="316"/>
      <c r="T11" s="316"/>
    </row>
    <row r="12" spans="1:27">
      <c r="A12" s="257"/>
      <c r="B12" s="257"/>
      <c r="C12" s="257"/>
      <c r="M12" s="126">
        <v>0.85</v>
      </c>
      <c r="P12" s="25"/>
      <c r="Q12" s="316"/>
      <c r="R12" s="316"/>
      <c r="S12" s="316"/>
      <c r="T12" s="316"/>
    </row>
    <row r="13" spans="1:27">
      <c r="A13" s="257"/>
      <c r="B13" s="257"/>
      <c r="C13" s="257"/>
      <c r="P13" s="25"/>
      <c r="Q13" s="316"/>
      <c r="R13" s="316"/>
      <c r="S13" s="316"/>
      <c r="T13" s="316"/>
    </row>
  </sheetData>
  <mergeCells count="5">
    <mergeCell ref="D1:L1"/>
    <mergeCell ref="Q2:T2"/>
    <mergeCell ref="U2:AA2"/>
    <mergeCell ref="A8:B8"/>
    <mergeCell ref="A9:B9"/>
  </mergeCells>
  <conditionalFormatting sqref="B10:L10">
    <cfRule type="cellIs" priority="1" stopIfTrue="1" operator="equal">
      <formula>"TBD"</formula>
    </cfRule>
    <cfRule type="cellIs" dxfId="74" priority="2" operator="greaterThan">
      <formula>0</formula>
    </cfRule>
    <cfRule type="cellIs" dxfId="73" priority="3" operator="lessThan">
      <formula>0</formula>
    </cfRule>
  </conditionalFormatting>
  <conditionalFormatting sqref="N4:N6">
    <cfRule type="cellIs" dxfId="72" priority="4" stopIfTrue="1" operator="equal">
      <formula>""</formula>
    </cfRule>
    <cfRule type="cellIs" dxfId="71" priority="5" operator="equal">
      <formula>"Too early"</formula>
    </cfRule>
    <cfRule type="cellIs" dxfId="70" priority="6" operator="lessThanOrEqual">
      <formula>0.7</formula>
    </cfRule>
    <cfRule type="cellIs" dxfId="69" priority="7" operator="between">
      <formula>0.85</formula>
      <formula>0.7</formula>
    </cfRule>
    <cfRule type="cellIs" dxfId="68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B132-6A49-4E47-B471-7658149C44FA}">
  <dimension ref="A1:AA50"/>
  <sheetViews>
    <sheetView workbookViewId="0">
      <selection activeCell="H4" sqref="H4:H7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4" max="14" width="0" hidden="1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164</v>
      </c>
      <c r="B3" s="257">
        <v>45915</v>
      </c>
      <c r="C3" s="257">
        <v>45922</v>
      </c>
      <c r="D3" s="257">
        <v>45929</v>
      </c>
      <c r="E3" s="257">
        <v>45936</v>
      </c>
      <c r="F3" s="257">
        <v>45943</v>
      </c>
      <c r="G3" s="257">
        <v>45950</v>
      </c>
      <c r="H3" s="257">
        <v>45957</v>
      </c>
      <c r="I3" s="257">
        <v>45964</v>
      </c>
      <c r="J3" s="257">
        <v>45971</v>
      </c>
      <c r="K3" s="257">
        <v>45978</v>
      </c>
      <c r="L3" s="257">
        <v>45985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165</v>
      </c>
      <c r="B4" s="349">
        <v>306</v>
      </c>
      <c r="C4" s="349">
        <v>323</v>
      </c>
      <c r="D4" s="350">
        <v>339</v>
      </c>
      <c r="E4" s="350">
        <v>420</v>
      </c>
      <c r="F4" s="350">
        <v>464</v>
      </c>
      <c r="G4" s="350">
        <v>622</v>
      </c>
      <c r="H4" s="350">
        <v>750</v>
      </c>
      <c r="I4" s="350"/>
      <c r="J4" s="350"/>
      <c r="K4" s="350"/>
      <c r="L4" s="350"/>
      <c r="M4">
        <f>'Performances by Week'!AG34-'Performances by Week'!AC34</f>
        <v>1302</v>
      </c>
      <c r="N4" s="29">
        <f>'Performances by Week'!O34</f>
        <v>1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166</v>
      </c>
      <c r="B5" s="349">
        <v>370</v>
      </c>
      <c r="C5" s="349">
        <v>374</v>
      </c>
      <c r="D5" s="350">
        <v>414</v>
      </c>
      <c r="E5" s="350">
        <v>462</v>
      </c>
      <c r="F5" s="350">
        <v>532</v>
      </c>
      <c r="G5" s="350">
        <v>598</v>
      </c>
      <c r="H5" s="350">
        <v>741</v>
      </c>
      <c r="I5" s="350"/>
      <c r="J5" s="350"/>
      <c r="K5" s="350"/>
      <c r="L5" s="350"/>
      <c r="M5">
        <f>'Performances by Week'!AG35-'Performances by Week'!AC35</f>
        <v>1302</v>
      </c>
      <c r="N5" s="29">
        <f>'Performances by Week'!O35</f>
        <v>1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167</v>
      </c>
      <c r="B6" s="349">
        <v>283</v>
      </c>
      <c r="C6" s="349">
        <v>303</v>
      </c>
      <c r="D6" s="350">
        <v>329</v>
      </c>
      <c r="E6" s="350">
        <v>381</v>
      </c>
      <c r="F6" s="350">
        <v>416</v>
      </c>
      <c r="G6" s="350">
        <v>483</v>
      </c>
      <c r="H6" s="350">
        <v>647</v>
      </c>
      <c r="I6" s="350"/>
      <c r="J6" s="350"/>
      <c r="K6" s="350"/>
      <c r="L6" s="350"/>
      <c r="M6">
        <f>'Performances by Week'!AG36-'Performances by Week'!AC36</f>
        <v>1302</v>
      </c>
      <c r="N6" s="29">
        <f>'Performances by Week'!O36</f>
        <v>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168</v>
      </c>
      <c r="B7" s="349">
        <v>483</v>
      </c>
      <c r="C7" s="349">
        <v>514</v>
      </c>
      <c r="D7" s="350">
        <v>542</v>
      </c>
      <c r="E7" s="350">
        <v>594</v>
      </c>
      <c r="F7" s="350">
        <v>651</v>
      </c>
      <c r="G7" s="350">
        <v>745</v>
      </c>
      <c r="H7" s="350">
        <v>867</v>
      </c>
      <c r="I7" s="350"/>
      <c r="J7" s="350"/>
      <c r="K7" s="350"/>
      <c r="L7" s="350"/>
      <c r="M7">
        <f>'Performances by Week'!AG37-'Performances by Week'!AC37</f>
        <v>1302</v>
      </c>
      <c r="N7" s="29">
        <f>'Performances by Week'!O37</f>
        <v>1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257" t="s">
        <v>134</v>
      </c>
      <c r="B8" s="315">
        <f t="shared" ref="B8:L8" si="0">$M$8*$M$15*Q6</f>
        <v>166.005</v>
      </c>
      <c r="C8" s="315">
        <f t="shared" si="0"/>
        <v>199.20599999999999</v>
      </c>
      <c r="D8" s="315">
        <f t="shared" si="0"/>
        <v>232.40700000000001</v>
      </c>
      <c r="E8" s="315">
        <f t="shared" si="0"/>
        <v>265.608</v>
      </c>
      <c r="F8" s="315">
        <f t="shared" si="0"/>
        <v>298.80900000000003</v>
      </c>
      <c r="G8" s="315">
        <f t="shared" si="0"/>
        <v>332.01</v>
      </c>
      <c r="H8" s="315">
        <f t="shared" si="0"/>
        <v>365.21100000000001</v>
      </c>
      <c r="I8" s="315">
        <f t="shared" si="0"/>
        <v>431.61300000000006</v>
      </c>
      <c r="J8" s="315">
        <f t="shared" si="0"/>
        <v>509.08200000000005</v>
      </c>
      <c r="K8" s="315">
        <f t="shared" si="0"/>
        <v>652.95299999999997</v>
      </c>
      <c r="L8" s="315">
        <f t="shared" si="0"/>
        <v>1106.7</v>
      </c>
      <c r="M8" s="315">
        <f>AVERAGE(M4:M7)</f>
        <v>1302</v>
      </c>
      <c r="P8" s="314"/>
      <c r="Q8" s="316"/>
      <c r="R8" s="316"/>
      <c r="S8" s="316"/>
      <c r="T8" s="316"/>
    </row>
    <row r="9" spans="1:27">
      <c r="A9" s="257" t="s">
        <v>169</v>
      </c>
      <c r="B9" s="348">
        <f>AVERAGE(B34:B37)</f>
        <v>480.5</v>
      </c>
      <c r="C9" s="348">
        <f t="shared" ref="C9:L9" si="1">AVERAGE(C34:C37)</f>
        <v>532.5</v>
      </c>
      <c r="D9" s="348">
        <f t="shared" si="1"/>
        <v>570.5</v>
      </c>
      <c r="E9" s="348">
        <f t="shared" si="1"/>
        <v>607.5</v>
      </c>
      <c r="F9" s="348">
        <f t="shared" si="1"/>
        <v>645.75</v>
      </c>
      <c r="G9" s="348">
        <f t="shared" si="1"/>
        <v>720</v>
      </c>
      <c r="H9" s="348">
        <f t="shared" si="1"/>
        <v>836.5</v>
      </c>
      <c r="I9" s="348">
        <f t="shared" si="1"/>
        <v>956.75</v>
      </c>
      <c r="J9" s="348">
        <f t="shared" si="1"/>
        <v>1099.75</v>
      </c>
      <c r="K9" s="348">
        <f t="shared" si="1"/>
        <v>1227.25</v>
      </c>
      <c r="L9" s="348">
        <f t="shared" si="1"/>
        <v>1293.25</v>
      </c>
      <c r="M9" s="458" t="s">
        <v>170</v>
      </c>
      <c r="P9" s="314"/>
      <c r="Q9" s="316"/>
      <c r="R9" s="316"/>
      <c r="S9" s="316"/>
      <c r="T9" s="316"/>
    </row>
    <row r="10" spans="1:27">
      <c r="A10" s="257" t="s">
        <v>171</v>
      </c>
      <c r="B10" s="315">
        <f>AVERAGE(B45:B46)</f>
        <v>943.5</v>
      </c>
      <c r="C10" s="315">
        <f t="shared" ref="C10:L10" si="2">AVERAGE(C45:C46)</f>
        <v>992.5</v>
      </c>
      <c r="D10" s="315">
        <f t="shared" si="2"/>
        <v>1056</v>
      </c>
      <c r="E10" s="315">
        <f t="shared" si="2"/>
        <v>1088</v>
      </c>
      <c r="F10" s="315">
        <f t="shared" si="2"/>
        <v>1158</v>
      </c>
      <c r="G10" s="315">
        <f t="shared" si="2"/>
        <v>1220</v>
      </c>
      <c r="H10" s="315">
        <f t="shared" si="2"/>
        <v>1242.5</v>
      </c>
      <c r="I10" s="315">
        <f t="shared" si="2"/>
        <v>1259.5</v>
      </c>
      <c r="J10" s="315">
        <f t="shared" si="2"/>
        <v>1266.5</v>
      </c>
      <c r="K10" s="315">
        <f t="shared" si="2"/>
        <v>1274.5</v>
      </c>
      <c r="L10" s="315">
        <f t="shared" si="2"/>
        <v>1288.5</v>
      </c>
      <c r="M10" s="315"/>
      <c r="P10" s="314"/>
      <c r="Q10" s="316"/>
      <c r="R10" s="316"/>
      <c r="S10" s="316"/>
      <c r="T10" s="316"/>
    </row>
    <row r="11" spans="1:27">
      <c r="A11" s="541" t="s">
        <v>146</v>
      </c>
      <c r="B11" s="541"/>
      <c r="C11" s="315">
        <f t="shared" ref="C11:L11" si="3">C9-B9</f>
        <v>52</v>
      </c>
      <c r="D11" s="315">
        <f t="shared" si="3"/>
        <v>38</v>
      </c>
      <c r="E11" s="315">
        <f t="shared" si="3"/>
        <v>37</v>
      </c>
      <c r="F11" s="315">
        <f t="shared" si="3"/>
        <v>38.25</v>
      </c>
      <c r="G11" s="315">
        <f t="shared" si="3"/>
        <v>74.25</v>
      </c>
      <c r="H11" s="315">
        <f t="shared" si="3"/>
        <v>116.5</v>
      </c>
      <c r="I11" s="315">
        <f t="shared" si="3"/>
        <v>120.25</v>
      </c>
      <c r="J11" s="315">
        <f t="shared" si="3"/>
        <v>143</v>
      </c>
      <c r="K11" s="315">
        <f t="shared" si="3"/>
        <v>127.5</v>
      </c>
      <c r="L11" s="315">
        <f t="shared" si="3"/>
        <v>66</v>
      </c>
      <c r="M11" s="315"/>
      <c r="P11" s="25"/>
      <c r="Q11" s="456"/>
      <c r="R11" s="456"/>
      <c r="S11" s="456"/>
      <c r="T11" s="456"/>
      <c r="U11" s="316"/>
      <c r="V11" s="316"/>
      <c r="W11" s="316"/>
      <c r="X11" s="316"/>
      <c r="Y11" s="316"/>
      <c r="Z11" s="316"/>
      <c r="AA11" s="316"/>
    </row>
    <row r="12" spans="1:27">
      <c r="A12" s="541" t="s">
        <v>147</v>
      </c>
      <c r="B12" s="541"/>
      <c r="C12" s="315">
        <f>IF(C4="","Too early",AVERAGE(C4:C7)-AVERAGE(B4:B7))</f>
        <v>18</v>
      </c>
      <c r="D12" s="315">
        <f>IF(D4="","Too early",AVERAGE(D4:D7)-AVERAGE(C4:C7))</f>
        <v>27.5</v>
      </c>
      <c r="E12" s="315">
        <f t="shared" ref="E12:L12" si="4">IF(E4="","Too early",AVERAGE(E4:E7)-AVERAGE(D4:D7))</f>
        <v>58.25</v>
      </c>
      <c r="F12" s="315">
        <f t="shared" si="4"/>
        <v>51.5</v>
      </c>
      <c r="G12" s="315">
        <f t="shared" si="4"/>
        <v>96.25</v>
      </c>
      <c r="H12" s="315">
        <f t="shared" si="4"/>
        <v>139.25</v>
      </c>
      <c r="I12" s="315" t="str">
        <f t="shared" si="4"/>
        <v>Too early</v>
      </c>
      <c r="J12" s="315" t="str">
        <f t="shared" si="4"/>
        <v>Too early</v>
      </c>
      <c r="K12" s="315" t="str">
        <f t="shared" si="4"/>
        <v>Too early</v>
      </c>
      <c r="L12" s="315" t="str">
        <f t="shared" si="4"/>
        <v>Too early</v>
      </c>
      <c r="M12" s="315"/>
      <c r="P12" s="25"/>
      <c r="Q12" s="456"/>
      <c r="R12" s="456"/>
      <c r="S12" s="456"/>
      <c r="T12" s="456"/>
      <c r="U12" s="316"/>
      <c r="V12" s="316"/>
      <c r="W12" s="316"/>
      <c r="X12" s="316"/>
      <c r="Y12" s="316"/>
      <c r="Z12" s="316"/>
      <c r="AA12" s="316"/>
    </row>
    <row r="13" spans="1:27">
      <c r="A13" s="257" t="s">
        <v>136</v>
      </c>
      <c r="B13" s="315">
        <f>IF(B5&gt;0,AVERAGE(B4:B7)-B9,"TBD")</f>
        <v>-120</v>
      </c>
      <c r="C13" s="315">
        <f t="shared" ref="C13:L13" si="5">IF(C5&gt;0,AVERAGE(C4:C7)-C9,"TBD")</f>
        <v>-154</v>
      </c>
      <c r="D13" s="315">
        <f t="shared" si="5"/>
        <v>-164.5</v>
      </c>
      <c r="E13" s="315">
        <f t="shared" si="5"/>
        <v>-143.25</v>
      </c>
      <c r="F13" s="315">
        <f t="shared" si="5"/>
        <v>-130</v>
      </c>
      <c r="G13" s="315">
        <f t="shared" si="5"/>
        <v>-108</v>
      </c>
      <c r="H13" s="315">
        <f t="shared" si="5"/>
        <v>-85.25</v>
      </c>
      <c r="I13" s="315" t="str">
        <f t="shared" si="5"/>
        <v>TBD</v>
      </c>
      <c r="J13" s="315" t="str">
        <f t="shared" si="5"/>
        <v>TBD</v>
      </c>
      <c r="K13" s="315" t="str">
        <f t="shared" si="5"/>
        <v>TBD</v>
      </c>
      <c r="L13" s="315" t="str">
        <f t="shared" si="5"/>
        <v>TBD</v>
      </c>
      <c r="P13" s="314"/>
      <c r="Q13" s="316"/>
      <c r="R13" s="316"/>
      <c r="S13" s="316"/>
      <c r="T13" s="316"/>
    </row>
    <row r="14" spans="1:27">
      <c r="A14" s="257"/>
      <c r="B14" s="257"/>
      <c r="C14" s="257"/>
      <c r="M14" t="s">
        <v>137</v>
      </c>
      <c r="P14" s="25"/>
      <c r="Q14" s="316"/>
      <c r="R14" s="316"/>
      <c r="S14" s="316"/>
      <c r="T14" s="316"/>
    </row>
    <row r="15" spans="1:27">
      <c r="A15" s="257"/>
      <c r="B15" s="257"/>
      <c r="C15" s="257"/>
      <c r="M15" s="126">
        <v>0.85</v>
      </c>
      <c r="P15" s="25"/>
      <c r="Q15" s="316"/>
      <c r="R15" s="316"/>
      <c r="S15" s="316"/>
      <c r="T15" s="316"/>
    </row>
    <row r="16" spans="1:27">
      <c r="A16" s="257"/>
      <c r="B16" s="257"/>
      <c r="C16" s="257"/>
    </row>
    <row r="32" spans="1:14">
      <c r="A32" s="334" t="s">
        <v>15</v>
      </c>
      <c r="B32" s="334">
        <v>10</v>
      </c>
      <c r="C32" s="334">
        <v>9</v>
      </c>
      <c r="D32" s="334">
        <v>8</v>
      </c>
      <c r="E32" s="334">
        <v>7</v>
      </c>
      <c r="F32" s="334">
        <v>6</v>
      </c>
      <c r="G32" s="334">
        <v>5</v>
      </c>
      <c r="H32" s="334">
        <v>4</v>
      </c>
      <c r="I32" s="334">
        <v>3</v>
      </c>
      <c r="J32" s="334">
        <v>2</v>
      </c>
      <c r="K32" s="334">
        <v>1</v>
      </c>
      <c r="L32" s="334">
        <v>0</v>
      </c>
      <c r="M32" s="334"/>
      <c r="N32" s="335"/>
    </row>
    <row r="33" spans="1:14" ht="90.95">
      <c r="A33" s="336" t="s">
        <v>172</v>
      </c>
      <c r="B33" s="337">
        <v>45551</v>
      </c>
      <c r="C33" s="337">
        <v>45558</v>
      </c>
      <c r="D33" s="337">
        <v>45565</v>
      </c>
      <c r="E33" s="337">
        <v>45572</v>
      </c>
      <c r="F33" s="337">
        <v>45579</v>
      </c>
      <c r="G33" s="337">
        <v>45586</v>
      </c>
      <c r="H33" s="337">
        <v>45593</v>
      </c>
      <c r="I33" s="337">
        <v>45600</v>
      </c>
      <c r="J33" s="337">
        <v>45607</v>
      </c>
      <c r="K33" s="337">
        <v>45614</v>
      </c>
      <c r="L33" s="337">
        <v>45621</v>
      </c>
      <c r="M33" s="338" t="s">
        <v>128</v>
      </c>
      <c r="N33" s="339" t="s">
        <v>173</v>
      </c>
    </row>
    <row r="34" spans="1:14">
      <c r="A34" s="334" t="s">
        <v>174</v>
      </c>
      <c r="B34" s="340">
        <v>395</v>
      </c>
      <c r="C34" s="340">
        <v>422</v>
      </c>
      <c r="D34" s="340">
        <v>451</v>
      </c>
      <c r="E34" s="340">
        <v>488</v>
      </c>
      <c r="F34" s="340">
        <v>518</v>
      </c>
      <c r="G34" s="340">
        <v>591</v>
      </c>
      <c r="H34" s="340">
        <v>667</v>
      </c>
      <c r="I34" s="340">
        <v>754</v>
      </c>
      <c r="J34" s="340">
        <v>913</v>
      </c>
      <c r="K34" s="340">
        <v>1165</v>
      </c>
      <c r="L34" s="340">
        <v>1276</v>
      </c>
      <c r="M34" s="340">
        <v>1342</v>
      </c>
      <c r="N34" s="341">
        <v>0.96640000000000004</v>
      </c>
    </row>
    <row r="35" spans="1:14">
      <c r="A35" s="334" t="s">
        <v>175</v>
      </c>
      <c r="B35" s="340">
        <v>604</v>
      </c>
      <c r="C35" s="340">
        <v>669</v>
      </c>
      <c r="D35" s="340">
        <v>701</v>
      </c>
      <c r="E35" s="340">
        <v>735</v>
      </c>
      <c r="F35" s="340">
        <v>763</v>
      </c>
      <c r="G35" s="340">
        <v>832</v>
      </c>
      <c r="H35" s="340">
        <v>955</v>
      </c>
      <c r="I35" s="340">
        <v>1040</v>
      </c>
      <c r="J35" s="340">
        <v>1229</v>
      </c>
      <c r="K35" s="340">
        <v>1269</v>
      </c>
      <c r="L35" s="340">
        <v>1301</v>
      </c>
      <c r="M35" s="340">
        <v>1342</v>
      </c>
      <c r="N35" s="341">
        <v>0.98729999999999996</v>
      </c>
    </row>
    <row r="36" spans="1:14">
      <c r="A36" s="334" t="s">
        <v>176</v>
      </c>
      <c r="B36" s="340">
        <v>302</v>
      </c>
      <c r="C36" s="340">
        <v>353</v>
      </c>
      <c r="D36" s="340">
        <v>391</v>
      </c>
      <c r="E36" s="340">
        <v>422</v>
      </c>
      <c r="F36" s="340">
        <v>454</v>
      </c>
      <c r="G36" s="340">
        <v>500</v>
      </c>
      <c r="H36" s="340">
        <v>657</v>
      </c>
      <c r="I36" s="340">
        <v>813</v>
      </c>
      <c r="J36" s="340">
        <v>988</v>
      </c>
      <c r="K36" s="340">
        <v>1200</v>
      </c>
      <c r="L36" s="340">
        <v>1301</v>
      </c>
      <c r="M36" s="340">
        <v>1342</v>
      </c>
      <c r="N36" s="341">
        <v>0.98360000000000003</v>
      </c>
    </row>
    <row r="37" spans="1:14">
      <c r="A37" s="334" t="s">
        <v>177</v>
      </c>
      <c r="B37" s="340">
        <v>621</v>
      </c>
      <c r="C37" s="340">
        <v>686</v>
      </c>
      <c r="D37" s="340">
        <v>739</v>
      </c>
      <c r="E37" s="340">
        <v>785</v>
      </c>
      <c r="F37" s="340">
        <v>848</v>
      </c>
      <c r="G37" s="340">
        <v>957</v>
      </c>
      <c r="H37" s="340">
        <v>1067</v>
      </c>
      <c r="I37" s="340">
        <v>1220</v>
      </c>
      <c r="J37" s="340">
        <v>1269</v>
      </c>
      <c r="K37" s="340">
        <v>1275</v>
      </c>
      <c r="L37" s="340">
        <v>1295</v>
      </c>
      <c r="M37" s="340">
        <v>1342</v>
      </c>
      <c r="N37" s="341">
        <v>0.98129999999999995</v>
      </c>
    </row>
    <row r="38" spans="1:14">
      <c r="A38" s="334" t="s">
        <v>134</v>
      </c>
      <c r="B38" s="340">
        <f t="shared" ref="B38:K38" si="6">AVERAGE(B34:B37)</f>
        <v>480.5</v>
      </c>
      <c r="C38" s="340">
        <f t="shared" si="6"/>
        <v>532.5</v>
      </c>
      <c r="D38" s="340">
        <f t="shared" si="6"/>
        <v>570.5</v>
      </c>
      <c r="E38" s="340">
        <f t="shared" si="6"/>
        <v>607.5</v>
      </c>
      <c r="F38" s="340">
        <f t="shared" si="6"/>
        <v>645.75</v>
      </c>
      <c r="G38" s="340">
        <f t="shared" si="6"/>
        <v>720</v>
      </c>
      <c r="H38" s="340">
        <f t="shared" si="6"/>
        <v>836.5</v>
      </c>
      <c r="I38" s="340">
        <f t="shared" si="6"/>
        <v>956.75</v>
      </c>
      <c r="J38" s="340">
        <f t="shared" si="6"/>
        <v>1099.75</v>
      </c>
      <c r="K38" s="340">
        <f t="shared" si="6"/>
        <v>1227.25</v>
      </c>
      <c r="L38" s="340">
        <f>AVERAGE(L34:L37)</f>
        <v>1293.25</v>
      </c>
      <c r="M38" s="334"/>
      <c r="N38" s="335"/>
    </row>
    <row r="39" spans="1:14">
      <c r="A39" s="334" t="s">
        <v>136</v>
      </c>
      <c r="B39" s="342">
        <f t="shared" ref="B39:K39" si="7">B38/$L$38</f>
        <v>0.37154455828339455</v>
      </c>
      <c r="C39" s="342">
        <f t="shared" si="7"/>
        <v>0.41175333462207614</v>
      </c>
      <c r="D39" s="342">
        <f t="shared" si="7"/>
        <v>0.44113667117726657</v>
      </c>
      <c r="E39" s="342">
        <f t="shared" si="7"/>
        <v>0.46974676203363619</v>
      </c>
      <c r="F39" s="342">
        <f t="shared" si="7"/>
        <v>0.49932341001353181</v>
      </c>
      <c r="G39" s="342">
        <f t="shared" si="7"/>
        <v>0.55673690315097624</v>
      </c>
      <c r="H39" s="342">
        <f t="shared" si="7"/>
        <v>0.64682002706359942</v>
      </c>
      <c r="I39" s="342">
        <f t="shared" si="7"/>
        <v>0.73980282234680073</v>
      </c>
      <c r="J39" s="342">
        <f t="shared" si="7"/>
        <v>0.85037695727817519</v>
      </c>
      <c r="K39" s="342">
        <f t="shared" si="7"/>
        <v>0.94896578387782715</v>
      </c>
      <c r="L39" s="342">
        <f>L38/$L38</f>
        <v>1</v>
      </c>
      <c r="M39" s="334"/>
      <c r="N39" s="335"/>
    </row>
    <row r="40" spans="1:14">
      <c r="A40" s="334"/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  <c r="M40" s="334" t="s">
        <v>137</v>
      </c>
      <c r="N40" s="335"/>
    </row>
    <row r="41" spans="1:14">
      <c r="A41" s="334"/>
      <c r="B41" s="334"/>
      <c r="C41" s="334"/>
      <c r="D41" s="334"/>
      <c r="E41" s="334"/>
      <c r="F41" s="334"/>
      <c r="G41" s="334"/>
      <c r="H41" s="334"/>
      <c r="I41" s="334"/>
      <c r="J41" s="334"/>
      <c r="K41" s="334"/>
      <c r="L41" s="334"/>
      <c r="M41" s="342">
        <v>0.85</v>
      </c>
      <c r="N41" s="335"/>
    </row>
    <row r="43" spans="1:14">
      <c r="A43" s="334" t="s">
        <v>15</v>
      </c>
      <c r="B43" s="334">
        <v>10</v>
      </c>
      <c r="C43" s="334">
        <v>9</v>
      </c>
      <c r="D43" s="334">
        <v>8</v>
      </c>
      <c r="E43" s="334">
        <v>7</v>
      </c>
      <c r="F43" s="334">
        <v>6</v>
      </c>
      <c r="G43" s="334">
        <v>5</v>
      </c>
      <c r="H43" s="334">
        <v>4</v>
      </c>
      <c r="I43" s="334">
        <v>3</v>
      </c>
      <c r="J43" s="334">
        <v>2</v>
      </c>
      <c r="K43" s="334">
        <v>1</v>
      </c>
      <c r="L43" s="334">
        <v>0</v>
      </c>
      <c r="M43" s="334"/>
      <c r="N43" s="343"/>
    </row>
    <row r="44" spans="1:14" ht="90.95">
      <c r="A44" s="336" t="s">
        <v>178</v>
      </c>
      <c r="B44" s="337">
        <v>45194</v>
      </c>
      <c r="C44" s="337">
        <v>45201</v>
      </c>
      <c r="D44" s="337">
        <v>45208</v>
      </c>
      <c r="E44" s="337">
        <v>45215</v>
      </c>
      <c r="F44" s="337">
        <v>45222</v>
      </c>
      <c r="G44" s="337">
        <v>45229</v>
      </c>
      <c r="H44" s="337">
        <v>45236</v>
      </c>
      <c r="I44" s="337">
        <v>45243</v>
      </c>
      <c r="J44" s="337">
        <v>45250</v>
      </c>
      <c r="K44" s="337">
        <v>45988</v>
      </c>
      <c r="L44" s="337">
        <v>45995</v>
      </c>
      <c r="M44" s="338" t="s">
        <v>128</v>
      </c>
      <c r="N44" s="344" t="s">
        <v>173</v>
      </c>
    </row>
    <row r="45" spans="1:14">
      <c r="A45" s="334" t="s">
        <v>179</v>
      </c>
      <c r="B45" s="340">
        <v>844</v>
      </c>
      <c r="C45" s="340">
        <v>894</v>
      </c>
      <c r="D45" s="340">
        <v>980</v>
      </c>
      <c r="E45" s="340">
        <v>1010</v>
      </c>
      <c r="F45" s="340">
        <v>1104</v>
      </c>
      <c r="G45" s="340">
        <v>1218</v>
      </c>
      <c r="H45" s="340">
        <v>1244</v>
      </c>
      <c r="I45" s="340">
        <v>1264</v>
      </c>
      <c r="J45" s="340">
        <v>1268</v>
      </c>
      <c r="K45" s="340">
        <v>1279</v>
      </c>
      <c r="L45" s="340">
        <v>1289</v>
      </c>
      <c r="M45" s="345">
        <v>1334</v>
      </c>
      <c r="N45" s="346">
        <v>0.99619999999999997</v>
      </c>
    </row>
    <row r="46" spans="1:14">
      <c r="A46" s="334" t="s">
        <v>180</v>
      </c>
      <c r="B46" s="340">
        <v>1043</v>
      </c>
      <c r="C46" s="340">
        <v>1091</v>
      </c>
      <c r="D46" s="340">
        <v>1132</v>
      </c>
      <c r="E46" s="340">
        <v>1166</v>
      </c>
      <c r="F46" s="340">
        <v>1212</v>
      </c>
      <c r="G46" s="340">
        <v>1222</v>
      </c>
      <c r="H46" s="340">
        <v>1241</v>
      </c>
      <c r="I46" s="340">
        <v>1255</v>
      </c>
      <c r="J46" s="340">
        <v>1265</v>
      </c>
      <c r="K46" s="340">
        <v>1270</v>
      </c>
      <c r="L46" s="340">
        <v>1288</v>
      </c>
      <c r="M46" s="340">
        <v>1334</v>
      </c>
      <c r="N46" s="341">
        <v>0.97899999999999998</v>
      </c>
    </row>
    <row r="47" spans="1:14">
      <c r="A47" s="334" t="s">
        <v>134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34"/>
      <c r="N47" s="343"/>
    </row>
    <row r="48" spans="1:14">
      <c r="A48" s="334" t="s">
        <v>136</v>
      </c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34"/>
      <c r="N48" s="343"/>
    </row>
    <row r="49" spans="1:14">
      <c r="A49" s="334"/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 t="s">
        <v>137</v>
      </c>
      <c r="N49" s="343"/>
    </row>
    <row r="50" spans="1:14">
      <c r="A50" s="334"/>
      <c r="B50" s="334"/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42">
        <v>0.85</v>
      </c>
      <c r="N50" s="343"/>
    </row>
  </sheetData>
  <mergeCells count="5">
    <mergeCell ref="D1:L1"/>
    <mergeCell ref="Q2:T2"/>
    <mergeCell ref="U2:AA2"/>
    <mergeCell ref="A11:B11"/>
    <mergeCell ref="A12:B12"/>
  </mergeCells>
  <conditionalFormatting sqref="B13:L13">
    <cfRule type="cellIs" priority="1" stopIfTrue="1" operator="equal">
      <formula>"TBD"</formula>
    </cfRule>
    <cfRule type="cellIs" dxfId="67" priority="2" operator="greaterThan">
      <formula>0</formula>
    </cfRule>
    <cfRule type="cellIs" dxfId="66" priority="3" operator="lessThan">
      <formula>0</formula>
    </cfRule>
  </conditionalFormatting>
  <conditionalFormatting sqref="N4:N7">
    <cfRule type="cellIs" dxfId="65" priority="4" stopIfTrue="1" operator="equal">
      <formula>""</formula>
    </cfRule>
    <cfRule type="cellIs" dxfId="64" priority="5" operator="equal">
      <formula>"Too early"</formula>
    </cfRule>
    <cfRule type="cellIs" dxfId="63" priority="6" operator="lessThanOrEqual">
      <formula>0.7</formula>
    </cfRule>
    <cfRule type="cellIs" dxfId="62" priority="7" operator="between">
      <formula>0.85</formula>
      <formula>0.7</formula>
    </cfRule>
    <cfRule type="cellIs" dxfId="61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C1D8-D0D6-4A32-92FE-8E19825D8BFB}">
  <dimension ref="A1:AA48"/>
  <sheetViews>
    <sheetView workbookViewId="0">
      <selection activeCell="I6" sqref="I6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4" max="14" width="0" hidden="1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181</v>
      </c>
      <c r="B3" s="257">
        <v>45922</v>
      </c>
      <c r="C3" s="257">
        <v>45929</v>
      </c>
      <c r="D3" s="257">
        <v>45936</v>
      </c>
      <c r="E3" s="257">
        <v>45943</v>
      </c>
      <c r="F3" s="257">
        <v>45950</v>
      </c>
      <c r="G3" s="257">
        <v>45957</v>
      </c>
      <c r="H3" s="257">
        <v>45964</v>
      </c>
      <c r="I3" s="257">
        <v>45971</v>
      </c>
      <c r="J3" s="257">
        <v>45978</v>
      </c>
      <c r="K3" s="257">
        <v>45985</v>
      </c>
      <c r="L3" s="257">
        <v>45992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182</v>
      </c>
      <c r="B4" s="349">
        <v>369</v>
      </c>
      <c r="C4" s="349">
        <v>395</v>
      </c>
      <c r="D4" s="350">
        <v>435</v>
      </c>
      <c r="E4" s="350">
        <v>491</v>
      </c>
      <c r="F4" s="350">
        <v>557</v>
      </c>
      <c r="G4" s="350">
        <v>630</v>
      </c>
      <c r="H4" s="350"/>
      <c r="I4" s="350"/>
      <c r="J4" s="350"/>
      <c r="K4" s="350"/>
      <c r="L4" s="350"/>
      <c r="M4">
        <f>'Performances by Week'!AG38-'Performances by Week'!AC38</f>
        <v>1444</v>
      </c>
      <c r="N4" s="29">
        <f>'Performances by Week'!O38</f>
        <v>1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183</v>
      </c>
      <c r="B5" s="349">
        <v>369</v>
      </c>
      <c r="C5" s="349">
        <v>386</v>
      </c>
      <c r="D5" s="350">
        <v>421</v>
      </c>
      <c r="E5" s="350">
        <v>483</v>
      </c>
      <c r="F5" s="350">
        <v>526</v>
      </c>
      <c r="G5" s="350">
        <v>665</v>
      </c>
      <c r="H5" s="350"/>
      <c r="I5" s="350"/>
      <c r="J5" s="350"/>
      <c r="K5" s="350"/>
      <c r="L5" s="350"/>
      <c r="M5">
        <f>'Performances by Week'!AG39-'Performances by Week'!AC39</f>
        <v>1444</v>
      </c>
      <c r="N5" s="29">
        <f>'Performances by Week'!O39</f>
        <v>1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184</v>
      </c>
      <c r="B6" s="349">
        <v>410</v>
      </c>
      <c r="C6" s="349">
        <v>443</v>
      </c>
      <c r="D6" s="350">
        <v>474</v>
      </c>
      <c r="E6" s="350">
        <v>573</v>
      </c>
      <c r="F6" s="350">
        <v>624</v>
      </c>
      <c r="G6" s="350">
        <v>709</v>
      </c>
      <c r="H6" s="350"/>
      <c r="I6" s="350"/>
      <c r="J6" s="350"/>
      <c r="K6" s="350"/>
      <c r="L6" s="350"/>
      <c r="M6">
        <f>'Performances by Week'!AG40-'Performances by Week'!AC40</f>
        <v>1444</v>
      </c>
      <c r="N6" s="29">
        <f>'Performances by Week'!O40</f>
        <v>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15">
        <f t="shared" ref="B7:L7" si="0">$M$7*$M$14*Q6</f>
        <v>184.10999999999999</v>
      </c>
      <c r="C7" s="315">
        <f t="shared" si="0"/>
        <v>220.93199999999996</v>
      </c>
      <c r="D7" s="315">
        <f t="shared" si="0"/>
        <v>257.75399999999996</v>
      </c>
      <c r="E7" s="315">
        <f t="shared" si="0"/>
        <v>294.57599999999996</v>
      </c>
      <c r="F7" s="315">
        <f t="shared" si="0"/>
        <v>331.39799999999997</v>
      </c>
      <c r="G7" s="315">
        <f t="shared" si="0"/>
        <v>368.21999999999997</v>
      </c>
      <c r="H7" s="315">
        <f t="shared" si="0"/>
        <v>405.04199999999997</v>
      </c>
      <c r="I7" s="315">
        <f t="shared" si="0"/>
        <v>478.68599999999998</v>
      </c>
      <c r="J7" s="315">
        <f t="shared" si="0"/>
        <v>564.60399999999993</v>
      </c>
      <c r="K7" s="315">
        <f t="shared" si="0"/>
        <v>724.16599999999983</v>
      </c>
      <c r="L7" s="315">
        <f t="shared" si="0"/>
        <v>1227.3999999999999</v>
      </c>
      <c r="M7" s="315">
        <f>AVERAGE(M4:M6)</f>
        <v>1444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457" t="s">
        <v>185</v>
      </c>
      <c r="B8" s="348">
        <f t="shared" ref="B8:L8" si="1">AVERAGE(B33:B35)</f>
        <v>300.33333333333331</v>
      </c>
      <c r="C8" s="348">
        <f t="shared" si="1"/>
        <v>322.33333333333331</v>
      </c>
      <c r="D8" s="348">
        <f t="shared" si="1"/>
        <v>360</v>
      </c>
      <c r="E8" s="348">
        <f t="shared" si="1"/>
        <v>395.66666666666669</v>
      </c>
      <c r="F8" s="348">
        <f t="shared" si="1"/>
        <v>431</v>
      </c>
      <c r="G8" s="348">
        <f t="shared" si="1"/>
        <v>486.33333333333331</v>
      </c>
      <c r="H8" s="348">
        <f t="shared" si="1"/>
        <v>568.33333333333337</v>
      </c>
      <c r="I8" s="348">
        <f t="shared" si="1"/>
        <v>667</v>
      </c>
      <c r="J8" s="348">
        <f t="shared" si="1"/>
        <v>790.33333333333337</v>
      </c>
      <c r="K8" s="348">
        <f t="shared" si="1"/>
        <v>954.33333333333337</v>
      </c>
      <c r="L8" s="348">
        <f t="shared" si="1"/>
        <v>1146</v>
      </c>
      <c r="M8" s="458" t="s">
        <v>170</v>
      </c>
      <c r="P8" s="314"/>
      <c r="Q8" s="316"/>
      <c r="R8" s="316"/>
      <c r="S8" s="316"/>
      <c r="T8" s="316"/>
    </row>
    <row r="9" spans="1:27">
      <c r="A9" s="257" t="s">
        <v>186</v>
      </c>
      <c r="B9" s="315">
        <f>AVERAGE(B43:B45)</f>
        <v>338</v>
      </c>
      <c r="C9" s="315">
        <f t="shared" ref="C9:L9" si="2">AVERAGE(C43:C45)</f>
        <v>372</v>
      </c>
      <c r="D9" s="315">
        <f t="shared" si="2"/>
        <v>411</v>
      </c>
      <c r="E9" s="315">
        <f t="shared" si="2"/>
        <v>447.33333333333331</v>
      </c>
      <c r="F9" s="315">
        <f t="shared" si="2"/>
        <v>494.66666666666669</v>
      </c>
      <c r="G9" s="315">
        <f t="shared" si="2"/>
        <v>557</v>
      </c>
      <c r="H9" s="315">
        <f t="shared" si="2"/>
        <v>657.66666666666663</v>
      </c>
      <c r="I9" s="315">
        <f t="shared" si="2"/>
        <v>738.33333333333337</v>
      </c>
      <c r="J9" s="315">
        <f t="shared" si="2"/>
        <v>909.66666666666663</v>
      </c>
      <c r="K9" s="315">
        <f t="shared" si="2"/>
        <v>1046.6666666666667</v>
      </c>
      <c r="L9" s="315">
        <f t="shared" si="2"/>
        <v>1180.3333333333333</v>
      </c>
      <c r="M9" s="315"/>
      <c r="P9" s="314"/>
      <c r="Q9" s="316"/>
      <c r="R9" s="316"/>
      <c r="S9" s="316"/>
      <c r="T9" s="316"/>
    </row>
    <row r="10" spans="1:27">
      <c r="A10" s="541" t="s">
        <v>146</v>
      </c>
      <c r="B10" s="541"/>
      <c r="C10" s="315">
        <f t="shared" ref="C10:L10" si="3">C8-B8</f>
        <v>22</v>
      </c>
      <c r="D10" s="315">
        <f t="shared" si="3"/>
        <v>37.666666666666686</v>
      </c>
      <c r="E10" s="315">
        <f t="shared" si="3"/>
        <v>35.666666666666686</v>
      </c>
      <c r="F10" s="315">
        <f t="shared" si="3"/>
        <v>35.333333333333314</v>
      </c>
      <c r="G10" s="315">
        <f t="shared" si="3"/>
        <v>55.333333333333314</v>
      </c>
      <c r="H10" s="315">
        <f t="shared" si="3"/>
        <v>82.000000000000057</v>
      </c>
      <c r="I10" s="315">
        <f t="shared" si="3"/>
        <v>98.666666666666629</v>
      </c>
      <c r="J10" s="315">
        <f t="shared" si="3"/>
        <v>123.33333333333337</v>
      </c>
      <c r="K10" s="315">
        <f t="shared" si="3"/>
        <v>164</v>
      </c>
      <c r="L10" s="315">
        <f t="shared" si="3"/>
        <v>191.66666666666663</v>
      </c>
      <c r="M10" s="315"/>
      <c r="P10" s="25"/>
      <c r="Q10" s="456"/>
      <c r="R10" s="456"/>
      <c r="S10" s="456"/>
      <c r="T10" s="456"/>
      <c r="U10" s="316"/>
      <c r="V10" s="316"/>
      <c r="W10" s="316"/>
      <c r="X10" s="316"/>
      <c r="Y10" s="316"/>
      <c r="Z10" s="316"/>
      <c r="AA10" s="316"/>
    </row>
    <row r="11" spans="1:27">
      <c r="A11" s="541" t="s">
        <v>147</v>
      </c>
      <c r="B11" s="541"/>
      <c r="C11" s="315">
        <f>AVERAGE(C4:C6)-AVERAGE(B4:B6)</f>
        <v>25.333333333333314</v>
      </c>
      <c r="D11" s="315">
        <f>IF(D4="","Too early",AVERAGE(D4:D6)-AVERAGE(C4:C6))</f>
        <v>35.333333333333314</v>
      </c>
      <c r="E11" s="315">
        <f t="shared" ref="E11:L11" si="4">IF(E4="","Too early",AVERAGE(E4:E6)-AVERAGE(D4:D6))</f>
        <v>72.333333333333314</v>
      </c>
      <c r="F11" s="315">
        <f t="shared" si="4"/>
        <v>53.333333333333371</v>
      </c>
      <c r="G11" s="315">
        <f t="shared" si="4"/>
        <v>99</v>
      </c>
      <c r="H11" s="315" t="str">
        <f t="shared" si="4"/>
        <v>Too early</v>
      </c>
      <c r="I11" s="315" t="str">
        <f t="shared" si="4"/>
        <v>Too early</v>
      </c>
      <c r="J11" s="315" t="str">
        <f t="shared" si="4"/>
        <v>Too early</v>
      </c>
      <c r="K11" s="315" t="str">
        <f t="shared" si="4"/>
        <v>Too early</v>
      </c>
      <c r="L11" s="315" t="str">
        <f t="shared" si="4"/>
        <v>Too early</v>
      </c>
      <c r="M11" s="315"/>
      <c r="P11" s="25"/>
      <c r="Q11" s="456"/>
      <c r="R11" s="456"/>
      <c r="S11" s="456"/>
      <c r="T11" s="456"/>
      <c r="U11" s="316"/>
      <c r="V11" s="316"/>
      <c r="W11" s="316"/>
      <c r="X11" s="316"/>
      <c r="Y11" s="316"/>
      <c r="Z11" s="316"/>
      <c r="AA11" s="316"/>
    </row>
    <row r="12" spans="1:27">
      <c r="A12" s="257" t="s">
        <v>136</v>
      </c>
      <c r="B12" s="315">
        <f t="shared" ref="B12:L12" si="5">IF(B4&gt;0,AVERAGE(B4:B6)-B8,"TBD")</f>
        <v>82.333333333333371</v>
      </c>
      <c r="C12" s="315">
        <f t="shared" si="5"/>
        <v>85.666666666666686</v>
      </c>
      <c r="D12" s="315">
        <f t="shared" si="5"/>
        <v>83.333333333333314</v>
      </c>
      <c r="E12" s="315">
        <f t="shared" si="5"/>
        <v>119.99999999999994</v>
      </c>
      <c r="F12" s="315">
        <f t="shared" si="5"/>
        <v>138</v>
      </c>
      <c r="G12" s="315">
        <f t="shared" si="5"/>
        <v>181.66666666666669</v>
      </c>
      <c r="H12" s="315" t="str">
        <f t="shared" si="5"/>
        <v>TBD</v>
      </c>
      <c r="I12" s="315" t="str">
        <f t="shared" si="5"/>
        <v>TBD</v>
      </c>
      <c r="J12" s="315" t="str">
        <f t="shared" si="5"/>
        <v>TBD</v>
      </c>
      <c r="K12" s="315" t="str">
        <f t="shared" si="5"/>
        <v>TBD</v>
      </c>
      <c r="L12" s="315" t="str">
        <f t="shared" si="5"/>
        <v>TBD</v>
      </c>
      <c r="P12" s="314"/>
      <c r="Q12" s="316"/>
      <c r="R12" s="316"/>
      <c r="S12" s="316"/>
      <c r="T12" s="316"/>
    </row>
    <row r="13" spans="1:27">
      <c r="A13" s="257"/>
      <c r="B13" s="257"/>
      <c r="C13" s="257"/>
      <c r="M13" t="s">
        <v>137</v>
      </c>
      <c r="P13" s="27"/>
      <c r="Q13" s="316"/>
      <c r="R13" s="316"/>
      <c r="S13" s="316"/>
      <c r="T13" s="316"/>
    </row>
    <row r="14" spans="1:27">
      <c r="A14" s="257"/>
      <c r="B14" s="257"/>
      <c r="C14" s="257"/>
      <c r="M14" s="126">
        <v>0.85</v>
      </c>
      <c r="P14" s="25"/>
      <c r="Q14" s="316"/>
      <c r="R14" s="316"/>
      <c r="S14" s="316"/>
      <c r="T14" s="316"/>
    </row>
    <row r="15" spans="1:27">
      <c r="A15" s="257"/>
      <c r="B15" s="257"/>
      <c r="C15" s="257"/>
      <c r="P15" s="25"/>
      <c r="Q15" s="316"/>
      <c r="R15" s="316"/>
      <c r="S15" s="316"/>
      <c r="T15" s="316"/>
    </row>
    <row r="31" spans="1:14">
      <c r="A31" s="334" t="s">
        <v>15</v>
      </c>
      <c r="B31" s="334">
        <v>10</v>
      </c>
      <c r="C31" s="334">
        <v>9</v>
      </c>
      <c r="D31" s="334">
        <v>8</v>
      </c>
      <c r="E31" s="334">
        <v>7</v>
      </c>
      <c r="F31" s="334">
        <v>6</v>
      </c>
      <c r="G31" s="334">
        <v>5</v>
      </c>
      <c r="H31" s="334">
        <v>4</v>
      </c>
      <c r="I31" s="334">
        <v>3</v>
      </c>
      <c r="J31" s="334">
        <v>2</v>
      </c>
      <c r="K31" s="334">
        <v>1</v>
      </c>
      <c r="L31" s="334">
        <v>0</v>
      </c>
      <c r="M31" s="334"/>
      <c r="N31" s="335"/>
    </row>
    <row r="32" spans="1:14" ht="90.95">
      <c r="A32" s="336" t="s">
        <v>187</v>
      </c>
      <c r="B32" s="337">
        <v>45558</v>
      </c>
      <c r="C32" s="337">
        <v>45565</v>
      </c>
      <c r="D32" s="337">
        <v>45572</v>
      </c>
      <c r="E32" s="337">
        <v>45579</v>
      </c>
      <c r="F32" s="337">
        <v>45586</v>
      </c>
      <c r="G32" s="337">
        <v>45593</v>
      </c>
      <c r="H32" s="337">
        <v>45600</v>
      </c>
      <c r="I32" s="337">
        <v>45607</v>
      </c>
      <c r="J32" s="337">
        <v>45614</v>
      </c>
      <c r="K32" s="337">
        <v>45621</v>
      </c>
      <c r="L32" s="337">
        <v>45628</v>
      </c>
      <c r="M32" s="338" t="s">
        <v>128</v>
      </c>
      <c r="N32" s="339" t="s">
        <v>173</v>
      </c>
    </row>
    <row r="33" spans="1:14">
      <c r="A33" s="334" t="s">
        <v>188</v>
      </c>
      <c r="B33" s="340">
        <v>269</v>
      </c>
      <c r="C33" s="340">
        <v>295</v>
      </c>
      <c r="D33" s="340">
        <v>314</v>
      </c>
      <c r="E33" s="340">
        <v>335</v>
      </c>
      <c r="F33" s="340">
        <v>385</v>
      </c>
      <c r="G33" s="340">
        <v>425</v>
      </c>
      <c r="H33" s="340">
        <v>522</v>
      </c>
      <c r="I33" s="340">
        <v>615</v>
      </c>
      <c r="J33" s="340">
        <v>771</v>
      </c>
      <c r="K33" s="340">
        <v>912</v>
      </c>
      <c r="L33" s="340">
        <v>1078</v>
      </c>
      <c r="M33" s="340">
        <v>1450</v>
      </c>
      <c r="N33" s="341">
        <v>0.88339999999999996</v>
      </c>
    </row>
    <row r="34" spans="1:14">
      <c r="A34" s="334" t="s">
        <v>189</v>
      </c>
      <c r="B34" s="340">
        <v>318</v>
      </c>
      <c r="C34" s="340">
        <v>333</v>
      </c>
      <c r="D34" s="340">
        <v>368</v>
      </c>
      <c r="E34" s="340">
        <v>392</v>
      </c>
      <c r="F34" s="340">
        <v>424</v>
      </c>
      <c r="G34" s="340">
        <v>483</v>
      </c>
      <c r="H34" s="340">
        <v>549</v>
      </c>
      <c r="I34" s="340">
        <v>660</v>
      </c>
      <c r="J34" s="340">
        <v>751</v>
      </c>
      <c r="K34" s="340">
        <v>918</v>
      </c>
      <c r="L34" s="340">
        <v>1127</v>
      </c>
      <c r="M34" s="340">
        <v>1450</v>
      </c>
      <c r="N34" s="341">
        <v>0.96619999999999995</v>
      </c>
    </row>
    <row r="35" spans="1:14">
      <c r="A35" s="334" t="s">
        <v>190</v>
      </c>
      <c r="B35" s="340">
        <v>314</v>
      </c>
      <c r="C35" s="340">
        <v>339</v>
      </c>
      <c r="D35" s="340">
        <v>398</v>
      </c>
      <c r="E35" s="340">
        <v>460</v>
      </c>
      <c r="F35" s="340">
        <v>484</v>
      </c>
      <c r="G35" s="340">
        <v>551</v>
      </c>
      <c r="H35" s="340">
        <v>634</v>
      </c>
      <c r="I35" s="340">
        <v>726</v>
      </c>
      <c r="J35" s="340">
        <v>849</v>
      </c>
      <c r="K35" s="340">
        <v>1033</v>
      </c>
      <c r="L35" s="340">
        <v>1233</v>
      </c>
      <c r="M35" s="340">
        <v>1450</v>
      </c>
      <c r="N35" s="341">
        <v>0.97509999999999997</v>
      </c>
    </row>
    <row r="36" spans="1:14">
      <c r="A36" s="334" t="s">
        <v>134</v>
      </c>
      <c r="B36" s="334"/>
      <c r="C36" s="334"/>
      <c r="D36" s="334"/>
      <c r="E36" s="334"/>
      <c r="F36" s="334"/>
      <c r="G36" s="334"/>
      <c r="H36" s="334"/>
      <c r="I36" s="334"/>
      <c r="J36" s="334"/>
      <c r="K36" s="334"/>
      <c r="L36" s="334"/>
      <c r="M36" s="334"/>
      <c r="N36" s="335"/>
    </row>
    <row r="37" spans="1:14">
      <c r="A37" s="334" t="s">
        <v>136</v>
      </c>
      <c r="B37" s="334"/>
      <c r="C37" s="334"/>
      <c r="D37" s="334"/>
      <c r="E37" s="334"/>
      <c r="F37" s="334"/>
      <c r="G37" s="334"/>
      <c r="H37" s="334"/>
      <c r="I37" s="334"/>
      <c r="J37" s="334"/>
      <c r="K37" s="334"/>
      <c r="L37" s="334"/>
      <c r="M37" s="334"/>
      <c r="N37" s="335"/>
    </row>
    <row r="38" spans="1:14">
      <c r="A38" s="334"/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 t="s">
        <v>137</v>
      </c>
      <c r="N38" s="335"/>
    </row>
    <row r="39" spans="1:14">
      <c r="A39" s="334"/>
      <c r="B39" s="334"/>
      <c r="C39" s="334"/>
      <c r="D39" s="334"/>
      <c r="E39" s="334"/>
      <c r="F39" s="334"/>
      <c r="G39" s="334"/>
      <c r="H39" s="334"/>
      <c r="I39" s="334"/>
      <c r="J39" s="334"/>
      <c r="K39" s="334"/>
      <c r="L39" s="334"/>
      <c r="M39" s="342">
        <v>0.85</v>
      </c>
      <c r="N39" s="335"/>
    </row>
    <row r="41" spans="1:14">
      <c r="A41" s="334" t="s">
        <v>15</v>
      </c>
      <c r="B41" s="334">
        <v>10</v>
      </c>
      <c r="C41" s="334">
        <v>9</v>
      </c>
      <c r="D41" s="334">
        <v>8</v>
      </c>
      <c r="E41" s="334">
        <v>7</v>
      </c>
      <c r="F41" s="334">
        <v>6</v>
      </c>
      <c r="G41" s="334">
        <v>5</v>
      </c>
      <c r="H41" s="334">
        <v>4</v>
      </c>
      <c r="I41" s="334">
        <v>3</v>
      </c>
      <c r="J41" s="334">
        <v>2</v>
      </c>
      <c r="K41" s="334">
        <v>1</v>
      </c>
      <c r="L41" s="334">
        <v>0</v>
      </c>
      <c r="M41" s="334"/>
      <c r="N41" s="343"/>
    </row>
    <row r="42" spans="1:14" ht="90.95">
      <c r="A42" s="336" t="s">
        <v>187</v>
      </c>
      <c r="B42" s="337">
        <v>45187</v>
      </c>
      <c r="C42" s="337">
        <v>45194</v>
      </c>
      <c r="D42" s="337">
        <v>45201</v>
      </c>
      <c r="E42" s="337">
        <v>45208</v>
      </c>
      <c r="F42" s="337">
        <v>45215</v>
      </c>
      <c r="G42" s="337">
        <v>45222</v>
      </c>
      <c r="H42" s="337">
        <v>45229</v>
      </c>
      <c r="I42" s="337">
        <v>45236</v>
      </c>
      <c r="J42" s="337">
        <v>45243</v>
      </c>
      <c r="K42" s="337">
        <v>45250</v>
      </c>
      <c r="L42" s="337">
        <v>45988</v>
      </c>
      <c r="M42" s="338" t="s">
        <v>128</v>
      </c>
      <c r="N42" s="344" t="s">
        <v>173</v>
      </c>
    </row>
    <row r="43" spans="1:14">
      <c r="A43" s="334" t="s">
        <v>191</v>
      </c>
      <c r="B43" s="340">
        <v>292</v>
      </c>
      <c r="C43" s="340">
        <v>312</v>
      </c>
      <c r="D43" s="340">
        <v>345</v>
      </c>
      <c r="E43" s="340">
        <v>367</v>
      </c>
      <c r="F43" s="340">
        <v>421</v>
      </c>
      <c r="G43" s="340">
        <v>468</v>
      </c>
      <c r="H43" s="340">
        <v>562</v>
      </c>
      <c r="I43" s="340">
        <v>635</v>
      </c>
      <c r="J43" s="340">
        <v>855</v>
      </c>
      <c r="K43" s="340">
        <v>992</v>
      </c>
      <c r="L43" s="340">
        <v>1129</v>
      </c>
      <c r="M43" s="340">
        <v>1450</v>
      </c>
      <c r="N43" s="341">
        <v>0.94340000000000002</v>
      </c>
    </row>
    <row r="44" spans="1:14">
      <c r="A44" s="334" t="s">
        <v>192</v>
      </c>
      <c r="B44" s="340">
        <v>345</v>
      </c>
      <c r="C44" s="340">
        <v>396</v>
      </c>
      <c r="D44" s="340">
        <v>439</v>
      </c>
      <c r="E44" s="340">
        <v>495</v>
      </c>
      <c r="F44" s="340">
        <v>538</v>
      </c>
      <c r="G44" s="340">
        <v>590</v>
      </c>
      <c r="H44" s="340">
        <v>693</v>
      </c>
      <c r="I44" s="340">
        <v>784</v>
      </c>
      <c r="J44" s="340">
        <v>929</v>
      </c>
      <c r="K44" s="340">
        <v>1043</v>
      </c>
      <c r="L44" s="340">
        <v>1153</v>
      </c>
      <c r="M44" s="340">
        <v>1450</v>
      </c>
      <c r="N44" s="341">
        <v>0.99099999999999999</v>
      </c>
    </row>
    <row r="45" spans="1:14">
      <c r="A45" s="334" t="s">
        <v>193</v>
      </c>
      <c r="B45" s="340">
        <v>377</v>
      </c>
      <c r="C45" s="340">
        <v>408</v>
      </c>
      <c r="D45" s="340">
        <v>449</v>
      </c>
      <c r="E45" s="340">
        <v>480</v>
      </c>
      <c r="F45" s="340">
        <v>525</v>
      </c>
      <c r="G45" s="340">
        <v>613</v>
      </c>
      <c r="H45" s="340">
        <v>718</v>
      </c>
      <c r="I45" s="340">
        <v>796</v>
      </c>
      <c r="J45" s="340">
        <v>945</v>
      </c>
      <c r="K45" s="340">
        <v>1105</v>
      </c>
      <c r="L45" s="340">
        <v>1259</v>
      </c>
      <c r="M45" s="340">
        <v>1450</v>
      </c>
      <c r="N45" s="341">
        <v>1</v>
      </c>
    </row>
    <row r="46" spans="1:14">
      <c r="A46" s="334" t="s">
        <v>136</v>
      </c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34"/>
      <c r="N46" s="343"/>
    </row>
    <row r="47" spans="1:14">
      <c r="A47" s="334"/>
      <c r="B47" s="334"/>
      <c r="C47" s="334"/>
      <c r="D47" s="334"/>
      <c r="E47" s="334"/>
      <c r="F47" s="334"/>
      <c r="G47" s="334"/>
      <c r="H47" s="334"/>
      <c r="I47" s="334"/>
      <c r="J47" s="334"/>
      <c r="K47" s="334"/>
      <c r="L47" s="334"/>
      <c r="M47" s="334" t="s">
        <v>137</v>
      </c>
      <c r="N47" s="343"/>
    </row>
    <row r="48" spans="1:14">
      <c r="A48" s="334"/>
      <c r="B48" s="334"/>
      <c r="C48" s="334"/>
      <c r="D48" s="334"/>
      <c r="E48" s="334"/>
      <c r="F48" s="334"/>
      <c r="G48" s="334"/>
      <c r="H48" s="334"/>
      <c r="I48" s="334"/>
      <c r="J48" s="334"/>
      <c r="K48" s="334"/>
      <c r="L48" s="334"/>
      <c r="M48" s="342">
        <v>0.85</v>
      </c>
      <c r="N48" s="343"/>
    </row>
  </sheetData>
  <mergeCells count="5">
    <mergeCell ref="D1:L1"/>
    <mergeCell ref="Q2:T2"/>
    <mergeCell ref="U2:AA2"/>
    <mergeCell ref="A10:B10"/>
    <mergeCell ref="A11:B11"/>
  </mergeCells>
  <conditionalFormatting sqref="B12:L12">
    <cfRule type="cellIs" priority="1" stopIfTrue="1" operator="equal">
      <formula>"TBD"</formula>
    </cfRule>
    <cfRule type="cellIs" dxfId="60" priority="2" operator="greaterThan">
      <formula>0</formula>
    </cfRule>
    <cfRule type="cellIs" dxfId="59" priority="3" operator="lessThan">
      <formula>0</formula>
    </cfRule>
  </conditionalFormatting>
  <conditionalFormatting sqref="N4:N6">
    <cfRule type="cellIs" dxfId="58" priority="4" stopIfTrue="1" operator="equal">
      <formula>""</formula>
    </cfRule>
    <cfRule type="cellIs" dxfId="57" priority="5" operator="equal">
      <formula>"Too early"</formula>
    </cfRule>
    <cfRule type="cellIs" dxfId="56" priority="6" operator="lessThanOrEqual">
      <formula>0.7</formula>
    </cfRule>
    <cfRule type="cellIs" dxfId="55" priority="7" operator="between">
      <formula>0.85</formula>
      <formula>0.7</formula>
    </cfRule>
    <cfRule type="cellIs" dxfId="54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D53C-ACE8-4B13-8692-11AAB64B27AF}">
  <dimension ref="A1:AA52"/>
  <sheetViews>
    <sheetView workbookViewId="0">
      <selection activeCell="F8" sqref="F8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4" max="14" width="0" hidden="1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194</v>
      </c>
      <c r="B3" s="257">
        <v>45936</v>
      </c>
      <c r="C3" s="257">
        <v>45943</v>
      </c>
      <c r="D3" s="257">
        <v>45950</v>
      </c>
      <c r="E3" s="257">
        <v>45957</v>
      </c>
      <c r="F3" s="257">
        <v>45964</v>
      </c>
      <c r="G3" s="257">
        <v>45971</v>
      </c>
      <c r="H3" s="257">
        <v>45978</v>
      </c>
      <c r="I3" s="257">
        <v>45985</v>
      </c>
      <c r="J3" s="257">
        <v>45992</v>
      </c>
      <c r="K3" s="257">
        <v>45999</v>
      </c>
      <c r="L3" s="257">
        <v>46006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195</v>
      </c>
      <c r="B4" s="349">
        <v>244</v>
      </c>
      <c r="C4" s="349">
        <v>266</v>
      </c>
      <c r="D4" s="350">
        <v>295</v>
      </c>
      <c r="E4" s="350">
        <v>342</v>
      </c>
      <c r="F4" s="350"/>
      <c r="G4" s="350"/>
      <c r="H4" s="350"/>
      <c r="I4" s="350"/>
      <c r="J4" s="350"/>
      <c r="K4" s="350"/>
      <c r="L4" s="350"/>
      <c r="M4">
        <f>'Performances by Week'!AG43-'Performances by Week'!AC43</f>
        <v>1433</v>
      </c>
      <c r="N4" s="29">
        <f>'Performances by Week'!O43</f>
        <v>0.994417306350314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196</v>
      </c>
      <c r="B5" s="349">
        <v>225</v>
      </c>
      <c r="C5" s="349">
        <v>243</v>
      </c>
      <c r="D5" s="350">
        <v>302</v>
      </c>
      <c r="E5" s="350">
        <v>350</v>
      </c>
      <c r="F5" s="350"/>
      <c r="G5" s="350"/>
      <c r="H5" s="350"/>
      <c r="I5" s="350"/>
      <c r="J5" s="350"/>
      <c r="K5" s="350"/>
      <c r="L5" s="350"/>
      <c r="M5">
        <f>'Performances by Week'!AG44-'Performances by Week'!AC44</f>
        <v>1433</v>
      </c>
      <c r="N5" s="29">
        <f>'Performances by Week'!O44</f>
        <v>1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197</v>
      </c>
      <c r="B6" s="349">
        <v>391</v>
      </c>
      <c r="C6" s="349">
        <v>413</v>
      </c>
      <c r="D6" s="350">
        <v>468</v>
      </c>
      <c r="E6" s="350">
        <v>527</v>
      </c>
      <c r="F6" s="350"/>
      <c r="G6" s="350"/>
      <c r="H6" s="350"/>
      <c r="I6" s="350"/>
      <c r="J6" s="350"/>
      <c r="K6" s="350"/>
      <c r="L6" s="350"/>
      <c r="M6">
        <f>'Performances by Week'!AG45-'Performances by Week'!AC45</f>
        <v>1433</v>
      </c>
      <c r="N6" s="29">
        <f>'Performances by Week'!O45</f>
        <v>1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198</v>
      </c>
      <c r="B7" s="349">
        <v>296</v>
      </c>
      <c r="C7" s="349">
        <v>325</v>
      </c>
      <c r="D7" s="350">
        <v>358</v>
      </c>
      <c r="E7" s="350">
        <v>374</v>
      </c>
      <c r="F7" s="350"/>
      <c r="G7" s="350"/>
      <c r="H7" s="350"/>
      <c r="I7" s="350"/>
      <c r="J7" s="350"/>
      <c r="K7" s="350"/>
      <c r="L7" s="350"/>
      <c r="M7">
        <f>'Performances by Week'!AG46-'Performances by Week'!AC46</f>
        <v>1433</v>
      </c>
      <c r="N7" s="29">
        <f>'Performances by Week'!O46</f>
        <v>1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257" t="s">
        <v>199</v>
      </c>
      <c r="B8" s="349">
        <v>353</v>
      </c>
      <c r="C8" s="349">
        <v>376</v>
      </c>
      <c r="D8" s="350">
        <v>414</v>
      </c>
      <c r="E8" s="350">
        <v>466</v>
      </c>
      <c r="F8" s="350"/>
      <c r="G8" s="350"/>
      <c r="H8" s="350"/>
      <c r="I8" s="350"/>
      <c r="J8" s="350"/>
      <c r="K8" s="350"/>
      <c r="L8" s="350"/>
      <c r="M8">
        <f>'Performances by Week'!AG47-'Performances by Week'!AC47</f>
        <v>1118</v>
      </c>
      <c r="N8" s="29">
        <f>'Performances by Week'!O47</f>
        <v>1</v>
      </c>
      <c r="P8" s="314"/>
      <c r="Q8" s="316"/>
      <c r="R8" s="316"/>
      <c r="S8" s="316"/>
      <c r="T8" s="316"/>
    </row>
    <row r="9" spans="1:27">
      <c r="A9" s="257" t="s">
        <v>200</v>
      </c>
      <c r="B9" s="349">
        <v>152</v>
      </c>
      <c r="C9" s="349">
        <v>216</v>
      </c>
      <c r="D9" s="350">
        <v>238</v>
      </c>
      <c r="E9" s="350">
        <v>257</v>
      </c>
      <c r="F9" s="350"/>
      <c r="G9" s="350"/>
      <c r="H9" s="350"/>
      <c r="I9" s="350"/>
      <c r="J9" s="350"/>
      <c r="K9" s="350"/>
      <c r="L9" s="350"/>
      <c r="M9">
        <f>'Performances by Week'!AG48-'Performances by Week'!AC48</f>
        <v>1433</v>
      </c>
      <c r="N9" s="29">
        <f>'Performances by Week'!O48</f>
        <v>0.74726680623400799</v>
      </c>
      <c r="P9" s="314"/>
      <c r="Q9" s="316"/>
      <c r="R9" s="316"/>
      <c r="S9" s="316"/>
      <c r="T9" s="316"/>
    </row>
    <row r="10" spans="1:27">
      <c r="A10" s="257" t="s">
        <v>134</v>
      </c>
      <c r="B10" s="315">
        <f t="shared" ref="B10:L10" si="0">$M$10*$M$17*Q6</f>
        <v>176.01374999999999</v>
      </c>
      <c r="C10" s="315">
        <f t="shared" si="0"/>
        <v>211.2165</v>
      </c>
      <c r="D10" s="315">
        <f t="shared" si="0"/>
        <v>246.41924999999998</v>
      </c>
      <c r="E10" s="315">
        <f t="shared" si="0"/>
        <v>281.62199999999996</v>
      </c>
      <c r="F10" s="315">
        <f t="shared" si="0"/>
        <v>316.82474999999999</v>
      </c>
      <c r="G10" s="315">
        <f t="shared" si="0"/>
        <v>352.02749999999997</v>
      </c>
      <c r="H10" s="315">
        <f t="shared" si="0"/>
        <v>387.23025000000001</v>
      </c>
      <c r="I10" s="315">
        <f t="shared" si="0"/>
        <v>457.63574999999997</v>
      </c>
      <c r="J10" s="315">
        <f t="shared" si="0"/>
        <v>539.77549999999997</v>
      </c>
      <c r="K10" s="315">
        <f t="shared" si="0"/>
        <v>692.32074999999998</v>
      </c>
      <c r="L10" s="315">
        <f t="shared" si="0"/>
        <v>1173.425</v>
      </c>
      <c r="M10" s="315">
        <f>AVERAGE(M4:M9)</f>
        <v>1380.5</v>
      </c>
      <c r="P10" s="314"/>
      <c r="Q10" s="316"/>
      <c r="R10" s="316"/>
      <c r="S10" s="316"/>
      <c r="T10" s="316"/>
    </row>
    <row r="11" spans="1:27">
      <c r="A11" s="457" t="s">
        <v>201</v>
      </c>
      <c r="B11" s="348">
        <f>AVERAGE(B36:B41)</f>
        <v>261.33333333333331</v>
      </c>
      <c r="C11" s="348">
        <f t="shared" ref="C11:L11" si="1">AVERAGE(C36:C41)</f>
        <v>282.66666666666669</v>
      </c>
      <c r="D11" s="348">
        <f t="shared" si="1"/>
        <v>315.5</v>
      </c>
      <c r="E11" s="348">
        <f t="shared" si="1"/>
        <v>360.16666666666669</v>
      </c>
      <c r="F11" s="348">
        <f t="shared" si="1"/>
        <v>412.16666666666669</v>
      </c>
      <c r="G11" s="348">
        <f t="shared" si="1"/>
        <v>494.33333333333331</v>
      </c>
      <c r="H11" s="348">
        <f t="shared" si="1"/>
        <v>597.83333333333337</v>
      </c>
      <c r="I11" s="348">
        <f t="shared" si="1"/>
        <v>699.5</v>
      </c>
      <c r="J11" s="348">
        <f t="shared" si="1"/>
        <v>806.16666666666663</v>
      </c>
      <c r="K11" s="348">
        <f t="shared" si="1"/>
        <v>955.16666666666663</v>
      </c>
      <c r="L11" s="348">
        <f t="shared" si="1"/>
        <v>1111.3333333333333</v>
      </c>
      <c r="M11" s="458" t="s">
        <v>170</v>
      </c>
      <c r="P11" s="27"/>
      <c r="Q11" s="316"/>
      <c r="R11" s="316"/>
      <c r="S11" s="316"/>
      <c r="T11" s="316"/>
    </row>
    <row r="12" spans="1:27">
      <c r="A12" s="257" t="s">
        <v>202</v>
      </c>
      <c r="B12" s="315">
        <f>AVERAGE(B47:B52)</f>
        <v>349.16666666666669</v>
      </c>
      <c r="C12" s="315">
        <f t="shared" ref="C12:L12" si="2">AVERAGE(C47:C52)</f>
        <v>378.16666666666669</v>
      </c>
      <c r="D12" s="315">
        <f t="shared" si="2"/>
        <v>414.66666666666669</v>
      </c>
      <c r="E12" s="315">
        <f t="shared" si="2"/>
        <v>459.16666666666669</v>
      </c>
      <c r="F12" s="315">
        <f t="shared" si="2"/>
        <v>530.83333333333337</v>
      </c>
      <c r="G12" s="315">
        <f t="shared" si="2"/>
        <v>599.66666666666663</v>
      </c>
      <c r="H12" s="315">
        <f t="shared" si="2"/>
        <v>709</v>
      </c>
      <c r="I12" s="315">
        <f t="shared" si="2"/>
        <v>795.5</v>
      </c>
      <c r="J12" s="315">
        <f t="shared" si="2"/>
        <v>867.66666666666663</v>
      </c>
      <c r="K12" s="315">
        <f t="shared" si="2"/>
        <v>991.16666666666663</v>
      </c>
      <c r="L12" s="315">
        <f t="shared" si="2"/>
        <v>1105.8333333333333</v>
      </c>
      <c r="M12" s="315"/>
      <c r="P12" s="25"/>
      <c r="Q12" s="316"/>
      <c r="R12" s="316"/>
      <c r="S12" s="316"/>
      <c r="T12" s="316"/>
    </row>
    <row r="13" spans="1:27">
      <c r="A13" s="541" t="s">
        <v>146</v>
      </c>
      <c r="B13" s="541"/>
      <c r="C13" s="315">
        <f t="shared" ref="C13:L13" si="3">C11-B11</f>
        <v>21.333333333333371</v>
      </c>
      <c r="D13" s="315">
        <f t="shared" si="3"/>
        <v>32.833333333333314</v>
      </c>
      <c r="E13" s="315">
        <f t="shared" si="3"/>
        <v>44.666666666666686</v>
      </c>
      <c r="F13" s="315">
        <f t="shared" si="3"/>
        <v>52</v>
      </c>
      <c r="G13" s="315">
        <f t="shared" si="3"/>
        <v>82.166666666666629</v>
      </c>
      <c r="H13" s="315">
        <f t="shared" si="3"/>
        <v>103.50000000000006</v>
      </c>
      <c r="I13" s="315">
        <f t="shared" si="3"/>
        <v>101.66666666666663</v>
      </c>
      <c r="J13" s="315">
        <f t="shared" si="3"/>
        <v>106.66666666666663</v>
      </c>
      <c r="K13" s="315">
        <f t="shared" si="3"/>
        <v>149</v>
      </c>
      <c r="L13" s="315">
        <f t="shared" si="3"/>
        <v>156.16666666666663</v>
      </c>
      <c r="M13" s="315"/>
      <c r="P13" s="25"/>
      <c r="Q13" s="456"/>
      <c r="R13" s="456"/>
      <c r="S13" s="456"/>
      <c r="T13" s="456"/>
      <c r="U13" s="316"/>
      <c r="V13" s="316"/>
      <c r="W13" s="316"/>
      <c r="X13" s="316"/>
      <c r="Y13" s="316"/>
      <c r="Z13" s="316"/>
      <c r="AA13" s="316"/>
    </row>
    <row r="14" spans="1:27">
      <c r="A14" s="541" t="s">
        <v>147</v>
      </c>
      <c r="B14" s="541"/>
      <c r="C14" s="315">
        <f>IF(C7="","Too early",AVERAGE(C7:C9)-AVERAGE(B7:B9))</f>
        <v>38.666666666666686</v>
      </c>
      <c r="D14" s="315">
        <f>IF(D7="","Too early",AVERAGE(D7:D9)-AVERAGE(C7:C9))</f>
        <v>31</v>
      </c>
      <c r="E14" s="315">
        <f t="shared" ref="E14:L14" si="4">IF(E7="","Too early",AVERAGE(E7:E9)-AVERAGE(D7:D9))</f>
        <v>29</v>
      </c>
      <c r="F14" s="315" t="str">
        <f t="shared" si="4"/>
        <v>Too early</v>
      </c>
      <c r="G14" s="315" t="str">
        <f t="shared" si="4"/>
        <v>Too early</v>
      </c>
      <c r="H14" s="315" t="str">
        <f t="shared" si="4"/>
        <v>Too early</v>
      </c>
      <c r="I14" s="315" t="str">
        <f t="shared" si="4"/>
        <v>Too early</v>
      </c>
      <c r="J14" s="315" t="str">
        <f t="shared" si="4"/>
        <v>Too early</v>
      </c>
      <c r="K14" s="315" t="str">
        <f t="shared" si="4"/>
        <v>Too early</v>
      </c>
      <c r="L14" s="315" t="str">
        <f t="shared" si="4"/>
        <v>Too early</v>
      </c>
      <c r="M14" s="315"/>
      <c r="P14" s="25"/>
      <c r="Q14" s="456"/>
      <c r="R14" s="456"/>
      <c r="S14" s="456"/>
      <c r="T14" s="456"/>
      <c r="U14" s="316"/>
      <c r="V14" s="316"/>
      <c r="W14" s="316"/>
      <c r="X14" s="316"/>
      <c r="Y14" s="316"/>
      <c r="Z14" s="316"/>
      <c r="AA14" s="316"/>
    </row>
    <row r="15" spans="1:27">
      <c r="A15" s="257" t="s">
        <v>136</v>
      </c>
      <c r="B15" s="315">
        <f t="shared" ref="B15:L15" si="5">IF(B4&gt;0,AVERAGE(B4:B9)-B10,"TBD")</f>
        <v>100.81958333333333</v>
      </c>
      <c r="C15" s="315">
        <f t="shared" si="5"/>
        <v>95.283500000000004</v>
      </c>
      <c r="D15" s="315">
        <f t="shared" si="5"/>
        <v>99.414083333333338</v>
      </c>
      <c r="E15" s="315">
        <f t="shared" si="5"/>
        <v>104.37800000000004</v>
      </c>
      <c r="F15" s="315" t="str">
        <f t="shared" si="5"/>
        <v>TBD</v>
      </c>
      <c r="G15" s="315" t="str">
        <f t="shared" si="5"/>
        <v>TBD</v>
      </c>
      <c r="H15" s="315" t="str">
        <f t="shared" si="5"/>
        <v>TBD</v>
      </c>
      <c r="I15" s="315" t="str">
        <f t="shared" si="5"/>
        <v>TBD</v>
      </c>
      <c r="J15" s="315" t="str">
        <f t="shared" si="5"/>
        <v>TBD</v>
      </c>
      <c r="K15" s="315" t="str">
        <f t="shared" si="5"/>
        <v>TBD</v>
      </c>
      <c r="L15" s="315" t="str">
        <f t="shared" si="5"/>
        <v>TBD</v>
      </c>
      <c r="P15" s="25"/>
      <c r="Q15" s="316"/>
      <c r="R15" s="316"/>
      <c r="S15" s="316"/>
      <c r="T15" s="316"/>
    </row>
    <row r="16" spans="1:27">
      <c r="A16" s="257"/>
      <c r="B16" s="257"/>
      <c r="C16" s="257"/>
      <c r="M16" t="s">
        <v>137</v>
      </c>
    </row>
    <row r="17" spans="1:13">
      <c r="A17" s="257"/>
      <c r="B17" s="257"/>
      <c r="C17" s="257"/>
      <c r="M17" s="126">
        <v>0.85</v>
      </c>
    </row>
    <row r="18" spans="1:13">
      <c r="A18" s="257"/>
      <c r="B18" s="257"/>
      <c r="C18" s="257"/>
    </row>
    <row r="34" spans="1:14">
      <c r="A34" s="334" t="s">
        <v>15</v>
      </c>
      <c r="B34" s="334">
        <v>10</v>
      </c>
      <c r="C34" s="334">
        <v>9</v>
      </c>
      <c r="D34" s="334">
        <v>8</v>
      </c>
      <c r="E34" s="334">
        <v>7</v>
      </c>
      <c r="F34" s="334">
        <v>6</v>
      </c>
      <c r="G34" s="334">
        <v>5</v>
      </c>
      <c r="H34" s="334">
        <v>4</v>
      </c>
      <c r="I34" s="334">
        <v>3</v>
      </c>
      <c r="J34" s="334">
        <v>2</v>
      </c>
      <c r="K34" s="334">
        <v>1</v>
      </c>
      <c r="L34" s="334">
        <v>0</v>
      </c>
      <c r="M34" s="334"/>
      <c r="N34" s="335"/>
    </row>
    <row r="35" spans="1:14" ht="90.95">
      <c r="A35" s="336" t="s">
        <v>194</v>
      </c>
      <c r="B35" s="337">
        <v>45572</v>
      </c>
      <c r="C35" s="337">
        <v>45579</v>
      </c>
      <c r="D35" s="337">
        <v>45586</v>
      </c>
      <c r="E35" s="337">
        <v>45593</v>
      </c>
      <c r="F35" s="337">
        <v>45600</v>
      </c>
      <c r="G35" s="337">
        <v>45607</v>
      </c>
      <c r="H35" s="337">
        <v>45614</v>
      </c>
      <c r="I35" s="337">
        <v>45621</v>
      </c>
      <c r="J35" s="337">
        <v>45628</v>
      </c>
      <c r="K35" s="337">
        <v>45635</v>
      </c>
      <c r="L35" s="337">
        <v>45642</v>
      </c>
      <c r="M35" s="338" t="s">
        <v>128</v>
      </c>
      <c r="N35" s="339" t="s">
        <v>173</v>
      </c>
    </row>
    <row r="36" spans="1:14">
      <c r="A36" s="334" t="s">
        <v>203</v>
      </c>
      <c r="B36" s="340">
        <v>261</v>
      </c>
      <c r="C36" s="340">
        <v>267</v>
      </c>
      <c r="D36" s="340">
        <v>297</v>
      </c>
      <c r="E36" s="340">
        <v>341</v>
      </c>
      <c r="F36" s="340">
        <v>395</v>
      </c>
      <c r="G36" s="340">
        <v>447</v>
      </c>
      <c r="H36" s="340">
        <v>602</v>
      </c>
      <c r="I36" s="340">
        <v>693</v>
      </c>
      <c r="J36" s="340">
        <v>750</v>
      </c>
      <c r="K36" s="340">
        <v>932</v>
      </c>
      <c r="L36" s="340">
        <v>1069</v>
      </c>
      <c r="M36" s="340">
        <v>1446</v>
      </c>
      <c r="N36" s="347">
        <v>0.78969999999999996</v>
      </c>
    </row>
    <row r="37" spans="1:14">
      <c r="A37" s="334" t="s">
        <v>204</v>
      </c>
      <c r="B37" s="340">
        <v>206</v>
      </c>
      <c r="C37" s="340">
        <v>216</v>
      </c>
      <c r="D37" s="340">
        <v>256</v>
      </c>
      <c r="E37" s="340">
        <v>310</v>
      </c>
      <c r="F37" s="340">
        <v>370</v>
      </c>
      <c r="G37" s="340">
        <v>432</v>
      </c>
      <c r="H37" s="340">
        <v>509</v>
      </c>
      <c r="I37" s="340">
        <v>605</v>
      </c>
      <c r="J37" s="340">
        <v>732</v>
      </c>
      <c r="K37" s="340">
        <v>848</v>
      </c>
      <c r="L37" s="340">
        <v>1052</v>
      </c>
      <c r="M37" s="340">
        <v>1476</v>
      </c>
      <c r="N37" s="341">
        <v>0.87409999999999999</v>
      </c>
    </row>
    <row r="38" spans="1:14">
      <c r="A38" s="334" t="s">
        <v>205</v>
      </c>
      <c r="B38" s="340">
        <v>349</v>
      </c>
      <c r="C38" s="340">
        <v>398</v>
      </c>
      <c r="D38" s="340">
        <v>427</v>
      </c>
      <c r="E38" s="340">
        <v>464</v>
      </c>
      <c r="F38" s="340">
        <v>526</v>
      </c>
      <c r="G38" s="340">
        <v>606</v>
      </c>
      <c r="H38" s="340">
        <v>670</v>
      </c>
      <c r="I38" s="340">
        <v>745</v>
      </c>
      <c r="J38" s="340">
        <v>848</v>
      </c>
      <c r="K38" s="340">
        <v>1034</v>
      </c>
      <c r="L38" s="340">
        <v>1180</v>
      </c>
      <c r="M38" s="340">
        <v>1476</v>
      </c>
      <c r="N38" s="341">
        <v>0.89339999999999997</v>
      </c>
    </row>
    <row r="39" spans="1:14">
      <c r="A39" s="334" t="s">
        <v>206</v>
      </c>
      <c r="B39" s="340">
        <v>276</v>
      </c>
      <c r="C39" s="340">
        <v>294</v>
      </c>
      <c r="D39" s="340">
        <v>340</v>
      </c>
      <c r="E39" s="340">
        <v>375</v>
      </c>
      <c r="F39" s="340">
        <v>400</v>
      </c>
      <c r="G39" s="340">
        <v>480</v>
      </c>
      <c r="H39" s="340">
        <v>584</v>
      </c>
      <c r="I39" s="340">
        <v>715</v>
      </c>
      <c r="J39" s="340">
        <v>844</v>
      </c>
      <c r="K39" s="340">
        <v>995</v>
      </c>
      <c r="L39" s="340">
        <v>1184</v>
      </c>
      <c r="M39" s="340">
        <v>1476</v>
      </c>
      <c r="N39" s="341">
        <v>0.95909999999999995</v>
      </c>
    </row>
    <row r="40" spans="1:14">
      <c r="A40" s="334" t="s">
        <v>207</v>
      </c>
      <c r="B40" s="340">
        <v>302</v>
      </c>
      <c r="C40" s="340">
        <v>336</v>
      </c>
      <c r="D40" s="340">
        <v>363</v>
      </c>
      <c r="E40" s="340">
        <v>411</v>
      </c>
      <c r="F40" s="340">
        <v>486</v>
      </c>
      <c r="G40" s="340">
        <v>624</v>
      </c>
      <c r="H40" s="340">
        <v>730</v>
      </c>
      <c r="I40" s="340">
        <v>857</v>
      </c>
      <c r="J40" s="340">
        <v>986</v>
      </c>
      <c r="K40" s="340">
        <v>1089</v>
      </c>
      <c r="L40" s="340">
        <v>1104</v>
      </c>
      <c r="M40" s="340">
        <v>1168</v>
      </c>
      <c r="N40" s="341">
        <v>0.94120000000000004</v>
      </c>
    </row>
    <row r="41" spans="1:14">
      <c r="A41" s="334" t="s">
        <v>208</v>
      </c>
      <c r="B41" s="340">
        <v>174</v>
      </c>
      <c r="C41" s="340">
        <v>185</v>
      </c>
      <c r="D41" s="340">
        <v>210</v>
      </c>
      <c r="E41" s="340">
        <v>260</v>
      </c>
      <c r="F41" s="340">
        <v>296</v>
      </c>
      <c r="G41" s="340">
        <v>377</v>
      </c>
      <c r="H41" s="340">
        <v>492</v>
      </c>
      <c r="I41" s="340">
        <v>582</v>
      </c>
      <c r="J41" s="340">
        <v>677</v>
      </c>
      <c r="K41" s="340">
        <v>833</v>
      </c>
      <c r="L41" s="340">
        <v>1079</v>
      </c>
      <c r="M41" s="340">
        <v>1476</v>
      </c>
      <c r="N41" s="341">
        <v>0.97509999999999997</v>
      </c>
    </row>
    <row r="42" spans="1:14">
      <c r="A42" s="334"/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 t="s">
        <v>137</v>
      </c>
      <c r="N42" s="335"/>
    </row>
    <row r="43" spans="1:14">
      <c r="A43" s="334"/>
      <c r="B43" s="334"/>
      <c r="C43" s="334"/>
      <c r="D43" s="334"/>
      <c r="E43" s="334"/>
      <c r="F43" s="334"/>
      <c r="G43" s="334"/>
      <c r="H43" s="334"/>
      <c r="I43" s="334"/>
      <c r="J43" s="334"/>
      <c r="K43" s="334"/>
      <c r="L43" s="334"/>
      <c r="M43" s="342">
        <v>0.85</v>
      </c>
      <c r="N43" s="335"/>
    </row>
    <row r="45" spans="1:14">
      <c r="A45" s="334" t="s">
        <v>15</v>
      </c>
      <c r="B45" s="334">
        <v>10</v>
      </c>
      <c r="C45" s="334">
        <v>9</v>
      </c>
      <c r="D45" s="334">
        <v>8</v>
      </c>
      <c r="E45" s="334">
        <v>7</v>
      </c>
      <c r="F45" s="334">
        <v>6</v>
      </c>
      <c r="G45" s="334">
        <v>5</v>
      </c>
      <c r="H45" s="334">
        <v>4</v>
      </c>
      <c r="I45" s="334">
        <v>3</v>
      </c>
      <c r="J45" s="334">
        <v>2</v>
      </c>
      <c r="K45" s="334">
        <v>1</v>
      </c>
      <c r="L45" s="334">
        <v>0</v>
      </c>
      <c r="M45" s="334"/>
      <c r="N45" s="343"/>
    </row>
    <row r="46" spans="1:14" ht="90.95">
      <c r="A46" s="336" t="s">
        <v>194</v>
      </c>
      <c r="B46" s="337">
        <v>45201</v>
      </c>
      <c r="C46" s="337">
        <v>45208</v>
      </c>
      <c r="D46" s="337">
        <v>45215</v>
      </c>
      <c r="E46" s="337">
        <v>45222</v>
      </c>
      <c r="F46" s="337">
        <v>45229</v>
      </c>
      <c r="G46" s="337">
        <v>45236</v>
      </c>
      <c r="H46" s="337">
        <v>45243</v>
      </c>
      <c r="I46" s="337">
        <v>45250</v>
      </c>
      <c r="J46" s="337">
        <v>45988</v>
      </c>
      <c r="K46" s="337">
        <v>45995</v>
      </c>
      <c r="L46" s="337">
        <v>46002</v>
      </c>
      <c r="M46" s="338" t="s">
        <v>128</v>
      </c>
      <c r="N46" s="344" t="s">
        <v>173</v>
      </c>
    </row>
    <row r="47" spans="1:14">
      <c r="A47" s="334" t="s">
        <v>209</v>
      </c>
      <c r="B47" s="340">
        <v>279</v>
      </c>
      <c r="C47" s="340">
        <v>293</v>
      </c>
      <c r="D47" s="340">
        <v>309</v>
      </c>
      <c r="E47" s="340">
        <v>348</v>
      </c>
      <c r="F47" s="340">
        <v>410</v>
      </c>
      <c r="G47" s="340">
        <v>485</v>
      </c>
      <c r="H47" s="340">
        <v>540</v>
      </c>
      <c r="I47" s="340">
        <v>608</v>
      </c>
      <c r="J47" s="340">
        <v>674</v>
      </c>
      <c r="K47" s="340">
        <v>793</v>
      </c>
      <c r="L47" s="340">
        <v>912</v>
      </c>
      <c r="M47" s="340">
        <v>1446</v>
      </c>
      <c r="N47" s="347">
        <v>0.76270000000000004</v>
      </c>
    </row>
    <row r="48" spans="1:14">
      <c r="A48" s="334" t="s">
        <v>210</v>
      </c>
      <c r="B48" s="340">
        <v>288</v>
      </c>
      <c r="C48" s="340">
        <v>332</v>
      </c>
      <c r="D48" s="340">
        <v>391</v>
      </c>
      <c r="E48" s="340">
        <v>435</v>
      </c>
      <c r="F48" s="340">
        <v>536</v>
      </c>
      <c r="G48" s="340">
        <v>605</v>
      </c>
      <c r="H48" s="340">
        <v>744</v>
      </c>
      <c r="I48" s="340">
        <v>845</v>
      </c>
      <c r="J48" s="340">
        <v>942</v>
      </c>
      <c r="K48" s="340">
        <v>1068</v>
      </c>
      <c r="L48" s="340">
        <v>1230</v>
      </c>
      <c r="M48" s="340">
        <v>1446</v>
      </c>
      <c r="N48" s="341">
        <v>0.92730000000000001</v>
      </c>
    </row>
    <row r="49" spans="1:14">
      <c r="A49" s="334" t="s">
        <v>211</v>
      </c>
      <c r="B49" s="340">
        <v>506</v>
      </c>
      <c r="C49" s="340">
        <v>529</v>
      </c>
      <c r="D49" s="340">
        <v>575</v>
      </c>
      <c r="E49" s="340">
        <v>625</v>
      </c>
      <c r="F49" s="340">
        <v>741</v>
      </c>
      <c r="G49" s="340">
        <v>835</v>
      </c>
      <c r="H49" s="340">
        <v>972</v>
      </c>
      <c r="I49" s="340">
        <v>1097</v>
      </c>
      <c r="J49" s="340">
        <v>1175</v>
      </c>
      <c r="K49" s="340">
        <v>1315</v>
      </c>
      <c r="L49" s="340">
        <v>1382</v>
      </c>
      <c r="M49" s="340">
        <v>1446</v>
      </c>
      <c r="N49" s="341">
        <v>0.97230000000000005</v>
      </c>
    </row>
    <row r="50" spans="1:14">
      <c r="A50" s="334" t="s">
        <v>212</v>
      </c>
      <c r="B50" s="340">
        <v>396</v>
      </c>
      <c r="C50" s="340">
        <v>417</v>
      </c>
      <c r="D50" s="340">
        <v>462</v>
      </c>
      <c r="E50" s="340">
        <v>520</v>
      </c>
      <c r="F50" s="340">
        <v>554</v>
      </c>
      <c r="G50" s="340">
        <v>619</v>
      </c>
      <c r="H50" s="340">
        <v>806</v>
      </c>
      <c r="I50" s="340">
        <v>887</v>
      </c>
      <c r="J50" s="340">
        <v>965</v>
      </c>
      <c r="K50" s="340">
        <v>1139</v>
      </c>
      <c r="L50" s="340">
        <v>1312</v>
      </c>
      <c r="M50" s="340">
        <v>1446</v>
      </c>
      <c r="N50" s="341">
        <v>0.97640000000000005</v>
      </c>
    </row>
    <row r="51" spans="1:14">
      <c r="A51" s="334" t="s">
        <v>213</v>
      </c>
      <c r="B51" s="340">
        <v>442</v>
      </c>
      <c r="C51" s="340">
        <v>467</v>
      </c>
      <c r="D51" s="340">
        <v>499</v>
      </c>
      <c r="E51" s="340">
        <v>559</v>
      </c>
      <c r="F51" s="340">
        <v>648</v>
      </c>
      <c r="G51" s="340">
        <v>712</v>
      </c>
      <c r="H51" s="340">
        <v>800</v>
      </c>
      <c r="I51" s="340">
        <v>857</v>
      </c>
      <c r="J51" s="340">
        <v>866</v>
      </c>
      <c r="K51" s="340">
        <v>903</v>
      </c>
      <c r="L51" s="340">
        <v>925</v>
      </c>
      <c r="M51" s="340">
        <v>969</v>
      </c>
      <c r="N51" s="341">
        <v>0.99170000000000003</v>
      </c>
    </row>
    <row r="52" spans="1:14">
      <c r="A52" s="334" t="s">
        <v>214</v>
      </c>
      <c r="B52" s="340">
        <v>184</v>
      </c>
      <c r="C52" s="340">
        <v>231</v>
      </c>
      <c r="D52" s="340">
        <v>252</v>
      </c>
      <c r="E52" s="340">
        <v>268</v>
      </c>
      <c r="F52" s="340">
        <v>296</v>
      </c>
      <c r="G52" s="340">
        <v>342</v>
      </c>
      <c r="H52" s="340">
        <v>392</v>
      </c>
      <c r="I52" s="340">
        <v>479</v>
      </c>
      <c r="J52" s="340">
        <v>584</v>
      </c>
      <c r="K52" s="340">
        <v>729</v>
      </c>
      <c r="L52" s="340">
        <v>874</v>
      </c>
      <c r="M52" s="340">
        <v>1446</v>
      </c>
      <c r="N52" s="341">
        <v>0.97019999999999995</v>
      </c>
    </row>
  </sheetData>
  <mergeCells count="5">
    <mergeCell ref="A13:B13"/>
    <mergeCell ref="A14:B14"/>
    <mergeCell ref="D1:L1"/>
    <mergeCell ref="Q2:T2"/>
    <mergeCell ref="U2:AA2"/>
  </mergeCells>
  <conditionalFormatting sqref="B15:L15">
    <cfRule type="cellIs" priority="2" stopIfTrue="1" operator="equal">
      <formula>"TBD"</formula>
    </cfRule>
    <cfRule type="cellIs" dxfId="53" priority="3" operator="greaterThan">
      <formula>0</formula>
    </cfRule>
    <cfRule type="cellIs" dxfId="52" priority="4" operator="lessThan">
      <formula>0</formula>
    </cfRule>
  </conditionalFormatting>
  <conditionalFormatting sqref="N4:N9">
    <cfRule type="cellIs" dxfId="51" priority="5" stopIfTrue="1" operator="equal">
      <formula>""</formula>
    </cfRule>
    <cfRule type="cellIs" dxfId="50" priority="6" operator="equal">
      <formula>"Too early"</formula>
    </cfRule>
    <cfRule type="cellIs" dxfId="49" priority="7" operator="lessThanOrEqual">
      <formula>0.7</formula>
    </cfRule>
    <cfRule type="cellIs" dxfId="48" priority="8" operator="between">
      <formula>0.85</formula>
      <formula>0.7</formula>
    </cfRule>
    <cfRule type="cellIs" dxfId="47" priority="9" operator="greaterThanOrEqual">
      <formula>0.85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B3C-D0EE-4800-BAC7-BE44A9EDC830}">
  <sheetPr>
    <tabColor rgb="FFFFFF00"/>
  </sheetPr>
  <dimension ref="A1:W51"/>
  <sheetViews>
    <sheetView workbookViewId="0">
      <selection activeCell="V27" sqref="V27"/>
    </sheetView>
  </sheetViews>
  <sheetFormatPr defaultColWidth="12.42578125" defaultRowHeight="15.95"/>
  <cols>
    <col min="1" max="2" width="12.42578125" style="81"/>
    <col min="3" max="3" width="12.28515625" style="81" customWidth="1"/>
    <col min="4" max="4" width="9.42578125" style="81" bestFit="1" customWidth="1"/>
    <col min="5" max="5" width="12.7109375" style="81" customWidth="1"/>
    <col min="6" max="6" width="12.28515625" style="81" customWidth="1"/>
    <col min="7" max="7" width="11.42578125" style="81" customWidth="1"/>
    <col min="8" max="8" width="15.28515625" style="81" customWidth="1"/>
    <col min="9" max="9" width="12.28515625" style="81" customWidth="1"/>
    <col min="10" max="10" width="9.42578125" style="81" bestFit="1" customWidth="1"/>
    <col min="11" max="11" width="12.7109375" style="81" customWidth="1"/>
    <col min="12" max="12" width="16" style="81" customWidth="1"/>
    <col min="13" max="13" width="3.28515625" style="81" customWidth="1"/>
    <col min="14" max="14" width="11.140625" style="81" customWidth="1"/>
    <col min="15" max="15" width="9.140625" style="81"/>
    <col min="16" max="16" width="12.85546875" style="81" customWidth="1"/>
    <col min="17" max="17" width="14.42578125" style="81" bestFit="1" customWidth="1"/>
    <col min="18" max="18" width="17.7109375" style="81" bestFit="1" customWidth="1"/>
    <col min="19" max="19" width="9.140625" style="81"/>
    <col min="20" max="20" width="15.42578125" style="81" bestFit="1" customWidth="1"/>
    <col min="21" max="21" width="12.28515625" style="81" customWidth="1"/>
    <col min="22" max="22" width="9.140625" style="81"/>
    <col min="23" max="23" width="14.85546875" style="81" bestFit="1" customWidth="1"/>
    <col min="24" max="16384" width="12.42578125" style="81"/>
  </cols>
  <sheetData>
    <row r="1" spans="1:23">
      <c r="B1" s="81" t="s">
        <v>215</v>
      </c>
      <c r="E1" s="82" t="s">
        <v>3</v>
      </c>
      <c r="F1" s="82"/>
      <c r="G1" s="82"/>
      <c r="J1" s="304" t="s">
        <v>216</v>
      </c>
      <c r="K1" s="304"/>
    </row>
    <row r="2" spans="1:23">
      <c r="B2" s="81" t="s">
        <v>217</v>
      </c>
      <c r="E2" s="83" t="s">
        <v>218</v>
      </c>
      <c r="F2" s="84"/>
      <c r="G2" s="84"/>
      <c r="J2" s="85" t="s">
        <v>219</v>
      </c>
      <c r="K2" s="85"/>
      <c r="N2" s="135" t="s">
        <v>65</v>
      </c>
      <c r="S2" s="544" t="s">
        <v>220</v>
      </c>
      <c r="T2" s="544"/>
    </row>
    <row r="3" spans="1:23">
      <c r="E3" s="86" t="s">
        <v>221</v>
      </c>
      <c r="F3" s="87"/>
      <c r="G3" s="87"/>
      <c r="J3" s="88" t="s">
        <v>222</v>
      </c>
      <c r="K3" s="88"/>
      <c r="N3" s="89">
        <v>0.72</v>
      </c>
      <c r="O3" s="81" t="s">
        <v>223</v>
      </c>
      <c r="S3" s="81" t="s">
        <v>224</v>
      </c>
      <c r="T3" s="81" t="s">
        <v>225</v>
      </c>
    </row>
    <row r="4" spans="1:23">
      <c r="O4" s="90">
        <f>O8/S8*S4</f>
        <v>190.76951550216057</v>
      </c>
      <c r="P4" s="91">
        <f>P8/O8*O4</f>
        <v>67934.778672760774</v>
      </c>
      <c r="Q4" s="90">
        <f>Q8/S8*S4</f>
        <v>2954.7347372317399</v>
      </c>
      <c r="R4" s="91">
        <f>R8/Q8*Q4</f>
        <v>1567065.2213272392</v>
      </c>
      <c r="S4" s="234">
        <f>T4/(T8/S8)</f>
        <v>3145.5042527339006</v>
      </c>
      <c r="T4" s="235">
        <v>1635000</v>
      </c>
      <c r="U4" s="236" t="s">
        <v>226</v>
      </c>
      <c r="V4" s="81">
        <f>T4/S4</f>
        <v>519.78947368421052</v>
      </c>
    </row>
    <row r="5" spans="1:23">
      <c r="B5" s="135" t="s">
        <v>227</v>
      </c>
      <c r="O5" s="90">
        <f>O9/S9*S5</f>
        <v>8.670865068310464</v>
      </c>
      <c r="P5" s="91">
        <f>P9/O9*O5</f>
        <v>2639.154412273163</v>
      </c>
      <c r="Q5" s="90">
        <f>Q9/S9*S5</f>
        <v>267.83338766558995</v>
      </c>
      <c r="R5" s="91">
        <f>R9/Q9*Q5</f>
        <v>147753.14647976376</v>
      </c>
      <c r="S5" s="90">
        <f>T5/(T8/S8)</f>
        <v>276.50425273390039</v>
      </c>
      <c r="T5" s="91">
        <f>T4-T8</f>
        <v>143724</v>
      </c>
      <c r="U5" s="81" t="s">
        <v>228</v>
      </c>
      <c r="W5" s="92"/>
    </row>
    <row r="6" spans="1:23">
      <c r="C6" s="545" t="s">
        <v>229</v>
      </c>
      <c r="D6" s="545"/>
      <c r="E6" s="545"/>
      <c r="F6" s="545" t="s">
        <v>230</v>
      </c>
      <c r="G6" s="545"/>
      <c r="H6" s="545"/>
      <c r="I6" s="545" t="s">
        <v>226</v>
      </c>
      <c r="J6" s="545"/>
      <c r="K6" s="545"/>
      <c r="N6" s="135" t="s">
        <v>231</v>
      </c>
      <c r="W6" s="92"/>
    </row>
    <row r="7" spans="1:23">
      <c r="A7" s="81" t="s">
        <v>232</v>
      </c>
      <c r="C7" s="93" t="s">
        <v>233</v>
      </c>
      <c r="D7" s="93" t="s">
        <v>234</v>
      </c>
      <c r="E7" s="93" t="s">
        <v>235</v>
      </c>
      <c r="F7" s="93" t="s">
        <v>233</v>
      </c>
      <c r="G7" s="93" t="s">
        <v>234</v>
      </c>
      <c r="H7" s="93" t="s">
        <v>235</v>
      </c>
      <c r="I7" s="93" t="s">
        <v>233</v>
      </c>
      <c r="J7" s="93" t="s">
        <v>234</v>
      </c>
      <c r="K7" s="93" t="s">
        <v>235</v>
      </c>
      <c r="L7" s="94" t="s">
        <v>236</v>
      </c>
      <c r="O7" s="81" t="s">
        <v>237</v>
      </c>
      <c r="P7" s="81" t="s">
        <v>238</v>
      </c>
      <c r="Q7" s="81" t="s">
        <v>239</v>
      </c>
      <c r="R7" s="81" t="s">
        <v>240</v>
      </c>
      <c r="S7" s="81" t="s">
        <v>241</v>
      </c>
      <c r="T7" s="81" t="s">
        <v>242</v>
      </c>
      <c r="U7" s="94" t="s">
        <v>243</v>
      </c>
    </row>
    <row r="8" spans="1:23" s="95" customFormat="1">
      <c r="A8" s="95" t="s">
        <v>244</v>
      </c>
      <c r="I8" s="96">
        <f>I16</f>
        <v>2456</v>
      </c>
      <c r="J8" s="96"/>
      <c r="K8" s="97">
        <f>K16</f>
        <v>1408430</v>
      </c>
      <c r="L8" s="98"/>
      <c r="N8" s="95" t="s">
        <v>245</v>
      </c>
      <c r="O8" s="99">
        <f>O21</f>
        <v>174</v>
      </c>
      <c r="P8" s="100">
        <f t="shared" ref="P8:T8" si="0">P21</f>
        <v>61963</v>
      </c>
      <c r="Q8" s="99">
        <f t="shared" si="0"/>
        <v>2695</v>
      </c>
      <c r="R8" s="100">
        <f t="shared" si="0"/>
        <v>1429313</v>
      </c>
      <c r="S8" s="99">
        <f t="shared" si="0"/>
        <v>2869</v>
      </c>
      <c r="T8" s="100">
        <f t="shared" si="0"/>
        <v>1491276</v>
      </c>
      <c r="U8" s="101"/>
      <c r="W8" s="96"/>
    </row>
    <row r="9" spans="1:23">
      <c r="A9" s="81">
        <v>1</v>
      </c>
      <c r="B9" s="102">
        <v>45747</v>
      </c>
      <c r="C9" s="103">
        <v>30</v>
      </c>
      <c r="D9" s="104">
        <f>C9/'Sales Pacing'!B3</f>
        <v>713.33333333333337</v>
      </c>
      <c r="E9" s="105">
        <v>16220</v>
      </c>
      <c r="F9" s="103">
        <v>898</v>
      </c>
      <c r="G9" s="104">
        <f>F9/'Sales Pacing'!E3</f>
        <v>3554.0218281036837</v>
      </c>
      <c r="H9" s="105">
        <v>527973</v>
      </c>
      <c r="I9" s="106">
        <f>C9+F9</f>
        <v>928</v>
      </c>
      <c r="J9" s="104">
        <f>D9+G9</f>
        <v>4267.3551614370172</v>
      </c>
      <c r="K9" s="107">
        <f>E9+H9</f>
        <v>544193</v>
      </c>
      <c r="L9" s="108"/>
      <c r="N9" s="102">
        <v>45383</v>
      </c>
      <c r="O9" s="106">
        <v>27</v>
      </c>
      <c r="P9" s="107">
        <v>8218</v>
      </c>
      <c r="Q9" s="106">
        <v>834</v>
      </c>
      <c r="R9" s="107">
        <v>460085</v>
      </c>
      <c r="S9" s="106">
        <f t="shared" ref="S9:T21" si="1">O9+Q9</f>
        <v>861</v>
      </c>
      <c r="T9" s="107">
        <f t="shared" si="1"/>
        <v>468303</v>
      </c>
      <c r="U9" s="94"/>
    </row>
    <row r="10" spans="1:23">
      <c r="A10" s="81">
        <v>2</v>
      </c>
      <c r="B10" s="102">
        <v>45754</v>
      </c>
      <c r="C10" s="103">
        <v>39</v>
      </c>
      <c r="D10" s="104">
        <f>C10/'Sales Pacing'!B4</f>
        <v>642</v>
      </c>
      <c r="E10" s="105">
        <v>21024</v>
      </c>
      <c r="F10" s="103">
        <v>1136</v>
      </c>
      <c r="G10" s="104">
        <f>F10/'Sales Pacing'!E4</f>
        <v>3593.8233369683753</v>
      </c>
      <c r="H10" s="105">
        <v>652031</v>
      </c>
      <c r="I10" s="106">
        <f t="shared" ref="I10:K21" si="2">C10+F10</f>
        <v>1175</v>
      </c>
      <c r="J10" s="104">
        <f t="shared" si="2"/>
        <v>4235.8233369683749</v>
      </c>
      <c r="K10" s="107">
        <f t="shared" si="2"/>
        <v>673055</v>
      </c>
      <c r="L10" s="108">
        <f t="shared" ref="L10:L15" si="3">IF(K10&gt;0,K10-K9,0)</f>
        <v>128862</v>
      </c>
      <c r="N10" s="102">
        <f t="shared" ref="N10:N20" si="4">N9+7</f>
        <v>45390</v>
      </c>
      <c r="O10" s="106">
        <v>32</v>
      </c>
      <c r="P10" s="107">
        <v>12068</v>
      </c>
      <c r="Q10" s="106">
        <v>1194</v>
      </c>
      <c r="R10" s="107">
        <v>655718</v>
      </c>
      <c r="S10" s="106">
        <f t="shared" si="1"/>
        <v>1226</v>
      </c>
      <c r="T10" s="107">
        <f t="shared" si="1"/>
        <v>667786</v>
      </c>
      <c r="U10" s="108">
        <f t="shared" ref="U10:U21" si="5">IF(T10&gt;0,T10-T9,0)</f>
        <v>199483</v>
      </c>
    </row>
    <row r="11" spans="1:23">
      <c r="A11" s="81">
        <v>3</v>
      </c>
      <c r="B11" s="102">
        <v>45761</v>
      </c>
      <c r="C11" s="103">
        <v>50</v>
      </c>
      <c r="D11" s="104">
        <f>C11/'Sales Pacing'!B5</f>
        <v>455.31914893617022</v>
      </c>
      <c r="E11" s="105">
        <v>27424</v>
      </c>
      <c r="F11" s="103">
        <v>1387</v>
      </c>
      <c r="G11" s="104">
        <f>F11/'Sales Pacing'!E5</f>
        <v>3529.5499999999997</v>
      </c>
      <c r="H11" s="105">
        <v>817109</v>
      </c>
      <c r="I11" s="106">
        <f t="shared" si="2"/>
        <v>1437</v>
      </c>
      <c r="J11" s="104">
        <f t="shared" si="2"/>
        <v>3984.8691489361699</v>
      </c>
      <c r="K11" s="107">
        <f t="shared" si="2"/>
        <v>844533</v>
      </c>
      <c r="L11" s="108">
        <f t="shared" si="3"/>
        <v>171478</v>
      </c>
      <c r="N11" s="102">
        <f t="shared" si="4"/>
        <v>45397</v>
      </c>
      <c r="O11" s="106">
        <v>36</v>
      </c>
      <c r="P11" s="107">
        <v>13657</v>
      </c>
      <c r="Q11" s="106">
        <v>1434</v>
      </c>
      <c r="R11" s="107">
        <v>789833</v>
      </c>
      <c r="S11" s="106">
        <f t="shared" si="1"/>
        <v>1470</v>
      </c>
      <c r="T11" s="107">
        <f t="shared" si="1"/>
        <v>803490</v>
      </c>
      <c r="U11" s="108">
        <f t="shared" si="5"/>
        <v>135704</v>
      </c>
      <c r="W11" s="109"/>
    </row>
    <row r="12" spans="1:23">
      <c r="A12" s="81">
        <v>4</v>
      </c>
      <c r="B12" s="102">
        <v>45768</v>
      </c>
      <c r="C12" s="103">
        <v>76</v>
      </c>
      <c r="D12" s="104">
        <f>C12/'Sales Pacing'!B6</f>
        <v>591.41818181818189</v>
      </c>
      <c r="E12" s="105">
        <v>40984</v>
      </c>
      <c r="F12" s="103">
        <v>1739</v>
      </c>
      <c r="G12" s="104">
        <f>F12/'Sales Pacing'!E6</f>
        <v>3653.0333091962348</v>
      </c>
      <c r="H12" s="105">
        <v>1005395</v>
      </c>
      <c r="I12" s="106">
        <f t="shared" si="2"/>
        <v>1815</v>
      </c>
      <c r="J12" s="104">
        <f t="shared" si="2"/>
        <v>4244.4514910144171</v>
      </c>
      <c r="K12" s="107">
        <f t="shared" si="2"/>
        <v>1046379</v>
      </c>
      <c r="L12" s="108">
        <f t="shared" si="3"/>
        <v>201846</v>
      </c>
      <c r="N12" s="102">
        <f t="shared" si="4"/>
        <v>45404</v>
      </c>
      <c r="O12" s="106">
        <v>45</v>
      </c>
      <c r="P12" s="107">
        <v>17584</v>
      </c>
      <c r="Q12" s="106">
        <v>1789</v>
      </c>
      <c r="R12" s="107">
        <v>976040</v>
      </c>
      <c r="S12" s="106">
        <f t="shared" si="1"/>
        <v>1834</v>
      </c>
      <c r="T12" s="107">
        <f t="shared" si="1"/>
        <v>993624</v>
      </c>
      <c r="U12" s="108">
        <f t="shared" si="5"/>
        <v>190134</v>
      </c>
    </row>
    <row r="13" spans="1:23">
      <c r="A13" s="84">
        <v>5</v>
      </c>
      <c r="B13" s="102">
        <f t="shared" ref="B13:B20" si="6">B12+7</f>
        <v>45775</v>
      </c>
      <c r="C13" s="103">
        <v>112</v>
      </c>
      <c r="D13" s="104">
        <f>C13/'Sales Pacing'!B7</f>
        <v>684.80000000000007</v>
      </c>
      <c r="E13" s="105">
        <v>54163</v>
      </c>
      <c r="F13" s="103">
        <v>2160</v>
      </c>
      <c r="G13" s="104">
        <f>F13/'Sales Pacing'!E7</f>
        <v>3788.4885126964932</v>
      </c>
      <c r="H13" s="105">
        <v>1232817</v>
      </c>
      <c r="I13" s="110">
        <f t="shared" si="2"/>
        <v>2272</v>
      </c>
      <c r="J13" s="104">
        <f t="shared" si="2"/>
        <v>4473.2885126964929</v>
      </c>
      <c r="K13" s="107">
        <f t="shared" si="2"/>
        <v>1286980</v>
      </c>
      <c r="L13" s="108">
        <f t="shared" si="3"/>
        <v>240601</v>
      </c>
      <c r="N13" s="102">
        <f t="shared" si="4"/>
        <v>45411</v>
      </c>
      <c r="O13" s="106">
        <v>47</v>
      </c>
      <c r="P13" s="107">
        <v>17987</v>
      </c>
      <c r="Q13" s="106">
        <v>2005</v>
      </c>
      <c r="R13" s="107">
        <v>1080463</v>
      </c>
      <c r="S13" s="106">
        <f t="shared" si="1"/>
        <v>2052</v>
      </c>
      <c r="T13" s="107">
        <f t="shared" si="1"/>
        <v>1098450</v>
      </c>
      <c r="U13" s="108">
        <f t="shared" si="5"/>
        <v>104826</v>
      </c>
    </row>
    <row r="14" spans="1:23">
      <c r="A14" s="81">
        <v>6</v>
      </c>
      <c r="B14" s="102">
        <f t="shared" si="6"/>
        <v>45782</v>
      </c>
      <c r="C14" s="103">
        <v>121</v>
      </c>
      <c r="D14" s="104">
        <f>C14/'Sales Pacing'!B8</f>
        <v>533.89690721649481</v>
      </c>
      <c r="E14" s="105">
        <v>58153</v>
      </c>
      <c r="F14" s="103">
        <v>2252</v>
      </c>
      <c r="G14" s="104">
        <f>F14/'Sales Pacing'!E8</f>
        <v>3121.3817486860971</v>
      </c>
      <c r="H14" s="105">
        <v>1294295</v>
      </c>
      <c r="I14" s="111">
        <f t="shared" si="2"/>
        <v>2373</v>
      </c>
      <c r="J14" s="104">
        <f t="shared" si="2"/>
        <v>3655.2786559025917</v>
      </c>
      <c r="K14" s="112">
        <f t="shared" si="2"/>
        <v>1352448</v>
      </c>
      <c r="L14" s="108">
        <f t="shared" si="3"/>
        <v>65468</v>
      </c>
      <c r="N14" s="102">
        <f t="shared" si="4"/>
        <v>45418</v>
      </c>
      <c r="O14" s="106">
        <v>70</v>
      </c>
      <c r="P14" s="107">
        <v>26832</v>
      </c>
      <c r="Q14" s="106">
        <v>2362</v>
      </c>
      <c r="R14" s="107">
        <v>1271615</v>
      </c>
      <c r="S14" s="106">
        <f t="shared" si="1"/>
        <v>2432</v>
      </c>
      <c r="T14" s="107">
        <f t="shared" si="1"/>
        <v>1298447</v>
      </c>
      <c r="U14" s="108">
        <f t="shared" si="5"/>
        <v>199997</v>
      </c>
    </row>
    <row r="15" spans="1:23">
      <c r="A15" s="81">
        <v>7</v>
      </c>
      <c r="B15" s="102">
        <f t="shared" si="6"/>
        <v>45789</v>
      </c>
      <c r="C15" s="103">
        <v>122</v>
      </c>
      <c r="D15" s="104">
        <f>C15/'Sales Pacing'!B9</f>
        <v>404.77519379844961</v>
      </c>
      <c r="E15" s="105">
        <v>59763</v>
      </c>
      <c r="F15" s="103">
        <v>2293</v>
      </c>
      <c r="G15" s="104">
        <f>F15/'Sales Pacing'!E9</f>
        <v>2534.0925714285713</v>
      </c>
      <c r="H15" s="105">
        <v>1322554</v>
      </c>
      <c r="I15" s="111">
        <f t="shared" si="2"/>
        <v>2415</v>
      </c>
      <c r="J15" s="104">
        <f t="shared" si="2"/>
        <v>2938.8677652270208</v>
      </c>
      <c r="K15" s="112">
        <f t="shared" si="2"/>
        <v>1382317</v>
      </c>
      <c r="L15" s="108">
        <f t="shared" si="3"/>
        <v>29869</v>
      </c>
      <c r="N15" s="102">
        <f t="shared" si="4"/>
        <v>45425</v>
      </c>
      <c r="O15" s="106">
        <v>76</v>
      </c>
      <c r="P15" s="107">
        <v>28802</v>
      </c>
      <c r="Q15" s="106">
        <v>2443</v>
      </c>
      <c r="R15" s="107">
        <v>1319275</v>
      </c>
      <c r="S15" s="106">
        <f t="shared" si="1"/>
        <v>2519</v>
      </c>
      <c r="T15" s="107">
        <f t="shared" si="1"/>
        <v>1348077</v>
      </c>
      <c r="U15" s="108">
        <f t="shared" si="5"/>
        <v>49630</v>
      </c>
    </row>
    <row r="16" spans="1:23">
      <c r="A16" s="81">
        <v>8</v>
      </c>
      <c r="B16" s="102">
        <f t="shared" si="6"/>
        <v>45796</v>
      </c>
      <c r="C16" s="82">
        <v>134</v>
      </c>
      <c r="D16" s="104">
        <f>C16/'Sales Pacing'!B10</f>
        <v>382.34666666666669</v>
      </c>
      <c r="E16" s="113">
        <v>63528</v>
      </c>
      <c r="F16" s="114">
        <v>2322</v>
      </c>
      <c r="G16" s="104">
        <f>F16/'Sales Pacing'!E10</f>
        <v>2473.7869996327581</v>
      </c>
      <c r="H16" s="113">
        <v>1344902</v>
      </c>
      <c r="I16" s="111">
        <f t="shared" si="2"/>
        <v>2456</v>
      </c>
      <c r="J16" s="104">
        <f t="shared" si="2"/>
        <v>2856.1336662994249</v>
      </c>
      <c r="K16" s="112">
        <f t="shared" si="2"/>
        <v>1408430</v>
      </c>
      <c r="L16" s="108">
        <f>IF(K16&gt;0,K16-K15,0)</f>
        <v>26113</v>
      </c>
      <c r="N16" s="102">
        <f t="shared" si="4"/>
        <v>45432</v>
      </c>
      <c r="O16" s="106">
        <v>85</v>
      </c>
      <c r="P16" s="107">
        <v>30752</v>
      </c>
      <c r="Q16" s="106">
        <v>2473</v>
      </c>
      <c r="R16" s="107">
        <v>1329297</v>
      </c>
      <c r="S16" s="106">
        <f t="shared" si="1"/>
        <v>2558</v>
      </c>
      <c r="T16" s="107">
        <f t="shared" si="1"/>
        <v>1360049</v>
      </c>
      <c r="U16" s="108">
        <f t="shared" si="5"/>
        <v>11972</v>
      </c>
      <c r="W16" s="90"/>
    </row>
    <row r="17" spans="1:23">
      <c r="A17" s="81">
        <v>9</v>
      </c>
      <c r="B17" s="102">
        <f t="shared" si="6"/>
        <v>45803</v>
      </c>
      <c r="C17" s="82">
        <v>146</v>
      </c>
      <c r="D17" s="104">
        <f>C17/'Sales Pacing'!B11</f>
        <v>369.75147928994079</v>
      </c>
      <c r="E17" s="113">
        <v>67946</v>
      </c>
      <c r="F17" s="114">
        <v>2345</v>
      </c>
      <c r="G17" s="104">
        <f>F17/'Sales Pacing'!E11</f>
        <v>2468.3762699564586</v>
      </c>
      <c r="H17" s="113">
        <v>1357272</v>
      </c>
      <c r="I17" s="111">
        <f t="shared" si="2"/>
        <v>2491</v>
      </c>
      <c r="J17" s="104">
        <f t="shared" si="2"/>
        <v>2838.1277492463996</v>
      </c>
      <c r="K17" s="112">
        <f t="shared" si="2"/>
        <v>1425218</v>
      </c>
      <c r="L17" s="108">
        <f t="shared" ref="L17:L20" si="7">IF(K17&gt;0,K17-K16,0)</f>
        <v>16788</v>
      </c>
      <c r="N17" s="102">
        <f t="shared" si="4"/>
        <v>45439</v>
      </c>
      <c r="O17" s="106">
        <v>91</v>
      </c>
      <c r="P17" s="107">
        <v>32154</v>
      </c>
      <c r="Q17" s="106">
        <v>2513</v>
      </c>
      <c r="R17" s="107">
        <v>1344658</v>
      </c>
      <c r="S17" s="106">
        <f t="shared" si="1"/>
        <v>2604</v>
      </c>
      <c r="T17" s="107">
        <f t="shared" si="1"/>
        <v>1376812</v>
      </c>
      <c r="U17" s="108">
        <f t="shared" si="5"/>
        <v>16763</v>
      </c>
      <c r="W17" s="90"/>
    </row>
    <row r="18" spans="1:23">
      <c r="A18" s="81">
        <v>10</v>
      </c>
      <c r="B18" s="102">
        <f t="shared" si="6"/>
        <v>45810</v>
      </c>
      <c r="C18" s="82">
        <v>165</v>
      </c>
      <c r="D18" s="104">
        <f>C18/'Sales Pacing'!B12</f>
        <v>377.64705882352939</v>
      </c>
      <c r="E18" s="113">
        <v>75744</v>
      </c>
      <c r="F18" s="114">
        <v>2369</v>
      </c>
      <c r="G18" s="104">
        <f>F18/'Sales Pacing'!E12</f>
        <v>2461.4860315186247</v>
      </c>
      <c r="H18" s="113">
        <v>1380368</v>
      </c>
      <c r="I18" s="111">
        <f t="shared" si="2"/>
        <v>2534</v>
      </c>
      <c r="J18" s="104">
        <f t="shared" si="2"/>
        <v>2839.133090342154</v>
      </c>
      <c r="K18" s="112">
        <f t="shared" si="2"/>
        <v>1456112</v>
      </c>
      <c r="L18" s="108">
        <f t="shared" si="7"/>
        <v>30894</v>
      </c>
      <c r="N18" s="102">
        <f t="shared" si="4"/>
        <v>45446</v>
      </c>
      <c r="O18" s="106">
        <v>94</v>
      </c>
      <c r="P18" s="107">
        <v>32854</v>
      </c>
      <c r="Q18" s="106">
        <v>2608</v>
      </c>
      <c r="R18" s="107">
        <v>1391277</v>
      </c>
      <c r="S18" s="106">
        <f t="shared" si="1"/>
        <v>2702</v>
      </c>
      <c r="T18" s="107">
        <f t="shared" si="1"/>
        <v>1424131</v>
      </c>
      <c r="U18" s="108">
        <f t="shared" si="5"/>
        <v>47319</v>
      </c>
      <c r="W18" s="90"/>
    </row>
    <row r="19" spans="1:23">
      <c r="A19" s="87">
        <v>11</v>
      </c>
      <c r="B19" s="102">
        <f t="shared" si="6"/>
        <v>45817</v>
      </c>
      <c r="C19" s="82">
        <v>186</v>
      </c>
      <c r="D19" s="104">
        <f>C19/'Sales Pacing'!B13</f>
        <v>396.05970149253727</v>
      </c>
      <c r="E19" s="113">
        <v>89633</v>
      </c>
      <c r="F19" s="114">
        <v>2384</v>
      </c>
      <c r="G19" s="104">
        <f>F19/'Sales Pacing'!E13</f>
        <v>2469.1124598357728</v>
      </c>
      <c r="H19" s="113">
        <v>1390065</v>
      </c>
      <c r="I19" s="115">
        <f t="shared" si="2"/>
        <v>2570</v>
      </c>
      <c r="J19" s="104">
        <f t="shared" si="2"/>
        <v>2865.1721613283103</v>
      </c>
      <c r="K19" s="112">
        <f t="shared" si="2"/>
        <v>1479698</v>
      </c>
      <c r="L19" s="108">
        <f t="shared" si="7"/>
        <v>23586</v>
      </c>
      <c r="N19" s="102">
        <f t="shared" si="4"/>
        <v>45453</v>
      </c>
      <c r="O19" s="106">
        <v>95</v>
      </c>
      <c r="P19" s="107">
        <v>33169</v>
      </c>
      <c r="Q19" s="106">
        <v>2628</v>
      </c>
      <c r="R19" s="107">
        <v>1398365</v>
      </c>
      <c r="S19" s="106">
        <f t="shared" si="1"/>
        <v>2723</v>
      </c>
      <c r="T19" s="107">
        <f t="shared" si="1"/>
        <v>1431534</v>
      </c>
      <c r="U19" s="108">
        <f t="shared" si="5"/>
        <v>7403</v>
      </c>
      <c r="W19" s="90"/>
    </row>
    <row r="20" spans="1:23">
      <c r="A20" s="81">
        <v>12</v>
      </c>
      <c r="B20" s="102">
        <f t="shared" si="6"/>
        <v>45824</v>
      </c>
      <c r="C20" s="82">
        <v>205</v>
      </c>
      <c r="D20" s="104">
        <f>C20/'Sales Pacing'!B14</f>
        <v>404.33179723502309</v>
      </c>
      <c r="E20" s="113">
        <v>94753</v>
      </c>
      <c r="F20" s="114">
        <v>2413</v>
      </c>
      <c r="G20" s="104">
        <f>F20/'Sales Pacing'!E14</f>
        <v>2491.1434163701065</v>
      </c>
      <c r="H20" s="113">
        <v>1408181</v>
      </c>
      <c r="I20" s="111">
        <f t="shared" si="2"/>
        <v>2618</v>
      </c>
      <c r="J20" s="104">
        <f t="shared" si="2"/>
        <v>2895.4752136051297</v>
      </c>
      <c r="K20" s="112">
        <f t="shared" si="2"/>
        <v>1502934</v>
      </c>
      <c r="L20" s="108">
        <f t="shared" si="7"/>
        <v>23236</v>
      </c>
      <c r="N20" s="102">
        <f t="shared" si="4"/>
        <v>45460</v>
      </c>
      <c r="O20" s="106">
        <v>103</v>
      </c>
      <c r="P20" s="107">
        <v>35745</v>
      </c>
      <c r="Q20" s="106">
        <v>2655</v>
      </c>
      <c r="R20" s="107">
        <v>1411925</v>
      </c>
      <c r="S20" s="106">
        <f t="shared" si="1"/>
        <v>2758</v>
      </c>
      <c r="T20" s="107">
        <f t="shared" si="1"/>
        <v>1447670</v>
      </c>
      <c r="U20" s="108">
        <f t="shared" si="5"/>
        <v>16136</v>
      </c>
      <c r="W20" s="90"/>
    </row>
    <row r="21" spans="1:23">
      <c r="A21" s="116" t="s">
        <v>246</v>
      </c>
      <c r="B21" s="302">
        <v>45936</v>
      </c>
      <c r="C21" s="82">
        <v>323</v>
      </c>
      <c r="D21" s="104">
        <f>C21/'Sales Pacing'!B15</f>
        <v>323</v>
      </c>
      <c r="E21" s="113">
        <v>142246.1</v>
      </c>
      <c r="F21" s="114">
        <v>2432</v>
      </c>
      <c r="G21" s="104">
        <f>F21/'Sales Pacing'!E15</f>
        <v>2432</v>
      </c>
      <c r="H21" s="113">
        <v>1412928.3</v>
      </c>
      <c r="I21" s="111">
        <f t="shared" si="2"/>
        <v>2755</v>
      </c>
      <c r="J21" s="104">
        <f t="shared" si="2"/>
        <v>2755</v>
      </c>
      <c r="K21" s="303">
        <f t="shared" si="2"/>
        <v>1555174.4000000001</v>
      </c>
      <c r="L21" s="108">
        <f>IF(K21&gt;0,K21-K20,0)</f>
        <v>52240.40000000014</v>
      </c>
      <c r="N21" s="117" t="s">
        <v>247</v>
      </c>
      <c r="O21" s="106">
        <v>174</v>
      </c>
      <c r="P21" s="107">
        <v>61963</v>
      </c>
      <c r="Q21" s="106">
        <v>2695</v>
      </c>
      <c r="R21" s="107">
        <v>1429313</v>
      </c>
      <c r="S21" s="106">
        <f t="shared" si="1"/>
        <v>2869</v>
      </c>
      <c r="T21" s="107">
        <f t="shared" si="1"/>
        <v>1491276</v>
      </c>
      <c r="U21" s="108">
        <f t="shared" si="5"/>
        <v>43606</v>
      </c>
      <c r="W21" s="90"/>
    </row>
    <row r="22" spans="1:23">
      <c r="C22" s="106"/>
      <c r="D22" s="106"/>
      <c r="E22" s="107"/>
      <c r="F22" s="106"/>
      <c r="G22" s="106"/>
      <c r="H22" s="107"/>
      <c r="I22" s="106" t="s">
        <v>248</v>
      </c>
      <c r="J22" s="301">
        <f>J21/$S$4</f>
        <v>0.87585321100917424</v>
      </c>
      <c r="K22" s="203">
        <f>K21/$T$4</f>
        <v>0.95117700305810404</v>
      </c>
      <c r="L22" s="107"/>
      <c r="N22" s="102"/>
      <c r="T22" s="107"/>
    </row>
    <row r="23" spans="1:23">
      <c r="B23" s="81" t="s">
        <v>249</v>
      </c>
      <c r="C23" s="425" t="s">
        <v>250</v>
      </c>
      <c r="D23" s="106"/>
      <c r="E23" s="107"/>
      <c r="F23" s="106"/>
      <c r="G23" s="106"/>
      <c r="H23" s="107"/>
      <c r="I23" s="106"/>
      <c r="J23" s="106"/>
      <c r="K23" s="107"/>
      <c r="L23" s="107"/>
    </row>
    <row r="24" spans="1:23">
      <c r="B24" s="118">
        <f>(1-F21/S8)</f>
        <v>0.15231788079470199</v>
      </c>
      <c r="C24" s="106">
        <f>S8-F21</f>
        <v>437</v>
      </c>
      <c r="D24" s="106"/>
      <c r="E24" s="107" t="s">
        <v>251</v>
      </c>
      <c r="F24" s="106"/>
      <c r="G24" s="106"/>
      <c r="H24" s="107"/>
      <c r="I24" s="106"/>
      <c r="J24" s="106"/>
      <c r="K24" s="203"/>
      <c r="L24" s="107"/>
      <c r="N24" s="135" t="s">
        <v>60</v>
      </c>
      <c r="S24" s="544" t="s">
        <v>252</v>
      </c>
      <c r="T24" s="544"/>
    </row>
    <row r="25" spans="1:23">
      <c r="C25" s="106"/>
      <c r="D25" s="106"/>
      <c r="E25" s="107"/>
      <c r="F25" s="106"/>
      <c r="G25" s="106"/>
      <c r="H25" s="107"/>
      <c r="I25" s="106"/>
      <c r="J25" s="106"/>
      <c r="K25" s="107"/>
      <c r="L25" s="107"/>
      <c r="N25" s="89">
        <v>0.26</v>
      </c>
      <c r="O25" s="81" t="s">
        <v>223</v>
      </c>
      <c r="S25" s="81" t="s">
        <v>224</v>
      </c>
      <c r="T25" s="81" t="s">
        <v>225</v>
      </c>
    </row>
    <row r="26" spans="1:23">
      <c r="C26" s="106"/>
      <c r="D26" s="106"/>
      <c r="E26" s="107"/>
      <c r="F26" s="106"/>
      <c r="G26" s="106"/>
      <c r="H26" s="107"/>
      <c r="I26" s="106"/>
      <c r="J26" s="106"/>
      <c r="K26" s="107"/>
      <c r="L26" s="107"/>
      <c r="O26" s="90">
        <f>O30/S30*S26</f>
        <v>240.07343118412092</v>
      </c>
      <c r="P26" s="91">
        <f>P30/O30*O26</f>
        <v>69318.269023589324</v>
      </c>
      <c r="Q26" s="90">
        <f>Q30/S30*S26</f>
        <v>1547.1398898532236</v>
      </c>
      <c r="R26" s="91">
        <f>R30/Q30*Q26</f>
        <v>549681.73097641056</v>
      </c>
      <c r="S26" s="234">
        <f>T26/(T30/S30)</f>
        <v>1787.2133210373447</v>
      </c>
      <c r="T26" s="235">
        <v>619000</v>
      </c>
      <c r="U26" s="236" t="s">
        <v>226</v>
      </c>
      <c r="V26" s="81">
        <f>T26/S26</f>
        <v>346.34925373134331</v>
      </c>
    </row>
    <row r="27" spans="1:23">
      <c r="B27" s="135" t="s">
        <v>253</v>
      </c>
      <c r="O27" s="90">
        <f>O31/S31*S27</f>
        <v>3.2060948867812784</v>
      </c>
      <c r="P27" s="91">
        <f>P31/O31*O27</f>
        <v>1038.7747433171342</v>
      </c>
      <c r="Q27" s="90">
        <f>Q31/S31*S27</f>
        <v>109.00722615056347</v>
      </c>
      <c r="R27" s="91">
        <f>R31/Q31*Q27</f>
        <v>44362.73494839255</v>
      </c>
      <c r="S27" s="90">
        <f>T27/(T30/S30)</f>
        <v>112.21332103734474</v>
      </c>
      <c r="T27" s="91">
        <f>T26-T30</f>
        <v>38865</v>
      </c>
      <c r="U27" s="81" t="s">
        <v>228</v>
      </c>
      <c r="W27" s="92"/>
    </row>
    <row r="28" spans="1:23">
      <c r="C28" s="545" t="s">
        <v>229</v>
      </c>
      <c r="D28" s="545"/>
      <c r="E28" s="545"/>
      <c r="F28" s="545" t="s">
        <v>230</v>
      </c>
      <c r="G28" s="545"/>
      <c r="H28" s="545"/>
      <c r="I28" s="545" t="s">
        <v>226</v>
      </c>
      <c r="J28" s="545"/>
      <c r="K28" s="545"/>
      <c r="N28" s="135" t="s">
        <v>254</v>
      </c>
    </row>
    <row r="29" spans="1:23">
      <c r="C29" s="93" t="s">
        <v>233</v>
      </c>
      <c r="D29" s="93" t="s">
        <v>234</v>
      </c>
      <c r="E29" s="93" t="s">
        <v>235</v>
      </c>
      <c r="F29" s="93" t="s">
        <v>233</v>
      </c>
      <c r="G29" s="93" t="s">
        <v>234</v>
      </c>
      <c r="H29" s="93" t="s">
        <v>235</v>
      </c>
      <c r="I29" s="93" t="s">
        <v>233</v>
      </c>
      <c r="J29" s="93" t="s">
        <v>234</v>
      </c>
      <c r="K29" s="93" t="s">
        <v>235</v>
      </c>
      <c r="L29" s="94" t="s">
        <v>236</v>
      </c>
      <c r="O29" s="81" t="s">
        <v>237</v>
      </c>
      <c r="P29" s="81" t="s">
        <v>238</v>
      </c>
      <c r="Q29" s="81" t="s">
        <v>239</v>
      </c>
      <c r="R29" s="81" t="s">
        <v>240</v>
      </c>
      <c r="S29" s="81" t="s">
        <v>241</v>
      </c>
      <c r="T29" s="81" t="s">
        <v>242</v>
      </c>
      <c r="U29" s="94" t="s">
        <v>243</v>
      </c>
    </row>
    <row r="30" spans="1:23" s="95" customFormat="1">
      <c r="A30" s="95" t="s">
        <v>244</v>
      </c>
      <c r="I30" s="96">
        <f>I38</f>
        <v>1561</v>
      </c>
      <c r="J30" s="96"/>
      <c r="K30" s="97">
        <f>K38</f>
        <v>591188</v>
      </c>
      <c r="L30" s="98"/>
      <c r="N30" s="95" t="s">
        <v>245</v>
      </c>
      <c r="O30" s="99">
        <f>O43</f>
        <v>225</v>
      </c>
      <c r="P30" s="99">
        <f t="shared" ref="P30:T30" si="8">P43</f>
        <v>64966</v>
      </c>
      <c r="Q30" s="99">
        <f t="shared" si="8"/>
        <v>1450</v>
      </c>
      <c r="R30" s="99">
        <f t="shared" si="8"/>
        <v>515169</v>
      </c>
      <c r="S30" s="99">
        <f t="shared" si="8"/>
        <v>1675</v>
      </c>
      <c r="T30" s="99">
        <f t="shared" si="8"/>
        <v>580135</v>
      </c>
      <c r="U30" s="98"/>
    </row>
    <row r="31" spans="1:23">
      <c r="A31" s="81">
        <v>1</v>
      </c>
      <c r="B31" s="102">
        <v>45747</v>
      </c>
      <c r="C31" s="103">
        <v>38</v>
      </c>
      <c r="D31" s="104">
        <f>C31/'Sales Pacing'!C3</f>
        <v>1048.1666666666665</v>
      </c>
      <c r="E31" s="105">
        <v>13163</v>
      </c>
      <c r="F31" s="103">
        <v>636</v>
      </c>
      <c r="G31" s="104">
        <f>F31/'Sales Pacing'!F3</f>
        <v>5546.3926541320507</v>
      </c>
      <c r="H31" s="105">
        <v>258782</v>
      </c>
      <c r="I31" s="106">
        <f t="shared" ref="I31:K43" si="9">C31+F31</f>
        <v>674</v>
      </c>
      <c r="J31" s="104">
        <f t="shared" si="9"/>
        <v>6594.5593207987167</v>
      </c>
      <c r="K31" s="107">
        <f t="shared" si="9"/>
        <v>271945</v>
      </c>
      <c r="L31" s="108"/>
      <c r="N31" s="102">
        <v>45383</v>
      </c>
      <c r="O31" s="106">
        <v>2</v>
      </c>
      <c r="P31" s="107">
        <v>648</v>
      </c>
      <c r="Q31" s="106">
        <v>68</v>
      </c>
      <c r="R31" s="107">
        <v>27674</v>
      </c>
      <c r="S31" s="106">
        <f t="shared" ref="S31:T43" si="10">O31+Q31</f>
        <v>70</v>
      </c>
      <c r="T31" s="107">
        <f t="shared" si="10"/>
        <v>28322</v>
      </c>
      <c r="U31" s="94"/>
    </row>
    <row r="32" spans="1:23">
      <c r="A32" s="81">
        <v>2</v>
      </c>
      <c r="B32" s="102">
        <v>45754</v>
      </c>
      <c r="C32" s="103">
        <v>44</v>
      </c>
      <c r="D32" s="104">
        <f>C32/'Sales Pacing'!C4</f>
        <v>606.83333333333326</v>
      </c>
      <c r="E32" s="105">
        <v>14651</v>
      </c>
      <c r="F32" s="103">
        <v>785</v>
      </c>
      <c r="G32" s="104">
        <f>F32/'Sales Pacing'!F4</f>
        <v>3783.5788739330269</v>
      </c>
      <c r="H32" s="105">
        <v>312531</v>
      </c>
      <c r="I32" s="106">
        <f t="shared" si="9"/>
        <v>829</v>
      </c>
      <c r="J32" s="104">
        <f t="shared" si="9"/>
        <v>4390.4122072663604</v>
      </c>
      <c r="K32" s="107">
        <f t="shared" si="9"/>
        <v>327182</v>
      </c>
      <c r="L32" s="108">
        <f t="shared" ref="L32:L43" si="11">IF(K32&gt;0,K32-K31,0)</f>
        <v>55237</v>
      </c>
      <c r="N32" s="102">
        <f t="shared" ref="N32:N42" si="12">N31+7</f>
        <v>45390</v>
      </c>
      <c r="O32" s="106">
        <v>54</v>
      </c>
      <c r="P32" s="107">
        <v>17576</v>
      </c>
      <c r="Q32" s="106">
        <v>181</v>
      </c>
      <c r="R32" s="107">
        <v>68648</v>
      </c>
      <c r="S32" s="106">
        <f t="shared" si="10"/>
        <v>235</v>
      </c>
      <c r="T32" s="107">
        <f t="shared" si="10"/>
        <v>86224</v>
      </c>
      <c r="U32" s="108">
        <f t="shared" ref="U32:U43" si="13">IF(T32&gt;0,T32-T31,0)</f>
        <v>57902</v>
      </c>
    </row>
    <row r="33" spans="1:23">
      <c r="A33" s="81">
        <v>3</v>
      </c>
      <c r="B33" s="102">
        <v>45761</v>
      </c>
      <c r="C33" s="103">
        <v>54</v>
      </c>
      <c r="D33" s="104">
        <f>C33/'Sales Pacing'!C5</f>
        <v>616.34482758620686</v>
      </c>
      <c r="E33" s="105">
        <v>19061</v>
      </c>
      <c r="F33" s="103">
        <v>893</v>
      </c>
      <c r="G33" s="104">
        <f>F33/'Sales Pacing'!F5</f>
        <v>3135.2144042168406</v>
      </c>
      <c r="H33" s="105">
        <v>353304</v>
      </c>
      <c r="I33" s="106">
        <f t="shared" si="9"/>
        <v>947</v>
      </c>
      <c r="J33" s="104">
        <f t="shared" si="9"/>
        <v>3751.5592318030476</v>
      </c>
      <c r="K33" s="107">
        <f t="shared" si="9"/>
        <v>372365</v>
      </c>
      <c r="L33" s="108">
        <f t="shared" si="11"/>
        <v>45183</v>
      </c>
      <c r="N33" s="102">
        <f t="shared" si="12"/>
        <v>45397</v>
      </c>
      <c r="O33" s="106">
        <v>66</v>
      </c>
      <c r="P33" s="107">
        <v>20302</v>
      </c>
      <c r="Q33" s="106">
        <v>283</v>
      </c>
      <c r="R33" s="107">
        <v>105425</v>
      </c>
      <c r="S33" s="106">
        <f t="shared" si="10"/>
        <v>349</v>
      </c>
      <c r="T33" s="107">
        <f t="shared" si="10"/>
        <v>125727</v>
      </c>
      <c r="U33" s="108">
        <f t="shared" si="13"/>
        <v>39503</v>
      </c>
    </row>
    <row r="34" spans="1:23">
      <c r="A34" s="81">
        <v>4</v>
      </c>
      <c r="B34" s="102">
        <v>45768</v>
      </c>
      <c r="C34" s="103">
        <v>60</v>
      </c>
      <c r="D34" s="104">
        <f>C34/'Sales Pacing'!C6</f>
        <v>484.39024390243907</v>
      </c>
      <c r="E34" s="105">
        <v>20782</v>
      </c>
      <c r="F34" s="103">
        <v>1067</v>
      </c>
      <c r="G34" s="104">
        <f>F34/'Sales Pacing'!F6</f>
        <v>2921.0750410175192</v>
      </c>
      <c r="H34" s="105">
        <v>417996</v>
      </c>
      <c r="I34" s="106">
        <f t="shared" si="9"/>
        <v>1127</v>
      </c>
      <c r="J34" s="104">
        <f t="shared" si="9"/>
        <v>3405.4652849199583</v>
      </c>
      <c r="K34" s="107">
        <f t="shared" si="9"/>
        <v>438778</v>
      </c>
      <c r="L34" s="108">
        <f t="shared" si="11"/>
        <v>66413</v>
      </c>
      <c r="N34" s="102">
        <f t="shared" si="12"/>
        <v>45404</v>
      </c>
      <c r="O34" s="106">
        <v>86</v>
      </c>
      <c r="P34" s="107">
        <v>26557</v>
      </c>
      <c r="Q34" s="106">
        <v>389</v>
      </c>
      <c r="R34" s="107">
        <v>146108</v>
      </c>
      <c r="S34" s="106">
        <f t="shared" si="10"/>
        <v>475</v>
      </c>
      <c r="T34" s="107">
        <f t="shared" si="10"/>
        <v>172665</v>
      </c>
      <c r="U34" s="108">
        <f t="shared" si="13"/>
        <v>46938</v>
      </c>
    </row>
    <row r="35" spans="1:23">
      <c r="A35" s="84">
        <v>5</v>
      </c>
      <c r="B35" s="102">
        <f t="shared" ref="B35:B42" si="14">B34+7</f>
        <v>45775</v>
      </c>
      <c r="C35" s="103">
        <v>118</v>
      </c>
      <c r="D35" s="104">
        <f>C35/'Sales Pacing'!C7</f>
        <v>566.05797101449275</v>
      </c>
      <c r="E35" s="105">
        <v>38918</v>
      </c>
      <c r="F35" s="103">
        <v>1300</v>
      </c>
      <c r="G35" s="104">
        <f>F35/'Sales Pacing'!F7</f>
        <v>2887.9508729012855</v>
      </c>
      <c r="H35" s="105">
        <v>502867</v>
      </c>
      <c r="I35" s="110">
        <f t="shared" si="9"/>
        <v>1418</v>
      </c>
      <c r="J35" s="104">
        <f t="shared" si="9"/>
        <v>3454.008843915778</v>
      </c>
      <c r="K35" s="107">
        <f t="shared" si="9"/>
        <v>541785</v>
      </c>
      <c r="L35" s="108">
        <f t="shared" si="11"/>
        <v>103007</v>
      </c>
      <c r="N35" s="102">
        <f t="shared" si="12"/>
        <v>45411</v>
      </c>
      <c r="O35" s="106">
        <v>86</v>
      </c>
      <c r="P35" s="107">
        <v>26557</v>
      </c>
      <c r="Q35" s="106">
        <v>476</v>
      </c>
      <c r="R35" s="107">
        <v>178054</v>
      </c>
      <c r="S35" s="106">
        <f t="shared" si="10"/>
        <v>562</v>
      </c>
      <c r="T35" s="107">
        <f t="shared" si="10"/>
        <v>204611</v>
      </c>
      <c r="U35" s="108">
        <f t="shared" si="13"/>
        <v>31946</v>
      </c>
    </row>
    <row r="36" spans="1:23">
      <c r="A36" s="81">
        <v>6</v>
      </c>
      <c r="B36" s="102">
        <f t="shared" si="14"/>
        <v>45782</v>
      </c>
      <c r="C36" s="103">
        <v>157</v>
      </c>
      <c r="D36" s="104">
        <f>C36/'Sales Pacing'!C8</f>
        <v>683.77631578947364</v>
      </c>
      <c r="E36" s="105">
        <v>51765</v>
      </c>
      <c r="F36" s="103">
        <v>1358</v>
      </c>
      <c r="G36" s="104">
        <f>F36/'Sales Pacing'!F8</f>
        <v>2121.6397891180291</v>
      </c>
      <c r="H36" s="105">
        <v>522161</v>
      </c>
      <c r="I36" s="106">
        <f t="shared" si="9"/>
        <v>1515</v>
      </c>
      <c r="J36" s="104">
        <f t="shared" si="9"/>
        <v>2805.4161049075028</v>
      </c>
      <c r="K36" s="112">
        <f t="shared" si="9"/>
        <v>573926</v>
      </c>
      <c r="L36" s="108">
        <f t="shared" si="11"/>
        <v>32141</v>
      </c>
      <c r="N36" s="102">
        <f t="shared" si="12"/>
        <v>45418</v>
      </c>
      <c r="O36" s="106">
        <v>98</v>
      </c>
      <c r="P36" s="107">
        <v>31472</v>
      </c>
      <c r="Q36" s="106">
        <v>806</v>
      </c>
      <c r="R36" s="107">
        <v>294720</v>
      </c>
      <c r="S36" s="106">
        <f t="shared" si="10"/>
        <v>904</v>
      </c>
      <c r="T36" s="107">
        <f t="shared" si="10"/>
        <v>326192</v>
      </c>
      <c r="U36" s="108">
        <f t="shared" si="13"/>
        <v>121581</v>
      </c>
    </row>
    <row r="37" spans="1:23">
      <c r="A37" s="81">
        <v>7</v>
      </c>
      <c r="B37" s="102">
        <f t="shared" si="14"/>
        <v>45789</v>
      </c>
      <c r="C37" s="103">
        <v>165</v>
      </c>
      <c r="D37" s="104">
        <f>C37/'Sales Pacing'!C9</f>
        <v>593.64130434782601</v>
      </c>
      <c r="E37" s="105">
        <v>54301</v>
      </c>
      <c r="F37" s="103">
        <v>1365</v>
      </c>
      <c r="G37" s="104">
        <f>F37/'Sales Pacing'!F9</f>
        <v>1717.3750419561941</v>
      </c>
      <c r="H37" s="105">
        <v>525805</v>
      </c>
      <c r="I37" s="106">
        <f t="shared" si="9"/>
        <v>1530</v>
      </c>
      <c r="J37" s="104">
        <f t="shared" si="9"/>
        <v>2311.0163463040199</v>
      </c>
      <c r="K37" s="112">
        <f t="shared" si="9"/>
        <v>580106</v>
      </c>
      <c r="L37" s="108">
        <f t="shared" si="11"/>
        <v>6180</v>
      </c>
      <c r="N37" s="102">
        <f t="shared" si="12"/>
        <v>45425</v>
      </c>
      <c r="O37" s="81">
        <v>113</v>
      </c>
      <c r="P37" s="119">
        <v>36672</v>
      </c>
      <c r="Q37" s="120">
        <v>1031</v>
      </c>
      <c r="R37" s="119">
        <v>372369</v>
      </c>
      <c r="S37" s="106">
        <f t="shared" si="10"/>
        <v>1144</v>
      </c>
      <c r="T37" s="107">
        <f t="shared" si="10"/>
        <v>409041</v>
      </c>
      <c r="U37" s="108">
        <f t="shared" si="13"/>
        <v>82849</v>
      </c>
    </row>
    <row r="38" spans="1:23">
      <c r="A38" s="81">
        <v>8</v>
      </c>
      <c r="B38" s="102">
        <f t="shared" si="14"/>
        <v>45796</v>
      </c>
      <c r="C38" s="114">
        <v>199</v>
      </c>
      <c r="D38" s="104">
        <f>C38/'Sales Pacing'!C10</f>
        <v>639.504854368932</v>
      </c>
      <c r="E38" s="113">
        <v>65018</v>
      </c>
      <c r="F38" s="114">
        <v>1362</v>
      </c>
      <c r="G38" s="104">
        <f>F38/'Sales Pacing'!F10</f>
        <v>1532.8470860296795</v>
      </c>
      <c r="H38" s="113">
        <v>526170</v>
      </c>
      <c r="I38" s="111">
        <f t="shared" si="9"/>
        <v>1561</v>
      </c>
      <c r="J38" s="104">
        <f t="shared" si="9"/>
        <v>2172.3519403986115</v>
      </c>
      <c r="K38" s="112">
        <f t="shared" si="9"/>
        <v>591188</v>
      </c>
      <c r="L38" s="108">
        <f t="shared" si="11"/>
        <v>11082</v>
      </c>
      <c r="N38" s="102">
        <f t="shared" si="12"/>
        <v>45432</v>
      </c>
      <c r="O38" s="106">
        <v>127</v>
      </c>
      <c r="P38" s="119">
        <v>40518</v>
      </c>
      <c r="Q38" s="120">
        <v>1267</v>
      </c>
      <c r="R38" s="119">
        <v>452816</v>
      </c>
      <c r="S38" s="106">
        <f t="shared" si="10"/>
        <v>1394</v>
      </c>
      <c r="T38" s="107">
        <f t="shared" si="10"/>
        <v>493334</v>
      </c>
      <c r="U38" s="108">
        <f t="shared" si="13"/>
        <v>84293</v>
      </c>
      <c r="W38" s="90"/>
    </row>
    <row r="39" spans="1:23">
      <c r="A39" s="81">
        <v>9</v>
      </c>
      <c r="B39" s="102">
        <f t="shared" si="14"/>
        <v>45803</v>
      </c>
      <c r="C39" s="114">
        <v>220</v>
      </c>
      <c r="D39" s="104">
        <f>C39/'Sales Pacing'!C11</f>
        <v>568.90625</v>
      </c>
      <c r="E39" s="113">
        <v>73218</v>
      </c>
      <c r="F39" s="114">
        <v>1368</v>
      </c>
      <c r="G39" s="104">
        <f>F39/'Sales Pacing'!F11</f>
        <v>1451.7935022689851</v>
      </c>
      <c r="H39" s="113">
        <v>531352</v>
      </c>
      <c r="I39" s="106">
        <f t="shared" si="9"/>
        <v>1588</v>
      </c>
      <c r="J39" s="104">
        <f t="shared" si="9"/>
        <v>2020.6997522689851</v>
      </c>
      <c r="K39" s="112">
        <f t="shared" si="9"/>
        <v>604570</v>
      </c>
      <c r="L39" s="108">
        <f t="shared" si="11"/>
        <v>13382</v>
      </c>
      <c r="N39" s="102">
        <f t="shared" si="12"/>
        <v>45439</v>
      </c>
      <c r="O39" s="106">
        <v>160</v>
      </c>
      <c r="P39" s="119">
        <v>48485</v>
      </c>
      <c r="Q39" s="120">
        <v>1395</v>
      </c>
      <c r="R39" s="119">
        <v>497335</v>
      </c>
      <c r="S39" s="106">
        <f t="shared" si="10"/>
        <v>1555</v>
      </c>
      <c r="T39" s="107">
        <f t="shared" si="10"/>
        <v>545820</v>
      </c>
      <c r="U39" s="108">
        <f t="shared" si="13"/>
        <v>52486</v>
      </c>
      <c r="W39" s="90"/>
    </row>
    <row r="40" spans="1:23">
      <c r="A40" s="87">
        <v>10</v>
      </c>
      <c r="B40" s="102">
        <f t="shared" si="14"/>
        <v>45810</v>
      </c>
      <c r="C40" s="114">
        <v>239</v>
      </c>
      <c r="D40" s="104">
        <f>C40/'Sales Pacing'!C12</f>
        <v>557.1056338028169</v>
      </c>
      <c r="E40" s="113">
        <v>80035</v>
      </c>
      <c r="F40" s="114">
        <v>1374</v>
      </c>
      <c r="G40" s="104">
        <f>F40/'Sales Pacing'!F12</f>
        <v>1439.257790435646</v>
      </c>
      <c r="H40" s="113">
        <v>536728</v>
      </c>
      <c r="I40" s="115">
        <f t="shared" si="9"/>
        <v>1613</v>
      </c>
      <c r="J40" s="104">
        <f t="shared" si="9"/>
        <v>1996.3634242384628</v>
      </c>
      <c r="K40" s="112">
        <f t="shared" si="9"/>
        <v>616763</v>
      </c>
      <c r="L40" s="108">
        <f t="shared" si="11"/>
        <v>12193</v>
      </c>
      <c r="N40" s="102">
        <f t="shared" si="12"/>
        <v>45446</v>
      </c>
      <c r="O40" s="120">
        <v>172</v>
      </c>
      <c r="P40" s="107">
        <v>51234</v>
      </c>
      <c r="Q40" s="106">
        <v>1411</v>
      </c>
      <c r="R40" s="107">
        <v>502695</v>
      </c>
      <c r="S40" s="106">
        <f t="shared" si="10"/>
        <v>1583</v>
      </c>
      <c r="T40" s="107">
        <f t="shared" si="10"/>
        <v>553929</v>
      </c>
      <c r="U40" s="108">
        <f t="shared" si="13"/>
        <v>8109</v>
      </c>
    </row>
    <row r="41" spans="1:23">
      <c r="A41" s="81">
        <v>11</v>
      </c>
      <c r="B41" s="102">
        <f t="shared" si="14"/>
        <v>45817</v>
      </c>
      <c r="C41" s="114">
        <v>255</v>
      </c>
      <c r="D41" s="104">
        <f>C41/'Sales Pacing'!C13</f>
        <v>530.84905660377353</v>
      </c>
      <c r="E41" s="113">
        <v>89633</v>
      </c>
      <c r="F41" s="114">
        <v>1407</v>
      </c>
      <c r="G41" s="104">
        <f>F41/'Sales Pacing'!F13</f>
        <v>1457.5734767710057</v>
      </c>
      <c r="H41" s="113">
        <v>540393</v>
      </c>
      <c r="I41" s="106">
        <f t="shared" si="9"/>
        <v>1662</v>
      </c>
      <c r="J41" s="104">
        <f t="shared" si="9"/>
        <v>1988.4225333747793</v>
      </c>
      <c r="K41" s="112">
        <f t="shared" si="9"/>
        <v>630026</v>
      </c>
      <c r="L41" s="108">
        <f t="shared" si="11"/>
        <v>13263</v>
      </c>
      <c r="N41" s="102">
        <f t="shared" si="12"/>
        <v>45453</v>
      </c>
      <c r="O41" s="120">
        <v>187</v>
      </c>
      <c r="P41" s="107">
        <v>55826</v>
      </c>
      <c r="Q41" s="106">
        <v>1418</v>
      </c>
      <c r="R41" s="107">
        <v>505550</v>
      </c>
      <c r="S41" s="106">
        <f t="shared" si="10"/>
        <v>1605</v>
      </c>
      <c r="T41" s="107">
        <f t="shared" si="10"/>
        <v>561376</v>
      </c>
      <c r="U41" s="108">
        <f t="shared" si="13"/>
        <v>7447</v>
      </c>
    </row>
    <row r="42" spans="1:23">
      <c r="A42" s="81">
        <v>12</v>
      </c>
      <c r="B42" s="102">
        <f t="shared" si="14"/>
        <v>45824</v>
      </c>
      <c r="C42" s="114">
        <v>270</v>
      </c>
      <c r="D42" s="104">
        <f>C42/'Sales Pacing'!C14</f>
        <v>470.36842105263156</v>
      </c>
      <c r="E42" s="113">
        <v>90711</v>
      </c>
      <c r="F42" s="114">
        <v>1383</v>
      </c>
      <c r="G42" s="104">
        <f>F42/'Sales Pacing'!F14</f>
        <v>1420.0539987644104</v>
      </c>
      <c r="H42" s="113">
        <v>543160</v>
      </c>
      <c r="I42" s="106">
        <f t="shared" si="9"/>
        <v>1653</v>
      </c>
      <c r="J42" s="104">
        <f t="shared" si="9"/>
        <v>1890.4224198170418</v>
      </c>
      <c r="K42" s="112">
        <f t="shared" si="9"/>
        <v>633871</v>
      </c>
      <c r="L42" s="108">
        <f t="shared" si="11"/>
        <v>3845</v>
      </c>
      <c r="N42" s="102">
        <f t="shared" si="12"/>
        <v>45460</v>
      </c>
      <c r="O42" s="120">
        <v>193</v>
      </c>
      <c r="P42" s="121">
        <v>57355</v>
      </c>
      <c r="Q42" s="122">
        <v>1434</v>
      </c>
      <c r="R42" s="121">
        <v>510568</v>
      </c>
      <c r="S42" s="106">
        <f t="shared" si="10"/>
        <v>1627</v>
      </c>
      <c r="T42" s="107">
        <f t="shared" si="10"/>
        <v>567923</v>
      </c>
      <c r="U42" s="108">
        <f t="shared" si="13"/>
        <v>6547</v>
      </c>
    </row>
    <row r="43" spans="1:23">
      <c r="A43" s="116" t="s">
        <v>246</v>
      </c>
      <c r="B43" s="302">
        <v>45936</v>
      </c>
      <c r="C43" s="114">
        <v>388</v>
      </c>
      <c r="D43" s="104">
        <f>C43/'Sales Pacing'!C15</f>
        <v>388</v>
      </c>
      <c r="E43" s="113">
        <v>121629.9</v>
      </c>
      <c r="F43" s="114">
        <v>1409</v>
      </c>
      <c r="G43" s="104">
        <f>F43/'Sales Pacing'!F15</f>
        <v>1409</v>
      </c>
      <c r="H43" s="113">
        <v>544870</v>
      </c>
      <c r="I43" s="106">
        <f t="shared" si="9"/>
        <v>1797</v>
      </c>
      <c r="J43" s="104">
        <f t="shared" si="9"/>
        <v>1797</v>
      </c>
      <c r="K43" s="305">
        <f t="shared" si="9"/>
        <v>666499.9</v>
      </c>
      <c r="L43" s="108">
        <f t="shared" si="11"/>
        <v>32628.900000000023</v>
      </c>
      <c r="N43" s="117" t="s">
        <v>247</v>
      </c>
      <c r="O43" s="120">
        <v>225</v>
      </c>
      <c r="P43" s="107">
        <v>64966</v>
      </c>
      <c r="Q43" s="106">
        <v>1450</v>
      </c>
      <c r="R43" s="107">
        <v>515169</v>
      </c>
      <c r="S43" s="106">
        <f t="shared" si="10"/>
        <v>1675</v>
      </c>
      <c r="T43" s="107">
        <f t="shared" si="10"/>
        <v>580135</v>
      </c>
      <c r="U43" s="108">
        <f t="shared" si="13"/>
        <v>12212</v>
      </c>
    </row>
    <row r="44" spans="1:23">
      <c r="C44" s="106"/>
      <c r="D44" s="106"/>
      <c r="E44" s="107"/>
      <c r="F44" s="106"/>
      <c r="G44" s="106"/>
      <c r="H44" s="107"/>
      <c r="I44" s="106" t="s">
        <v>248</v>
      </c>
      <c r="J44" s="301">
        <f>J43/$S$26</f>
        <v>1.0054759433848528</v>
      </c>
      <c r="K44" s="203">
        <f>K43/$T$26</f>
        <v>1.0767365105008078</v>
      </c>
      <c r="L44" s="107"/>
    </row>
    <row r="45" spans="1:23">
      <c r="B45" s="81" t="s">
        <v>249</v>
      </c>
      <c r="C45" s="425" t="s">
        <v>250</v>
      </c>
      <c r="D45" s="106"/>
      <c r="F45" s="106"/>
      <c r="G45" s="106"/>
      <c r="I45" s="106"/>
      <c r="J45" s="106"/>
    </row>
    <row r="46" spans="1:23">
      <c r="B46" s="118">
        <f>(1-F43/S30)</f>
        <v>0.15880597014925368</v>
      </c>
      <c r="C46" s="106">
        <f>S30-F43</f>
        <v>266</v>
      </c>
      <c r="I46" s="106"/>
      <c r="J46" s="106"/>
      <c r="K46" s="92"/>
      <c r="L46" s="92"/>
    </row>
    <row r="47" spans="1:23">
      <c r="B47" s="118"/>
      <c r="I47" s="106"/>
      <c r="J47" s="106"/>
    </row>
    <row r="48" spans="1:23">
      <c r="A48" s="24" t="s">
        <v>119</v>
      </c>
      <c r="K48" s="92"/>
    </row>
    <row r="49" spans="1:11">
      <c r="A49" s="25" t="s">
        <v>255</v>
      </c>
      <c r="K49" s="92"/>
    </row>
    <row r="50" spans="1:11">
      <c r="A50" s="81" t="s">
        <v>256</v>
      </c>
    </row>
    <row r="51" spans="1:11">
      <c r="A51" s="81" t="s">
        <v>257</v>
      </c>
    </row>
  </sheetData>
  <mergeCells count="8">
    <mergeCell ref="S24:T24"/>
    <mergeCell ref="C28:E28"/>
    <mergeCell ref="F28:H28"/>
    <mergeCell ref="I28:K28"/>
    <mergeCell ref="S2:T2"/>
    <mergeCell ref="C6:E6"/>
    <mergeCell ref="F6:H6"/>
    <mergeCell ref="I6:K6"/>
  </mergeCells>
  <conditionalFormatting sqref="D9:D21">
    <cfRule type="cellIs" dxfId="46" priority="9" operator="equal">
      <formula>0</formula>
    </cfRule>
    <cfRule type="cellIs" dxfId="45" priority="12" operator="greaterThanOrEqual">
      <formula>$O$4</formula>
    </cfRule>
    <cfRule type="cellIs" dxfId="44" priority="11" operator="between">
      <formula>0.9*$O$4</formula>
      <formula>0.9999*$O$4</formula>
    </cfRule>
    <cfRule type="cellIs" dxfId="43" priority="10" operator="lessThanOrEqual">
      <formula>0.9*$O$4</formula>
    </cfRule>
  </conditionalFormatting>
  <conditionalFormatting sqref="D31:D43">
    <cfRule type="cellIs" dxfId="42" priority="2" operator="lessThanOrEqual">
      <formula>0.9*$O$26</formula>
    </cfRule>
    <cfRule type="cellIs" dxfId="41" priority="3" operator="between">
      <formula>0.9*$O$26</formula>
      <formula>0.9999*$O$26</formula>
    </cfRule>
    <cfRule type="cellIs" dxfId="40" priority="4" operator="greaterThanOrEqual">
      <formula>$O$26</formula>
    </cfRule>
    <cfRule type="cellIs" dxfId="39" priority="1" operator="equal">
      <formula>0</formula>
    </cfRule>
  </conditionalFormatting>
  <conditionalFormatting sqref="G9:G21">
    <cfRule type="cellIs" dxfId="38" priority="13" operator="equal">
      <formula>0</formula>
    </cfRule>
    <cfRule type="cellIs" dxfId="37" priority="14" operator="lessThanOrEqual">
      <formula>0.9*$Q$4</formula>
    </cfRule>
    <cfRule type="cellIs" dxfId="36" priority="15" operator="between">
      <formula>0.9*$Q$4</formula>
      <formula>0.9999*$Q$4</formula>
    </cfRule>
    <cfRule type="cellIs" dxfId="35" priority="16" operator="greaterThanOrEqual">
      <formula>$Q$4</formula>
    </cfRule>
  </conditionalFormatting>
  <conditionalFormatting sqref="G31:G43">
    <cfRule type="cellIs" dxfId="34" priority="8" operator="greaterThanOrEqual">
      <formula>$Q$26</formula>
    </cfRule>
    <cfRule type="cellIs" dxfId="33" priority="7" operator="between">
      <formula>0.9*$Q$26</formula>
      <formula>0.9999*$Q$26</formula>
    </cfRule>
    <cfRule type="cellIs" dxfId="32" priority="6" operator="lessThanOrEqual">
      <formula>0.9*$Q$26</formula>
    </cfRule>
    <cfRule type="cellIs" dxfId="31" priority="5" operator="equal">
      <formula>0</formula>
    </cfRule>
  </conditionalFormatting>
  <conditionalFormatting sqref="J9:J21">
    <cfRule type="cellIs" dxfId="30" priority="21" operator="equal">
      <formula>0</formula>
    </cfRule>
    <cfRule type="cellIs" dxfId="29" priority="22" operator="lessThanOrEqual">
      <formula>0.9*$S$4</formula>
    </cfRule>
    <cfRule type="cellIs" dxfId="28" priority="23" operator="between">
      <formula>0.9*$S$4</formula>
      <formula>0.9999*$S$4</formula>
    </cfRule>
    <cfRule type="cellIs" dxfId="27" priority="24" operator="greaterThanOrEqual">
      <formula>$S$4</formula>
    </cfRule>
  </conditionalFormatting>
  <conditionalFormatting sqref="J31:J43">
    <cfRule type="cellIs" dxfId="26" priority="17" operator="equal">
      <formula>0</formula>
    </cfRule>
    <cfRule type="cellIs" dxfId="25" priority="18" operator="lessThanOrEqual">
      <formula>0.9*$S$26</formula>
    </cfRule>
    <cfRule type="cellIs" dxfId="24" priority="19" operator="between">
      <formula>0.9*$S$26</formula>
      <formula>0.9999*$S$26</formula>
    </cfRule>
    <cfRule type="cellIs" dxfId="23" priority="20" operator="greaterThanOrEqual">
      <formula>$S$26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0D2-A571-4382-9364-5D2C7780E6B0}">
  <dimension ref="B2:L16"/>
  <sheetViews>
    <sheetView topLeftCell="A5" workbookViewId="0">
      <selection activeCell="D5" sqref="D5"/>
    </sheetView>
  </sheetViews>
  <sheetFormatPr defaultColWidth="8.85546875" defaultRowHeight="15"/>
  <cols>
    <col min="6" max="6" width="13.7109375" customWidth="1"/>
    <col min="7" max="8" width="10.28515625" bestFit="1" customWidth="1"/>
    <col min="10" max="11" width="14" bestFit="1" customWidth="1"/>
  </cols>
  <sheetData>
    <row r="2" spans="2:12" ht="68.099999999999994">
      <c r="B2" s="25" t="s">
        <v>258</v>
      </c>
      <c r="G2" s="12" t="s">
        <v>259</v>
      </c>
      <c r="H2" s="13" t="s">
        <v>260</v>
      </c>
      <c r="I2" s="13" t="s">
        <v>261</v>
      </c>
      <c r="J2" s="136" t="s">
        <v>242</v>
      </c>
      <c r="K2" s="137" t="s">
        <v>44</v>
      </c>
      <c r="L2" s="136" t="s">
        <v>262</v>
      </c>
    </row>
    <row r="3" spans="2:12" s="62" customFormat="1" ht="12.75" customHeight="1">
      <c r="B3" s="63" t="s">
        <v>118</v>
      </c>
      <c r="C3" s="64"/>
      <c r="D3" s="64"/>
      <c r="E3" s="64"/>
      <c r="F3" s="64"/>
      <c r="G3" s="65">
        <f>'Performances by Week'!I126</f>
        <v>0</v>
      </c>
      <c r="H3" s="65">
        <f>'Performances by Week'!J126</f>
        <v>0</v>
      </c>
      <c r="I3" s="65">
        <f>'Performances by Week'!K126</f>
        <v>0</v>
      </c>
      <c r="J3" s="65">
        <f>'Performances by Week'!M126</f>
        <v>0</v>
      </c>
      <c r="K3" s="65">
        <f>'Performances by Week'!O126</f>
        <v>6268640</v>
      </c>
      <c r="L3" s="65" t="str">
        <f>'Performances by Week'!Q126</f>
        <v/>
      </c>
    </row>
    <row r="5" spans="2:12" ht="56.25" customHeight="1">
      <c r="B5" s="25" t="s">
        <v>263</v>
      </c>
      <c r="G5" s="12" t="s">
        <v>259</v>
      </c>
      <c r="H5" s="13" t="s">
        <v>260</v>
      </c>
      <c r="I5" s="13"/>
      <c r="J5" s="136" t="s">
        <v>242</v>
      </c>
      <c r="K5" s="137" t="s">
        <v>44</v>
      </c>
      <c r="L5" s="136" t="s">
        <v>262</v>
      </c>
    </row>
    <row r="6" spans="2:12">
      <c r="B6" s="25" t="s">
        <v>264</v>
      </c>
      <c r="G6" s="138">
        <f>'Performances by Week'!AB126</f>
        <v>0</v>
      </c>
      <c r="H6" s="138"/>
      <c r="I6" s="139"/>
      <c r="J6" s="140">
        <f>'Performances by Week'!AC126</f>
        <v>0</v>
      </c>
      <c r="K6" s="140">
        <f>'Performances by Week'!AD126</f>
        <v>2169893</v>
      </c>
      <c r="L6" s="140" t="str">
        <f>'Performances by Week'!AE126</f>
        <v/>
      </c>
    </row>
    <row r="7" spans="2:12">
      <c r="B7" s="25" t="s">
        <v>265</v>
      </c>
      <c r="G7" s="138" t="e">
        <f>'Performances by Week'!#REF!</f>
        <v>#REF!</v>
      </c>
      <c r="H7" s="138" t="e">
        <f>'Performances by Week'!U126</f>
        <v>#REF!</v>
      </c>
      <c r="I7" s="139"/>
      <c r="J7" s="140">
        <f>'Performances by Week'!X126</f>
        <v>0</v>
      </c>
      <c r="K7" s="140">
        <f>'Performances by Week'!Y126</f>
        <v>3973690</v>
      </c>
      <c r="L7" s="140" t="str">
        <f>'Performances by Week'!AA126</f>
        <v/>
      </c>
    </row>
    <row r="9" spans="2:12" ht="68.099999999999994">
      <c r="B9" s="25" t="s">
        <v>266</v>
      </c>
      <c r="G9" s="12" t="s">
        <v>259</v>
      </c>
      <c r="H9" s="13" t="s">
        <v>260</v>
      </c>
      <c r="I9" s="13" t="s">
        <v>261</v>
      </c>
      <c r="J9" s="136" t="s">
        <v>242</v>
      </c>
      <c r="K9" s="137" t="s">
        <v>44</v>
      </c>
      <c r="L9" s="136" t="s">
        <v>262</v>
      </c>
    </row>
    <row r="10" spans="2:12" s="1" customFormat="1" ht="12.95">
      <c r="B10" s="38" t="s">
        <v>267</v>
      </c>
      <c r="C10" s="39"/>
      <c r="D10" s="39"/>
      <c r="E10" s="39"/>
      <c r="F10" s="39"/>
      <c r="G10" s="40">
        <f>'Performances by Week'!I119</f>
        <v>0</v>
      </c>
      <c r="H10" s="40">
        <f>'Performances by Week'!J119</f>
        <v>0</v>
      </c>
      <c r="I10" s="40">
        <f>'Performances by Week'!K119</f>
        <v>0</v>
      </c>
      <c r="J10" s="40">
        <f>'Performances by Week'!M119</f>
        <v>0</v>
      </c>
      <c r="K10" s="40">
        <f>'Performances by Week'!O119</f>
        <v>2139000</v>
      </c>
      <c r="L10" s="40" t="str">
        <f>'Performances by Week'!Q119</f>
        <v/>
      </c>
    </row>
    <row r="11" spans="2:12" s="1" customFormat="1" ht="12.95">
      <c r="B11" s="38" t="s">
        <v>268</v>
      </c>
      <c r="C11" s="39"/>
      <c r="D11" s="39"/>
      <c r="E11" s="39"/>
      <c r="F11" s="39"/>
      <c r="G11" s="40">
        <f>'Performances by Week'!I120</f>
        <v>0</v>
      </c>
      <c r="H11" s="40">
        <f>'Performances by Week'!J120</f>
        <v>0</v>
      </c>
      <c r="I11" s="40">
        <f>'Performances by Week'!K120</f>
        <v>0</v>
      </c>
      <c r="J11" s="40">
        <f>'Performances by Week'!M120</f>
        <v>0</v>
      </c>
      <c r="K11" s="40">
        <f>'Performances by Week'!O120</f>
        <v>363000</v>
      </c>
      <c r="L11" s="40" t="str">
        <f>'Performances by Week'!Q120</f>
        <v/>
      </c>
    </row>
    <row r="12" spans="2:12" s="1" customFormat="1" ht="12.95">
      <c r="B12" s="38" t="s">
        <v>269</v>
      </c>
      <c r="C12" s="39"/>
      <c r="D12" s="39"/>
      <c r="E12" s="39"/>
      <c r="F12" s="39"/>
      <c r="G12" s="40">
        <f>'Performances by Week'!I121</f>
        <v>0</v>
      </c>
      <c r="H12" s="40">
        <f>'Performances by Week'!J121</f>
        <v>0</v>
      </c>
      <c r="I12" s="40">
        <f>'Performances by Week'!K121</f>
        <v>0</v>
      </c>
      <c r="J12" s="40">
        <f>'Performances by Week'!M121</f>
        <v>0</v>
      </c>
      <c r="K12" s="40">
        <f>'Performances by Week'!O121</f>
        <v>1457000</v>
      </c>
      <c r="L12" s="40" t="str">
        <f>'Performances by Week'!Q121</f>
        <v/>
      </c>
    </row>
    <row r="13" spans="2:12" s="1" customFormat="1" ht="12.95">
      <c r="B13" s="38" t="s">
        <v>270</v>
      </c>
      <c r="C13" s="39"/>
      <c r="D13" s="39"/>
      <c r="E13" s="39"/>
      <c r="F13" s="39"/>
      <c r="G13" s="40">
        <f>'Performances by Week'!I122</f>
        <v>0</v>
      </c>
      <c r="H13" s="40">
        <f>'Performances by Week'!J122</f>
        <v>0</v>
      </c>
      <c r="I13" s="40">
        <f>'Performances by Week'!K122</f>
        <v>0</v>
      </c>
      <c r="J13" s="40">
        <f>'Performances by Week'!M122</f>
        <v>0</v>
      </c>
      <c r="K13" s="40">
        <f>'Performances by Week'!O122</f>
        <v>525950</v>
      </c>
      <c r="L13" s="40" t="str">
        <f>'Performances by Week'!Q122</f>
        <v/>
      </c>
    </row>
    <row r="14" spans="2:12" s="1" customFormat="1" ht="12.95">
      <c r="B14" s="52" t="s">
        <v>271</v>
      </c>
      <c r="C14" s="53"/>
      <c r="D14" s="53"/>
      <c r="E14" s="53"/>
      <c r="F14" s="53"/>
      <c r="G14" s="40">
        <f>'Performances by Week'!I123</f>
        <v>0</v>
      </c>
      <c r="H14" s="40">
        <f>'Performances by Week'!J123</f>
        <v>0</v>
      </c>
      <c r="I14" s="40">
        <f>'Performances by Week'!K123</f>
        <v>0</v>
      </c>
      <c r="J14" s="40">
        <f>'Performances by Week'!M123</f>
        <v>0</v>
      </c>
      <c r="K14" s="40">
        <f>'Performances by Week'!O123</f>
        <v>1745490</v>
      </c>
      <c r="L14" s="40" t="str">
        <f>'Performances by Week'!Q123</f>
        <v/>
      </c>
    </row>
    <row r="15" spans="2:12" s="1" customFormat="1" ht="12.95">
      <c r="B15" s="52" t="s">
        <v>272</v>
      </c>
      <c r="C15" s="53"/>
      <c r="D15" s="53"/>
      <c r="E15" s="53"/>
      <c r="F15" s="53"/>
      <c r="G15" s="40">
        <f>'Performances by Week'!I124</f>
        <v>0</v>
      </c>
      <c r="H15" s="40">
        <f>'Performances by Week'!J124</f>
        <v>0</v>
      </c>
      <c r="I15" s="40">
        <f>'Performances by Week'!K124</f>
        <v>0</v>
      </c>
      <c r="J15" s="40">
        <f>'Performances by Week'!M124</f>
        <v>0</v>
      </c>
      <c r="K15" s="40">
        <f>'Performances by Week'!O124</f>
        <v>38200</v>
      </c>
      <c r="L15" s="40" t="str">
        <f>'Performances by Week'!Q124</f>
        <v/>
      </c>
    </row>
    <row r="16" spans="2:12" s="1" customFormat="1" ht="12.75" customHeight="1">
      <c r="B16" s="38" t="s">
        <v>273</v>
      </c>
      <c r="C16" s="60"/>
      <c r="D16" s="60"/>
      <c r="E16" s="60"/>
      <c r="F16" s="60"/>
      <c r="G16" s="40">
        <f>'Performances by Week'!I125</f>
        <v>0</v>
      </c>
      <c r="H16" s="40">
        <f>'Performances by Week'!J125</f>
        <v>0</v>
      </c>
      <c r="I16" s="40">
        <f>'Performances by Week'!K125</f>
        <v>0</v>
      </c>
      <c r="J16" s="40">
        <f>'Performances by Week'!M125</f>
        <v>0</v>
      </c>
      <c r="K16" s="40">
        <f>'Performances by Week'!O125</f>
        <v>0</v>
      </c>
      <c r="L16" s="40" t="str">
        <f>'Performances by Week'!Q125</f>
        <v/>
      </c>
    </row>
  </sheetData>
  <conditionalFormatting sqref="I3">
    <cfRule type="cellIs" dxfId="22" priority="21" operator="equal">
      <formula>""</formula>
    </cfRule>
    <cfRule type="cellIs" dxfId="21" priority="22" operator="lessThanOrEqual">
      <formula>0.6</formula>
    </cfRule>
    <cfRule type="cellIs" dxfId="20" priority="23" operator="between">
      <formula>0.8</formula>
      <formula>0.6</formula>
    </cfRule>
    <cfRule type="cellIs" dxfId="19" priority="24" operator="greaterThanOrEqual">
      <formula>0.8</formula>
    </cfRule>
  </conditionalFormatting>
  <conditionalFormatting sqref="I11:I16">
    <cfRule type="cellIs" dxfId="18" priority="13" operator="equal">
      <formula>""</formula>
    </cfRule>
    <cfRule type="cellIs" dxfId="17" priority="14" operator="lessThanOrEqual">
      <formula>0.6</formula>
    </cfRule>
    <cfRule type="cellIs" dxfId="16" priority="15" operator="between">
      <formula>0.8</formula>
      <formula>0.6</formula>
    </cfRule>
    <cfRule type="cellIs" dxfId="15" priority="16" operator="greaterThanOrEqual">
      <formula>0.8</formula>
    </cfRule>
  </conditionalFormatting>
  <conditionalFormatting sqref="L7">
    <cfRule type="cellIs" dxfId="14" priority="5" operator="equal">
      <formula>""</formula>
    </cfRule>
    <cfRule type="cellIs" dxfId="13" priority="6" operator="lessThanOrEqual">
      <formula>0.8</formula>
    </cfRule>
    <cfRule type="cellIs" dxfId="12" priority="7" operator="between">
      <formula>0.95</formula>
      <formula>0.8</formula>
    </cfRule>
    <cfRule type="cellIs" dxfId="11" priority="8" operator="greaterThanOrEqual">
      <formula>0.95</formula>
    </cfRule>
  </conditionalFormatting>
  <conditionalFormatting sqref="L11:L16">
    <cfRule type="cellIs" dxfId="10" priority="9" operator="equal">
      <formula>""</formula>
    </cfRule>
    <cfRule type="cellIs" dxfId="9" priority="10" operator="lessThanOrEqual">
      <formula>0.8</formula>
    </cfRule>
    <cfRule type="cellIs" dxfId="8" priority="11" operator="between">
      <formula>0.95</formula>
      <formula>0.8</formula>
    </cfRule>
    <cfRule type="cellIs" dxfId="7" priority="12" operator="greaterThanOrEqual">
      <formula>0.95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D343-5A03-40D3-B712-B1FCF84D4304}">
  <dimension ref="A16:K31"/>
  <sheetViews>
    <sheetView workbookViewId="0">
      <selection activeCell="A21" sqref="A21"/>
    </sheetView>
  </sheetViews>
  <sheetFormatPr defaultColWidth="8.85546875" defaultRowHeight="15"/>
  <sheetData>
    <row r="16" spans="1:2">
      <c r="A16" s="25" t="s">
        <v>274</v>
      </c>
      <c r="B16" s="25" t="s">
        <v>275</v>
      </c>
    </row>
    <row r="17" spans="2:11">
      <c r="B17" s="25" t="s">
        <v>276</v>
      </c>
    </row>
    <row r="18" spans="2:11">
      <c r="B18" s="25" t="s">
        <v>277</v>
      </c>
    </row>
    <row r="19" spans="2:11">
      <c r="B19" s="25" t="s">
        <v>278</v>
      </c>
    </row>
    <row r="20" spans="2:11">
      <c r="B20" s="25" t="s">
        <v>279</v>
      </c>
    </row>
    <row r="21" spans="2:11">
      <c r="B21" s="25"/>
    </row>
    <row r="22" spans="2:11">
      <c r="B22" s="25"/>
    </row>
    <row r="23" spans="2:11">
      <c r="B23" s="25"/>
    </row>
    <row r="24" spans="2:11">
      <c r="B24" s="25"/>
    </row>
    <row r="27" spans="2:11">
      <c r="J27" s="25" t="s">
        <v>274</v>
      </c>
      <c r="K27" s="25" t="s">
        <v>275</v>
      </c>
    </row>
    <row r="28" spans="2:11">
      <c r="K28" s="25" t="s">
        <v>280</v>
      </c>
    </row>
    <row r="29" spans="2:11">
      <c r="K29" s="25" t="s">
        <v>281</v>
      </c>
    </row>
    <row r="30" spans="2:11">
      <c r="K30" s="25" t="s">
        <v>282</v>
      </c>
    </row>
    <row r="31" spans="2:11">
      <c r="K31" s="25" t="s">
        <v>283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07-DC6E-437E-A868-CF33BFB78F2C}">
  <dimension ref="A1:K47"/>
  <sheetViews>
    <sheetView workbookViewId="0">
      <selection activeCell="D43" sqref="D43"/>
    </sheetView>
  </sheetViews>
  <sheetFormatPr defaultColWidth="8.85546875" defaultRowHeight="15"/>
  <cols>
    <col min="1" max="1" width="37" customWidth="1"/>
    <col min="2" max="11" width="13.28515625" customWidth="1"/>
  </cols>
  <sheetData>
    <row r="1" spans="1:11">
      <c r="A1" s="174" t="s">
        <v>284</v>
      </c>
    </row>
    <row r="2" spans="1:11" ht="14.45" customHeight="1">
      <c r="A2" s="148" t="s">
        <v>285</v>
      </c>
      <c r="B2" s="546" t="s">
        <v>286</v>
      </c>
      <c r="C2" s="547"/>
      <c r="D2" s="547"/>
      <c r="E2" s="547"/>
      <c r="F2" s="548"/>
      <c r="G2" s="149" t="s">
        <v>285</v>
      </c>
      <c r="H2" s="546" t="s">
        <v>287</v>
      </c>
      <c r="I2" s="547"/>
      <c r="J2" s="548"/>
      <c r="K2" s="150" t="s">
        <v>285</v>
      </c>
    </row>
    <row r="3" spans="1:11" ht="17.100000000000001">
      <c r="A3" s="151" t="s">
        <v>288</v>
      </c>
      <c r="B3" s="152" t="s">
        <v>289</v>
      </c>
      <c r="C3" s="153" t="s">
        <v>290</v>
      </c>
      <c r="D3" s="153" t="s">
        <v>291</v>
      </c>
      <c r="E3" s="152" t="s">
        <v>292</v>
      </c>
      <c r="F3" s="152" t="s">
        <v>293</v>
      </c>
      <c r="G3" s="153" t="s">
        <v>294</v>
      </c>
      <c r="H3" s="153" t="s">
        <v>295</v>
      </c>
      <c r="I3" s="152" t="s">
        <v>296</v>
      </c>
      <c r="J3" s="152" t="s">
        <v>289</v>
      </c>
      <c r="K3" s="154" t="s">
        <v>297</v>
      </c>
    </row>
    <row r="4" spans="1:11" ht="15.95">
      <c r="A4" s="155"/>
      <c r="B4" s="156" t="s">
        <v>298</v>
      </c>
      <c r="C4" s="157"/>
      <c r="D4" s="157"/>
      <c r="E4" s="156" t="s">
        <v>299</v>
      </c>
      <c r="F4" s="156" t="s">
        <v>300</v>
      </c>
      <c r="G4" s="157"/>
      <c r="H4" s="157"/>
      <c r="I4" s="156" t="s">
        <v>301</v>
      </c>
      <c r="J4" s="156" t="s">
        <v>302</v>
      </c>
      <c r="K4" s="158"/>
    </row>
    <row r="5" spans="1:11" ht="17.100000000000001">
      <c r="A5" s="159" t="s">
        <v>303</v>
      </c>
      <c r="B5" s="153" t="s">
        <v>285</v>
      </c>
      <c r="C5" s="153" t="s">
        <v>285</v>
      </c>
      <c r="D5" s="153" t="s">
        <v>304</v>
      </c>
      <c r="E5" s="153" t="s">
        <v>285</v>
      </c>
      <c r="F5" s="153" t="s">
        <v>285</v>
      </c>
      <c r="G5" s="153" t="s">
        <v>285</v>
      </c>
      <c r="H5" s="153" t="s">
        <v>285</v>
      </c>
      <c r="I5" s="153" t="s">
        <v>285</v>
      </c>
      <c r="J5" s="153" t="s">
        <v>285</v>
      </c>
      <c r="K5" s="154" t="s">
        <v>285</v>
      </c>
    </row>
    <row r="6" spans="1:11" ht="15.95">
      <c r="A6" s="160" t="s">
        <v>305</v>
      </c>
      <c r="B6" s="157"/>
      <c r="C6" s="157"/>
      <c r="D6" s="157"/>
      <c r="E6" s="157"/>
      <c r="F6" s="157"/>
      <c r="G6" s="157"/>
      <c r="H6" s="157"/>
      <c r="I6" s="157"/>
      <c r="J6" s="157"/>
      <c r="K6" s="158"/>
    </row>
    <row r="7" spans="1:11" ht="17.100000000000001">
      <c r="A7" s="159" t="s">
        <v>306</v>
      </c>
      <c r="B7" s="153" t="s">
        <v>285</v>
      </c>
      <c r="C7" s="153" t="s">
        <v>285</v>
      </c>
      <c r="D7" s="153" t="s">
        <v>307</v>
      </c>
      <c r="E7" s="153" t="s">
        <v>285</v>
      </c>
      <c r="F7" s="153" t="s">
        <v>285</v>
      </c>
      <c r="G7" s="153" t="s">
        <v>285</v>
      </c>
      <c r="H7" s="153" t="s">
        <v>285</v>
      </c>
      <c r="I7" s="153" t="s">
        <v>285</v>
      </c>
      <c r="J7" s="153" t="s">
        <v>285</v>
      </c>
      <c r="K7" s="154" t="s">
        <v>285</v>
      </c>
    </row>
    <row r="8" spans="1:11" ht="15.95">
      <c r="A8" s="160" t="s">
        <v>308</v>
      </c>
      <c r="B8" s="157"/>
      <c r="C8" s="157"/>
      <c r="D8" s="157"/>
      <c r="E8" s="157"/>
      <c r="F8" s="157"/>
      <c r="G8" s="157"/>
      <c r="H8" s="157"/>
      <c r="I8" s="157"/>
      <c r="J8" s="157"/>
      <c r="K8" s="158"/>
    </row>
    <row r="9" spans="1:11" ht="17.100000000000001">
      <c r="A9" s="161" t="s">
        <v>309</v>
      </c>
      <c r="B9" s="162" t="s">
        <v>285</v>
      </c>
      <c r="C9" s="162" t="s">
        <v>285</v>
      </c>
      <c r="D9" s="162" t="s">
        <v>310</v>
      </c>
      <c r="E9" s="162" t="s">
        <v>285</v>
      </c>
      <c r="F9" s="162" t="s">
        <v>285</v>
      </c>
      <c r="G9" s="162" t="s">
        <v>285</v>
      </c>
      <c r="H9" s="162" t="s">
        <v>285</v>
      </c>
      <c r="I9" s="162" t="s">
        <v>285</v>
      </c>
      <c r="J9" s="162" t="s">
        <v>285</v>
      </c>
      <c r="K9" s="163" t="s">
        <v>285</v>
      </c>
    </row>
    <row r="10" spans="1:11" ht="17.100000000000001">
      <c r="A10" s="159" t="s">
        <v>311</v>
      </c>
      <c r="B10" s="153" t="s">
        <v>285</v>
      </c>
      <c r="C10" s="153" t="s">
        <v>285</v>
      </c>
      <c r="D10" s="153" t="s">
        <v>312</v>
      </c>
      <c r="E10" s="153" t="s">
        <v>285</v>
      </c>
      <c r="F10" s="153" t="s">
        <v>285</v>
      </c>
      <c r="G10" s="153" t="s">
        <v>285</v>
      </c>
      <c r="H10" s="153" t="s">
        <v>285</v>
      </c>
      <c r="I10" s="153" t="s">
        <v>285</v>
      </c>
      <c r="J10" s="153" t="s">
        <v>285</v>
      </c>
      <c r="K10" s="154" t="s">
        <v>285</v>
      </c>
    </row>
    <row r="11" spans="1:11" ht="15.95">
      <c r="A11" s="160" t="s">
        <v>313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8"/>
    </row>
    <row r="12" spans="1:11" ht="17.100000000000001">
      <c r="A12" s="161" t="s">
        <v>314</v>
      </c>
      <c r="B12" s="162" t="s">
        <v>285</v>
      </c>
      <c r="C12" s="162" t="s">
        <v>285</v>
      </c>
      <c r="D12" s="162" t="s">
        <v>315</v>
      </c>
      <c r="E12" s="162" t="s">
        <v>285</v>
      </c>
      <c r="F12" s="162" t="s">
        <v>285</v>
      </c>
      <c r="G12" s="162" t="s">
        <v>285</v>
      </c>
      <c r="H12" s="162" t="s">
        <v>285</v>
      </c>
      <c r="I12" s="162" t="s">
        <v>285</v>
      </c>
      <c r="J12" s="162" t="s">
        <v>285</v>
      </c>
      <c r="K12" s="163" t="s">
        <v>285</v>
      </c>
    </row>
    <row r="13" spans="1:11" ht="17.100000000000001">
      <c r="A13" s="161" t="s">
        <v>316</v>
      </c>
      <c r="B13" s="162" t="s">
        <v>285</v>
      </c>
      <c r="C13" s="162" t="s">
        <v>285</v>
      </c>
      <c r="D13" s="162" t="s">
        <v>285</v>
      </c>
      <c r="E13" s="162" t="s">
        <v>285</v>
      </c>
      <c r="F13" s="162" t="s">
        <v>285</v>
      </c>
      <c r="G13" s="162" t="s">
        <v>285</v>
      </c>
      <c r="H13" s="162" t="s">
        <v>285</v>
      </c>
      <c r="I13" s="162" t="s">
        <v>285</v>
      </c>
      <c r="J13" s="162" t="s">
        <v>285</v>
      </c>
      <c r="K13" s="163" t="s">
        <v>285</v>
      </c>
    </row>
    <row r="14" spans="1:11" ht="17.100000000000001">
      <c r="A14" s="164" t="s">
        <v>285</v>
      </c>
      <c r="B14" s="165" t="s">
        <v>285</v>
      </c>
      <c r="C14" s="165" t="s">
        <v>285</v>
      </c>
      <c r="D14" s="165" t="s">
        <v>285</v>
      </c>
      <c r="E14" s="165" t="s">
        <v>285</v>
      </c>
      <c r="F14" s="165" t="s">
        <v>285</v>
      </c>
      <c r="G14" s="165" t="s">
        <v>285</v>
      </c>
      <c r="H14" s="165" t="s">
        <v>285</v>
      </c>
      <c r="I14" s="165" t="s">
        <v>285</v>
      </c>
      <c r="J14" s="165" t="s">
        <v>285</v>
      </c>
      <c r="K14" s="166" t="s">
        <v>285</v>
      </c>
    </row>
    <row r="15" spans="1:11" ht="17.100000000000001">
      <c r="A15" s="161" t="s">
        <v>317</v>
      </c>
      <c r="B15" s="162" t="s">
        <v>285</v>
      </c>
      <c r="C15" s="162" t="s">
        <v>285</v>
      </c>
      <c r="D15" s="162" t="s">
        <v>285</v>
      </c>
      <c r="E15" s="162" t="s">
        <v>285</v>
      </c>
      <c r="F15" s="162" t="s">
        <v>285</v>
      </c>
      <c r="G15" s="162" t="s">
        <v>285</v>
      </c>
      <c r="H15" s="162" t="s">
        <v>285</v>
      </c>
      <c r="I15" s="162" t="s">
        <v>285</v>
      </c>
      <c r="J15" s="162" t="s">
        <v>285</v>
      </c>
      <c r="K15" s="163" t="s">
        <v>285</v>
      </c>
    </row>
    <row r="16" spans="1:11" ht="17.100000000000001">
      <c r="A16" s="161" t="s">
        <v>318</v>
      </c>
      <c r="B16" s="162" t="s">
        <v>285</v>
      </c>
      <c r="C16" s="162" t="s">
        <v>285</v>
      </c>
      <c r="D16" s="162" t="s">
        <v>285</v>
      </c>
      <c r="E16" s="162" t="s">
        <v>285</v>
      </c>
      <c r="F16" s="162" t="s">
        <v>285</v>
      </c>
      <c r="G16" s="162" t="s">
        <v>285</v>
      </c>
      <c r="H16" s="162" t="s">
        <v>285</v>
      </c>
      <c r="I16" s="162" t="s">
        <v>285</v>
      </c>
      <c r="J16" s="162" t="s">
        <v>285</v>
      </c>
      <c r="K16" s="163" t="s">
        <v>285</v>
      </c>
    </row>
    <row r="17" spans="1:11" ht="17.100000000000001">
      <c r="A17" s="161" t="s">
        <v>319</v>
      </c>
      <c r="B17" s="162" t="s">
        <v>285</v>
      </c>
      <c r="C17" s="162" t="s">
        <v>285</v>
      </c>
      <c r="D17" s="162" t="s">
        <v>285</v>
      </c>
      <c r="E17" s="162" t="s">
        <v>285</v>
      </c>
      <c r="F17" s="162" t="s">
        <v>285</v>
      </c>
      <c r="G17" s="162" t="s">
        <v>285</v>
      </c>
      <c r="H17" s="162" t="s">
        <v>285</v>
      </c>
      <c r="I17" s="162" t="s">
        <v>285</v>
      </c>
      <c r="J17" s="162" t="s">
        <v>320</v>
      </c>
      <c r="K17" s="163" t="s">
        <v>285</v>
      </c>
    </row>
    <row r="18" spans="1:11" ht="17.100000000000001">
      <c r="A18" s="167" t="s">
        <v>321</v>
      </c>
      <c r="B18" s="168" t="s">
        <v>285</v>
      </c>
      <c r="C18" s="168" t="s">
        <v>285</v>
      </c>
      <c r="D18" s="168" t="s">
        <v>285</v>
      </c>
      <c r="E18" s="168" t="s">
        <v>285</v>
      </c>
      <c r="F18" s="168" t="s">
        <v>285</v>
      </c>
      <c r="G18" s="168" t="s">
        <v>285</v>
      </c>
      <c r="H18" s="168" t="s">
        <v>285</v>
      </c>
      <c r="I18" s="168" t="s">
        <v>285</v>
      </c>
      <c r="J18" s="168" t="s">
        <v>285</v>
      </c>
      <c r="K18" s="169" t="s">
        <v>285</v>
      </c>
    </row>
    <row r="20" spans="1:11">
      <c r="A20" s="174" t="s">
        <v>322</v>
      </c>
    </row>
    <row r="21" spans="1:11" ht="17.100000000000001">
      <c r="A21" s="170" t="s">
        <v>288</v>
      </c>
      <c r="B21" s="171" t="s">
        <v>289</v>
      </c>
      <c r="C21" s="172" t="s">
        <v>323</v>
      </c>
      <c r="D21" s="172" t="s">
        <v>324</v>
      </c>
      <c r="E21" s="173" t="s">
        <v>297</v>
      </c>
    </row>
    <row r="22" spans="1:11" ht="15.95">
      <c r="A22" s="155"/>
      <c r="B22" s="156" t="s">
        <v>298</v>
      </c>
      <c r="C22" s="157"/>
      <c r="D22" s="157"/>
      <c r="E22" s="158"/>
    </row>
    <row r="23" spans="1:11" ht="17.100000000000001">
      <c r="A23" s="159" t="s">
        <v>325</v>
      </c>
      <c r="B23" s="153" t="s">
        <v>285</v>
      </c>
      <c r="C23" s="153" t="s">
        <v>326</v>
      </c>
      <c r="D23" s="153" t="s">
        <v>285</v>
      </c>
      <c r="E23" s="154" t="s">
        <v>285</v>
      </c>
    </row>
    <row r="24" spans="1:11" ht="15.95">
      <c r="A24" s="160" t="s">
        <v>327</v>
      </c>
      <c r="B24" s="157"/>
      <c r="C24" s="157"/>
      <c r="D24" s="157"/>
      <c r="E24" s="158"/>
    </row>
    <row r="25" spans="1:11" ht="17.100000000000001">
      <c r="A25" s="161" t="s">
        <v>328</v>
      </c>
      <c r="B25" s="162" t="s">
        <v>285</v>
      </c>
      <c r="C25" s="162" t="s">
        <v>285</v>
      </c>
      <c r="D25" s="162" t="s">
        <v>285</v>
      </c>
      <c r="E25" s="163" t="s">
        <v>285</v>
      </c>
    </row>
    <row r="26" spans="1:11" ht="17.100000000000001">
      <c r="A26" s="161" t="s">
        <v>329</v>
      </c>
      <c r="B26" s="162" t="s">
        <v>285</v>
      </c>
      <c r="C26" s="162" t="s">
        <v>330</v>
      </c>
      <c r="D26" s="162" t="s">
        <v>285</v>
      </c>
      <c r="E26" s="163" t="s">
        <v>285</v>
      </c>
    </row>
    <row r="27" spans="1:11" ht="17.100000000000001">
      <c r="A27" s="161" t="s">
        <v>331</v>
      </c>
      <c r="B27" s="162" t="s">
        <v>285</v>
      </c>
      <c r="C27" s="162" t="s">
        <v>332</v>
      </c>
      <c r="D27" s="162" t="s">
        <v>285</v>
      </c>
      <c r="E27" s="163" t="s">
        <v>285</v>
      </c>
    </row>
    <row r="28" spans="1:11" ht="17.100000000000001">
      <c r="A28" s="161" t="s">
        <v>333</v>
      </c>
      <c r="B28" s="162" t="s">
        <v>285</v>
      </c>
      <c r="C28" s="162" t="s">
        <v>285</v>
      </c>
      <c r="D28" s="162" t="s">
        <v>334</v>
      </c>
      <c r="E28" s="163" t="s">
        <v>285</v>
      </c>
    </row>
    <row r="29" spans="1:11" ht="17.100000000000001">
      <c r="A29" s="161" t="s">
        <v>335</v>
      </c>
      <c r="B29" s="162" t="s">
        <v>336</v>
      </c>
      <c r="C29" s="162" t="s">
        <v>337</v>
      </c>
      <c r="D29" s="162" t="s">
        <v>285</v>
      </c>
      <c r="E29" s="163" t="s">
        <v>285</v>
      </c>
    </row>
    <row r="30" spans="1:11" ht="17.100000000000001">
      <c r="A30" s="164" t="s">
        <v>285</v>
      </c>
      <c r="B30" s="165" t="s">
        <v>285</v>
      </c>
      <c r="C30" s="165" t="s">
        <v>285</v>
      </c>
      <c r="D30" s="165" t="s">
        <v>285</v>
      </c>
      <c r="E30" s="166" t="s">
        <v>285</v>
      </c>
    </row>
    <row r="31" spans="1:11" ht="17.100000000000001">
      <c r="A31" s="161" t="s">
        <v>317</v>
      </c>
      <c r="B31" s="162" t="s">
        <v>285</v>
      </c>
      <c r="C31" s="162" t="s">
        <v>285</v>
      </c>
      <c r="D31" s="162" t="s">
        <v>285</v>
      </c>
      <c r="E31" s="163" t="s">
        <v>285</v>
      </c>
    </row>
    <row r="32" spans="1:11" ht="17.100000000000001">
      <c r="A32" s="161" t="s">
        <v>338</v>
      </c>
      <c r="B32" s="162" t="s">
        <v>285</v>
      </c>
      <c r="C32" s="162" t="s">
        <v>285</v>
      </c>
      <c r="D32" s="162" t="s">
        <v>285</v>
      </c>
      <c r="E32" s="163" t="s">
        <v>285</v>
      </c>
    </row>
    <row r="33" spans="1:5" ht="17.100000000000001">
      <c r="A33" s="161" t="s">
        <v>319</v>
      </c>
      <c r="B33" s="162" t="s">
        <v>285</v>
      </c>
      <c r="C33" s="162" t="s">
        <v>285</v>
      </c>
      <c r="D33" s="162" t="s">
        <v>285</v>
      </c>
      <c r="E33" s="163" t="s">
        <v>285</v>
      </c>
    </row>
    <row r="34" spans="1:5" ht="17.100000000000001">
      <c r="A34" s="167" t="s">
        <v>321</v>
      </c>
      <c r="B34" s="168" t="s">
        <v>285</v>
      </c>
      <c r="C34" s="168" t="s">
        <v>285</v>
      </c>
      <c r="D34" s="168" t="s">
        <v>285</v>
      </c>
      <c r="E34" s="169" t="s">
        <v>285</v>
      </c>
    </row>
    <row r="36" spans="1:5">
      <c r="A36" s="174" t="s">
        <v>339</v>
      </c>
    </row>
    <row r="37" spans="1:5" ht="17.100000000000001">
      <c r="A37" s="148" t="s">
        <v>285</v>
      </c>
      <c r="B37" s="150" t="s">
        <v>297</v>
      </c>
    </row>
    <row r="38" spans="1:5" ht="17.100000000000001">
      <c r="A38" s="161" t="s">
        <v>340</v>
      </c>
      <c r="B38" s="163" t="s">
        <v>285</v>
      </c>
    </row>
    <row r="39" spans="1:5" ht="17.100000000000001">
      <c r="A39" s="159" t="s">
        <v>341</v>
      </c>
      <c r="B39" s="154" t="s">
        <v>285</v>
      </c>
    </row>
    <row r="40" spans="1:5" ht="15.95">
      <c r="A40" s="160" t="s">
        <v>342</v>
      </c>
      <c r="B40" s="158"/>
    </row>
    <row r="41" spans="1:5" ht="17.100000000000001">
      <c r="A41" s="159" t="s">
        <v>343</v>
      </c>
      <c r="B41" s="154" t="s">
        <v>285</v>
      </c>
    </row>
    <row r="42" spans="1:5" ht="15.95">
      <c r="A42" s="160" t="s">
        <v>344</v>
      </c>
      <c r="B42" s="158"/>
    </row>
    <row r="43" spans="1:5" ht="17.100000000000001">
      <c r="A43" s="164" t="s">
        <v>285</v>
      </c>
      <c r="B43" s="166" t="s">
        <v>285</v>
      </c>
    </row>
    <row r="44" spans="1:5" ht="17.100000000000001">
      <c r="A44" s="161" t="s">
        <v>345</v>
      </c>
      <c r="B44" s="163" t="s">
        <v>285</v>
      </c>
    </row>
    <row r="45" spans="1:5" ht="17.100000000000001">
      <c r="A45" s="161" t="s">
        <v>346</v>
      </c>
      <c r="B45" s="163" t="s">
        <v>285</v>
      </c>
    </row>
    <row r="46" spans="1:5" ht="17.100000000000001">
      <c r="A46" s="161" t="s">
        <v>347</v>
      </c>
      <c r="B46" s="163" t="s">
        <v>285</v>
      </c>
    </row>
    <row r="47" spans="1:5" ht="17.100000000000001">
      <c r="A47" s="167" t="s">
        <v>348</v>
      </c>
      <c r="B47" s="169" t="s">
        <v>285</v>
      </c>
    </row>
  </sheetData>
  <mergeCells count="2">
    <mergeCell ref="B2:F2"/>
    <mergeCell ref="H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C5A-F2F3-408F-896F-4A00A57E4914}">
  <dimension ref="A1:S41"/>
  <sheetViews>
    <sheetView topLeftCell="A20" workbookViewId="0">
      <selection activeCell="B23" sqref="B23:B33"/>
    </sheetView>
  </sheetViews>
  <sheetFormatPr defaultColWidth="8.85546875" defaultRowHeight="15"/>
  <cols>
    <col min="1" max="1" width="13.140625" customWidth="1"/>
    <col min="2" max="2" width="11.42578125" customWidth="1"/>
  </cols>
  <sheetData>
    <row r="1" spans="1:6">
      <c r="B1" s="549" t="s">
        <v>349</v>
      </c>
      <c r="C1" s="550"/>
      <c r="D1" s="123"/>
      <c r="E1" s="551" t="s">
        <v>350</v>
      </c>
      <c r="F1" s="540"/>
    </row>
    <row r="2" spans="1:6" ht="29.1">
      <c r="A2" s="27" t="s">
        <v>351</v>
      </c>
      <c r="B2" s="124" t="s">
        <v>65</v>
      </c>
      <c r="C2" s="125" t="s">
        <v>60</v>
      </c>
      <c r="D2" s="123"/>
      <c r="E2" s="125" t="s">
        <v>65</v>
      </c>
      <c r="F2" s="125" t="s">
        <v>60</v>
      </c>
    </row>
    <row r="3" spans="1:6">
      <c r="A3">
        <v>1</v>
      </c>
      <c r="B3" s="118">
        <v>4.2056074766355138E-2</v>
      </c>
      <c r="C3" s="118">
        <v>3.6253776435045321E-2</v>
      </c>
      <c r="E3" s="118">
        <v>0.25267149258876248</v>
      </c>
      <c r="F3" s="126">
        <v>0.1146691263421787</v>
      </c>
    </row>
    <row r="4" spans="1:6">
      <c r="A4">
        <v>2</v>
      </c>
      <c r="B4" s="118">
        <v>6.0747663551401869E-2</v>
      </c>
      <c r="C4" s="118">
        <v>7.2507552870090641E-2</v>
      </c>
      <c r="E4" s="118">
        <v>0.3160978972768011</v>
      </c>
      <c r="F4" s="126">
        <v>0.20747552149851001</v>
      </c>
    </row>
    <row r="5" spans="1:6">
      <c r="A5">
        <v>3</v>
      </c>
      <c r="B5" s="118">
        <v>0.10981308411214953</v>
      </c>
      <c r="C5" s="118">
        <v>8.7613293051359523E-2</v>
      </c>
      <c r="E5" s="118">
        <v>0.39296794208893487</v>
      </c>
      <c r="F5" s="126">
        <v>0.28482900525046118</v>
      </c>
    </row>
    <row r="6" spans="1:6">
      <c r="A6" s="27">
        <v>4</v>
      </c>
      <c r="B6" s="118">
        <v>0.12850467289719625</v>
      </c>
      <c r="C6" s="118">
        <v>0.12386706948640483</v>
      </c>
      <c r="E6" s="127">
        <v>0.47604274388142021</v>
      </c>
      <c r="F6" s="126">
        <v>0.36527647698784355</v>
      </c>
    </row>
    <row r="7" spans="1:6">
      <c r="A7" s="25">
        <v>5</v>
      </c>
      <c r="B7" s="118">
        <v>0.16355140186915887</v>
      </c>
      <c r="C7" s="118">
        <v>0.20845921450151059</v>
      </c>
      <c r="D7" s="126"/>
      <c r="E7" s="118">
        <v>0.5701482247500862</v>
      </c>
      <c r="F7" s="128">
        <v>0.45014616148715764</v>
      </c>
    </row>
    <row r="8" spans="1:6">
      <c r="A8" s="25">
        <v>6</v>
      </c>
      <c r="B8" s="118">
        <v>0.22663551401869159</v>
      </c>
      <c r="C8" s="118">
        <v>0.22960725075528701</v>
      </c>
      <c r="E8" s="118">
        <v>0.72147535332643897</v>
      </c>
      <c r="F8" s="126">
        <v>0.64007095217823196</v>
      </c>
    </row>
    <row r="9" spans="1:6">
      <c r="A9" s="25">
        <v>7</v>
      </c>
      <c r="B9" s="118">
        <v>0.30140186915887851</v>
      </c>
      <c r="C9" s="118">
        <v>0.27794561933534745</v>
      </c>
      <c r="E9" s="129">
        <v>0.90486039296794207</v>
      </c>
      <c r="F9" s="126">
        <v>0.79481765290194417</v>
      </c>
    </row>
    <row r="10" spans="1:6">
      <c r="A10" s="25">
        <v>8</v>
      </c>
      <c r="B10" s="118">
        <v>0.35046728971962615</v>
      </c>
      <c r="C10" s="118">
        <v>0.31117824773413899</v>
      </c>
      <c r="E10" s="118">
        <v>0.93864184763874525</v>
      </c>
      <c r="F10" s="130">
        <v>0.88854264225911739</v>
      </c>
    </row>
    <row r="11" spans="1:6">
      <c r="A11" s="25">
        <v>9</v>
      </c>
      <c r="B11" s="118">
        <v>0.39485981308411217</v>
      </c>
      <c r="C11" s="118">
        <v>0.38670694864048338</v>
      </c>
      <c r="E11" s="118">
        <v>0.95001723543605654</v>
      </c>
      <c r="F11" s="126">
        <v>0.9422827680809801</v>
      </c>
    </row>
    <row r="12" spans="1:6">
      <c r="A12" s="25">
        <v>10</v>
      </c>
      <c r="B12" s="118">
        <v>0.43691588785046731</v>
      </c>
      <c r="C12" s="118">
        <v>0.42900302114803623</v>
      </c>
      <c r="E12" s="118">
        <v>0.96242674939675976</v>
      </c>
      <c r="F12" s="126">
        <v>0.95465872002270469</v>
      </c>
    </row>
    <row r="13" spans="1:6">
      <c r="A13" s="25">
        <v>11</v>
      </c>
      <c r="B13" s="127">
        <v>0.46962616822429909</v>
      </c>
      <c r="C13" s="127">
        <v>0.48036253776435045</v>
      </c>
      <c r="E13" s="118">
        <v>0.96552912788693557</v>
      </c>
      <c r="F13" s="126">
        <v>0.96530296580105013</v>
      </c>
    </row>
    <row r="14" spans="1:6">
      <c r="A14" s="25">
        <v>12</v>
      </c>
      <c r="B14" s="118">
        <v>0.5070093457943925</v>
      </c>
      <c r="C14" s="118">
        <v>0.57401812688821752</v>
      </c>
      <c r="E14" s="118">
        <v>0.96863150637711137</v>
      </c>
      <c r="F14" s="126">
        <v>0.97390662693344687</v>
      </c>
    </row>
    <row r="15" spans="1:6">
      <c r="A15" s="28" t="s">
        <v>246</v>
      </c>
      <c r="B15" s="118">
        <v>1</v>
      </c>
      <c r="C15" s="118">
        <v>1</v>
      </c>
      <c r="E15" s="118">
        <v>1</v>
      </c>
      <c r="F15" s="126">
        <v>1</v>
      </c>
    </row>
    <row r="21" spans="1:19">
      <c r="B21" s="542" t="s">
        <v>15</v>
      </c>
      <c r="C21" s="543"/>
      <c r="D21" s="543"/>
      <c r="E21" s="552"/>
    </row>
    <row r="22" spans="1:19" ht="29.1">
      <c r="A22" s="27" t="s">
        <v>130</v>
      </c>
      <c r="B22" s="26" t="s">
        <v>65</v>
      </c>
      <c r="C22" s="131" t="s">
        <v>60</v>
      </c>
      <c r="D22" s="26" t="s">
        <v>55</v>
      </c>
      <c r="E22" s="124" t="s">
        <v>135</v>
      </c>
      <c r="F22" t="s">
        <v>352</v>
      </c>
      <c r="G22" t="s">
        <v>353</v>
      </c>
      <c r="H22" t="s">
        <v>354</v>
      </c>
      <c r="I22" t="s">
        <v>355</v>
      </c>
    </row>
    <row r="23" spans="1:19">
      <c r="A23" s="27">
        <v>0</v>
      </c>
      <c r="B23" s="132">
        <v>1</v>
      </c>
      <c r="C23" s="132">
        <v>1</v>
      </c>
      <c r="D23" s="132">
        <v>1</v>
      </c>
      <c r="E23" s="132">
        <v>1</v>
      </c>
      <c r="F23" s="126">
        <v>1</v>
      </c>
      <c r="G23" s="126">
        <v>1</v>
      </c>
      <c r="H23" s="126">
        <v>1</v>
      </c>
      <c r="I23" s="126">
        <v>1</v>
      </c>
      <c r="J23" s="126"/>
      <c r="K23" s="126"/>
      <c r="L23" s="126"/>
      <c r="M23" s="126"/>
      <c r="N23" s="126"/>
      <c r="O23" s="126"/>
      <c r="P23" s="126"/>
      <c r="Q23" s="126"/>
      <c r="R23" s="126"/>
      <c r="S23" s="126"/>
    </row>
    <row r="24" spans="1:19">
      <c r="A24">
        <v>1</v>
      </c>
      <c r="B24" s="132">
        <v>0.59</v>
      </c>
      <c r="C24" s="132">
        <v>0.59</v>
      </c>
      <c r="D24" s="132">
        <v>0.59</v>
      </c>
      <c r="E24" s="132">
        <v>0.59</v>
      </c>
      <c r="F24" s="126">
        <v>0.95</v>
      </c>
      <c r="G24" s="126">
        <v>0.71</v>
      </c>
      <c r="H24" s="126">
        <v>0.7</v>
      </c>
      <c r="I24" s="126">
        <v>0.63</v>
      </c>
    </row>
    <row r="25" spans="1:19">
      <c r="A25">
        <v>2</v>
      </c>
      <c r="B25" s="133">
        <v>0.46</v>
      </c>
      <c r="C25" s="133">
        <v>0.46</v>
      </c>
      <c r="D25" s="133">
        <v>0.46</v>
      </c>
      <c r="E25" s="133">
        <v>0.46</v>
      </c>
      <c r="F25" s="126">
        <v>0.85</v>
      </c>
      <c r="G25" s="126">
        <v>0.55000000000000004</v>
      </c>
      <c r="H25" s="126">
        <v>0.57999999999999996</v>
      </c>
      <c r="I25" s="126">
        <v>0.54</v>
      </c>
    </row>
    <row r="26" spans="1:19">
      <c r="A26">
        <v>3</v>
      </c>
      <c r="B26" s="132">
        <v>0.39</v>
      </c>
      <c r="C26" s="132">
        <v>0.39</v>
      </c>
      <c r="D26" s="132">
        <v>0.39</v>
      </c>
      <c r="E26" s="132">
        <v>0.39</v>
      </c>
      <c r="F26" s="126">
        <v>0.74</v>
      </c>
      <c r="G26" s="126">
        <v>0.44</v>
      </c>
      <c r="H26" s="126">
        <v>0.5</v>
      </c>
      <c r="I26" s="126">
        <v>0.46</v>
      </c>
    </row>
    <row r="27" spans="1:19">
      <c r="A27" s="27">
        <v>4</v>
      </c>
      <c r="B27" s="134">
        <v>0.33</v>
      </c>
      <c r="C27" s="134">
        <v>0.33</v>
      </c>
      <c r="D27" s="134">
        <v>0.33</v>
      </c>
      <c r="E27" s="134">
        <v>0.33</v>
      </c>
      <c r="F27" s="126">
        <v>0.65</v>
      </c>
      <c r="G27" s="126">
        <v>0.39</v>
      </c>
      <c r="H27" s="126">
        <v>0.44</v>
      </c>
      <c r="I27" s="126">
        <v>0.39</v>
      </c>
    </row>
    <row r="28" spans="1:19">
      <c r="A28" s="25">
        <v>5</v>
      </c>
      <c r="B28" s="134">
        <v>0.3</v>
      </c>
      <c r="C28" s="134">
        <v>0.3</v>
      </c>
      <c r="D28" s="134">
        <v>0.3</v>
      </c>
      <c r="E28" s="134">
        <v>0.3</v>
      </c>
      <c r="F28" s="126">
        <v>0.56000000000000005</v>
      </c>
      <c r="G28" s="126">
        <v>0.33</v>
      </c>
      <c r="H28" s="126">
        <v>0.39</v>
      </c>
      <c r="I28" s="126">
        <v>0.35</v>
      </c>
    </row>
    <row r="29" spans="1:19">
      <c r="A29" s="25">
        <v>6</v>
      </c>
      <c r="B29" s="134">
        <v>0.27</v>
      </c>
      <c r="C29" s="134">
        <v>0.27</v>
      </c>
      <c r="D29" s="134">
        <v>0.27</v>
      </c>
      <c r="E29" s="134">
        <v>0.27</v>
      </c>
      <c r="F29" s="126">
        <v>0.5</v>
      </c>
      <c r="G29" s="126">
        <v>0.31</v>
      </c>
      <c r="H29" s="126">
        <v>0.36</v>
      </c>
      <c r="I29" s="126">
        <v>0.31</v>
      </c>
    </row>
    <row r="30" spans="1:19">
      <c r="A30" s="25">
        <v>7</v>
      </c>
      <c r="B30" s="126">
        <v>0.24</v>
      </c>
      <c r="C30" s="126">
        <v>0.24</v>
      </c>
      <c r="D30" s="126">
        <v>0.24</v>
      </c>
      <c r="E30" s="126">
        <v>0.24</v>
      </c>
      <c r="F30" s="126">
        <v>0.47</v>
      </c>
      <c r="G30" s="126">
        <v>0.28999999999999998</v>
      </c>
      <c r="H30" s="126">
        <v>0.34</v>
      </c>
      <c r="I30" s="126">
        <v>0.28000000000000003</v>
      </c>
    </row>
    <row r="31" spans="1:19">
      <c r="A31" s="25">
        <v>8</v>
      </c>
      <c r="B31" s="126">
        <v>0.21</v>
      </c>
      <c r="C31" s="126">
        <v>0.21</v>
      </c>
      <c r="D31" s="126">
        <v>0.21</v>
      </c>
      <c r="E31" s="126">
        <v>0.21</v>
      </c>
      <c r="F31" s="126">
        <v>0.44</v>
      </c>
      <c r="G31" s="126">
        <v>0.27</v>
      </c>
      <c r="H31" s="126">
        <v>0.33</v>
      </c>
      <c r="I31" s="126">
        <v>0.26</v>
      </c>
    </row>
    <row r="32" spans="1:19">
      <c r="A32" s="25">
        <v>9</v>
      </c>
      <c r="B32" s="126">
        <v>0.18</v>
      </c>
      <c r="C32" s="126">
        <v>0.18</v>
      </c>
      <c r="D32" s="126">
        <v>0.18</v>
      </c>
      <c r="E32" s="126">
        <v>0.18</v>
      </c>
      <c r="F32" s="126">
        <v>0.41</v>
      </c>
      <c r="G32" s="126">
        <v>0.27</v>
      </c>
      <c r="H32" s="126">
        <v>0.31</v>
      </c>
      <c r="I32" s="126">
        <v>0.24</v>
      </c>
    </row>
    <row r="33" spans="1:9">
      <c r="A33" s="25">
        <v>10</v>
      </c>
      <c r="B33" s="126">
        <v>0.15</v>
      </c>
      <c r="C33" s="126">
        <v>0.15</v>
      </c>
      <c r="D33" s="126">
        <v>0.15</v>
      </c>
      <c r="E33" s="126">
        <v>0.15</v>
      </c>
      <c r="F33" s="126">
        <v>0.37</v>
      </c>
      <c r="G33" s="126">
        <v>0.24</v>
      </c>
      <c r="H33" s="126">
        <v>0.28999999999999998</v>
      </c>
      <c r="I33" s="126">
        <v>0.23</v>
      </c>
    </row>
    <row r="34" spans="1:9">
      <c r="A34" s="25">
        <v>11</v>
      </c>
      <c r="I34" s="126"/>
    </row>
    <row r="35" spans="1:9">
      <c r="A35" s="25">
        <v>12</v>
      </c>
    </row>
    <row r="36" spans="1:9">
      <c r="A36" s="28" t="s">
        <v>246</v>
      </c>
    </row>
    <row r="38" spans="1:9">
      <c r="A38" s="24" t="s">
        <v>119</v>
      </c>
    </row>
    <row r="39" spans="1:9">
      <c r="A39" s="25" t="s">
        <v>356</v>
      </c>
    </row>
    <row r="40" spans="1:9">
      <c r="A40" s="25" t="s">
        <v>357</v>
      </c>
    </row>
    <row r="41" spans="1:9">
      <c r="A41" s="25" t="s">
        <v>358</v>
      </c>
    </row>
  </sheetData>
  <mergeCells count="3">
    <mergeCell ref="B1:C1"/>
    <mergeCell ref="E1:F1"/>
    <mergeCell ref="B21:E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B11D-CC08-4C57-B3D8-0A58380C17E0}">
  <dimension ref="A1:K39"/>
  <sheetViews>
    <sheetView topLeftCell="A2" workbookViewId="0">
      <selection activeCell="C5" sqref="C5"/>
    </sheetView>
  </sheetViews>
  <sheetFormatPr defaultColWidth="8.85546875" defaultRowHeight="15"/>
  <cols>
    <col min="1" max="1" width="45.85546875" customWidth="1"/>
    <col min="2" max="2" width="16.140625" customWidth="1"/>
    <col min="3" max="3" width="19.85546875" customWidth="1"/>
    <col min="4" max="4" width="34.28515625" customWidth="1"/>
    <col min="5" max="5" width="64.42578125" customWidth="1"/>
    <col min="6" max="9" width="9.140625" bestFit="1" customWidth="1"/>
    <col min="10" max="10" width="25.140625" customWidth="1"/>
    <col min="11" max="11" width="11.7109375" customWidth="1"/>
  </cols>
  <sheetData>
    <row r="1" spans="1:11" ht="23.25" customHeight="1">
      <c r="A1" s="329" t="s">
        <v>359</v>
      </c>
      <c r="B1" s="237" t="s">
        <v>360</v>
      </c>
      <c r="C1" s="250" t="s">
        <v>361</v>
      </c>
      <c r="D1" s="237" t="s">
        <v>362</v>
      </c>
    </row>
    <row r="2" spans="1:11" ht="72" customHeight="1">
      <c r="A2" s="309" t="s">
        <v>363</v>
      </c>
      <c r="B2" s="238">
        <v>348</v>
      </c>
      <c r="C2" s="327" t="s">
        <v>364</v>
      </c>
      <c r="D2" s="328" t="s">
        <v>365</v>
      </c>
      <c r="E2" s="307"/>
      <c r="J2" s="215" t="s">
        <v>366</v>
      </c>
      <c r="K2" s="216">
        <v>0.37</v>
      </c>
    </row>
    <row r="3" spans="1:11" ht="72" customHeight="1">
      <c r="A3" s="309" t="s">
        <v>367</v>
      </c>
      <c r="B3" s="238">
        <v>398</v>
      </c>
      <c r="C3" s="327" t="s">
        <v>368</v>
      </c>
      <c r="D3" s="328" t="s">
        <v>369</v>
      </c>
      <c r="E3" s="307"/>
      <c r="J3" s="215" t="s">
        <v>370</v>
      </c>
      <c r="K3" s="216">
        <v>0.02</v>
      </c>
    </row>
    <row r="4" spans="1:11" ht="72" customHeight="1">
      <c r="A4" s="309" t="s">
        <v>371</v>
      </c>
      <c r="B4" s="238">
        <v>417</v>
      </c>
      <c r="C4" s="327" t="s">
        <v>372</v>
      </c>
      <c r="D4" s="328" t="s">
        <v>373</v>
      </c>
      <c r="E4" s="307"/>
    </row>
    <row r="5" spans="1:11" ht="72" customHeight="1">
      <c r="A5" s="309" t="s">
        <v>374</v>
      </c>
      <c r="B5" s="238">
        <v>95170</v>
      </c>
      <c r="C5" s="428" t="s">
        <v>375</v>
      </c>
      <c r="D5" s="246" t="s">
        <v>376</v>
      </c>
      <c r="E5" s="307"/>
    </row>
    <row r="6" spans="1:11" ht="72" customHeight="1">
      <c r="A6" s="309" t="s">
        <v>377</v>
      </c>
      <c r="B6" s="238">
        <v>93715</v>
      </c>
      <c r="C6" s="327" t="s">
        <v>378</v>
      </c>
      <c r="D6" s="246" t="s">
        <v>379</v>
      </c>
      <c r="E6" s="307"/>
    </row>
    <row r="7" spans="1:11" ht="72" customHeight="1">
      <c r="A7" s="309" t="s">
        <v>380</v>
      </c>
      <c r="B7" s="238">
        <v>93796</v>
      </c>
      <c r="C7" s="327" t="s">
        <v>381</v>
      </c>
      <c r="D7" s="246" t="s">
        <v>382</v>
      </c>
      <c r="E7" s="307"/>
    </row>
    <row r="8" spans="1:11" ht="72" customHeight="1">
      <c r="A8" s="309" t="s">
        <v>383</v>
      </c>
      <c r="B8" s="238">
        <v>95517</v>
      </c>
      <c r="C8" s="327" t="s">
        <v>384</v>
      </c>
      <c r="D8" s="246" t="s">
        <v>385</v>
      </c>
      <c r="E8" s="307"/>
    </row>
    <row r="9" spans="1:11" ht="72" customHeight="1">
      <c r="A9" s="309" t="s">
        <v>386</v>
      </c>
      <c r="B9" s="238">
        <v>93965</v>
      </c>
      <c r="C9" s="327" t="s">
        <v>387</v>
      </c>
      <c r="D9" s="333" t="s">
        <v>388</v>
      </c>
      <c r="E9" s="307"/>
    </row>
    <row r="10" spans="1:11" ht="72" customHeight="1">
      <c r="A10" s="309" t="s">
        <v>389</v>
      </c>
      <c r="B10" s="238">
        <v>4488</v>
      </c>
      <c r="C10" s="327" t="s">
        <v>390</v>
      </c>
      <c r="D10" s="328" t="s">
        <v>391</v>
      </c>
      <c r="E10" s="307"/>
    </row>
    <row r="11" spans="1:11" ht="72" customHeight="1">
      <c r="A11" s="309" t="s">
        <v>392</v>
      </c>
      <c r="B11" s="238">
        <v>1008</v>
      </c>
      <c r="C11" s="327" t="s">
        <v>393</v>
      </c>
      <c r="D11" s="328" t="s">
        <v>394</v>
      </c>
      <c r="E11" s="307"/>
    </row>
    <row r="12" spans="1:11" ht="72" customHeight="1">
      <c r="A12" s="309" t="s">
        <v>395</v>
      </c>
      <c r="B12" s="238">
        <v>95604</v>
      </c>
      <c r="C12" s="327" t="s">
        <v>396</v>
      </c>
      <c r="D12" s="330" t="s">
        <v>397</v>
      </c>
      <c r="E12" s="307"/>
    </row>
    <row r="13" spans="1:11" ht="72" customHeight="1">
      <c r="A13" s="309" t="s">
        <v>398</v>
      </c>
      <c r="B13" s="238">
        <v>2721</v>
      </c>
      <c r="C13" s="327" t="s">
        <v>399</v>
      </c>
      <c r="D13" s="328" t="s">
        <v>400</v>
      </c>
      <c r="E13" s="307"/>
    </row>
    <row r="14" spans="1:11" ht="72" customHeight="1">
      <c r="A14" s="309" t="s">
        <v>401</v>
      </c>
      <c r="B14" s="238">
        <v>376</v>
      </c>
      <c r="C14" s="327" t="s">
        <v>402</v>
      </c>
      <c r="D14" s="328" t="s">
        <v>403</v>
      </c>
      <c r="E14" s="307"/>
    </row>
    <row r="15" spans="1:11" ht="72" customHeight="1">
      <c r="A15" s="309" t="s">
        <v>404</v>
      </c>
      <c r="B15" s="238">
        <v>426</v>
      </c>
      <c r="C15" s="327" t="s">
        <v>405</v>
      </c>
      <c r="D15" s="328" t="s">
        <v>406</v>
      </c>
      <c r="E15" s="307"/>
    </row>
    <row r="16" spans="1:11" ht="72" customHeight="1">
      <c r="A16" s="309" t="s">
        <v>407</v>
      </c>
      <c r="B16" s="238">
        <v>250</v>
      </c>
      <c r="C16" s="327" t="s">
        <v>408</v>
      </c>
      <c r="D16" s="328" t="s">
        <v>409</v>
      </c>
      <c r="E16" s="307"/>
    </row>
    <row r="17" spans="1:11" ht="72" customHeight="1">
      <c r="A17" s="309" t="s">
        <v>410</v>
      </c>
      <c r="B17" s="238">
        <v>93688</v>
      </c>
      <c r="C17" s="310" t="s">
        <v>411</v>
      </c>
      <c r="D17" s="246" t="s">
        <v>412</v>
      </c>
      <c r="E17" s="307"/>
    </row>
    <row r="18" spans="1:11" ht="72" customHeight="1">
      <c r="A18" s="309" t="s">
        <v>413</v>
      </c>
      <c r="B18" s="220">
        <v>95473</v>
      </c>
      <c r="C18" s="256" t="s">
        <v>414</v>
      </c>
      <c r="D18" s="246" t="s">
        <v>415</v>
      </c>
      <c r="E18" s="307"/>
    </row>
    <row r="19" spans="1:11" ht="72" customHeight="1">
      <c r="A19" s="306" t="s">
        <v>416</v>
      </c>
      <c r="B19" s="286">
        <v>94241</v>
      </c>
      <c r="C19" s="285" t="s">
        <v>417</v>
      </c>
      <c r="D19" s="246" t="s">
        <v>418</v>
      </c>
      <c r="E19" s="307" t="s">
        <v>419</v>
      </c>
    </row>
    <row r="20" spans="1:11" ht="72" customHeight="1">
      <c r="A20" s="230" t="s">
        <v>420</v>
      </c>
      <c r="B20" s="286">
        <v>94322</v>
      </c>
      <c r="C20" s="285" t="s">
        <v>421</v>
      </c>
      <c r="D20" s="246" t="s">
        <v>422</v>
      </c>
      <c r="E20" s="307" t="s">
        <v>423</v>
      </c>
    </row>
    <row r="21" spans="1:11" ht="72" customHeight="1">
      <c r="A21" s="230" t="s">
        <v>424</v>
      </c>
      <c r="B21" s="262">
        <v>95893</v>
      </c>
      <c r="C21" s="263" t="s">
        <v>425</v>
      </c>
      <c r="D21" s="246" t="s">
        <v>426</v>
      </c>
      <c r="E21" s="229"/>
    </row>
    <row r="22" spans="1:11" ht="72" customHeight="1">
      <c r="A22" s="230" t="s">
        <v>427</v>
      </c>
      <c r="B22" s="286">
        <v>96012</v>
      </c>
      <c r="C22" s="285" t="s">
        <v>428</v>
      </c>
      <c r="D22" s="246" t="s">
        <v>429</v>
      </c>
      <c r="E22" s="229"/>
    </row>
    <row r="23" spans="1:11" ht="72" customHeight="1">
      <c r="A23" s="230" t="s">
        <v>430</v>
      </c>
      <c r="B23" s="238">
        <v>95831</v>
      </c>
      <c r="C23" s="256" t="s">
        <v>431</v>
      </c>
      <c r="D23" s="259" t="s">
        <v>432</v>
      </c>
      <c r="E23" s="229"/>
    </row>
    <row r="24" spans="1:11" ht="72" customHeight="1">
      <c r="A24" s="230" t="s">
        <v>433</v>
      </c>
      <c r="B24" s="238">
        <v>94927</v>
      </c>
      <c r="C24" s="256" t="s">
        <v>434</v>
      </c>
      <c r="D24" s="246" t="s">
        <v>435</v>
      </c>
      <c r="E24" s="229"/>
    </row>
    <row r="25" spans="1:11" ht="72" customHeight="1">
      <c r="A25" s="230" t="s">
        <v>436</v>
      </c>
      <c r="B25" s="238">
        <v>95059</v>
      </c>
      <c r="C25" s="244" t="s">
        <v>437</v>
      </c>
      <c r="D25" s="246" t="s">
        <v>438</v>
      </c>
      <c r="E25" s="229" t="s">
        <v>439</v>
      </c>
    </row>
    <row r="26" spans="1:11" ht="72" customHeight="1">
      <c r="A26" s="205" t="s">
        <v>440</v>
      </c>
      <c r="B26" s="231">
        <v>95219</v>
      </c>
      <c r="C26" s="240" t="s">
        <v>441</v>
      </c>
      <c r="D26" s="242" t="s">
        <v>442</v>
      </c>
      <c r="E26" s="229" t="s">
        <v>443</v>
      </c>
    </row>
    <row r="27" spans="1:11" ht="72" customHeight="1">
      <c r="A27" s="230" t="s">
        <v>444</v>
      </c>
      <c r="B27" s="217">
        <v>104371</v>
      </c>
      <c r="C27" s="241" t="s">
        <v>445</v>
      </c>
      <c r="D27" s="243" t="s">
        <v>446</v>
      </c>
      <c r="E27" s="229"/>
    </row>
    <row r="28" spans="1:11" ht="15" customHeight="1">
      <c r="A28" s="230" t="s">
        <v>447</v>
      </c>
      <c r="B28" s="232" t="s">
        <v>448</v>
      </c>
      <c r="C28" s="239" t="s">
        <v>449</v>
      </c>
      <c r="D28" s="204" t="s">
        <v>450</v>
      </c>
    </row>
    <row r="29" spans="1:11" ht="15" customHeight="1">
      <c r="A29" s="205" t="s">
        <v>451</v>
      </c>
      <c r="B29" s="206">
        <v>174</v>
      </c>
      <c r="C29" s="207" t="s">
        <v>452</v>
      </c>
      <c r="D29" s="206">
        <v>0</v>
      </c>
    </row>
    <row r="30" spans="1:11" ht="15" customHeight="1">
      <c r="A30" s="208" t="s">
        <v>451</v>
      </c>
      <c r="B30" s="206">
        <v>174</v>
      </c>
      <c r="C30" s="209" t="s">
        <v>452</v>
      </c>
      <c r="D30" s="210">
        <v>0</v>
      </c>
    </row>
    <row r="31" spans="1:11" ht="15" customHeight="1">
      <c r="A31" s="211" t="s">
        <v>453</v>
      </c>
      <c r="B31" s="212">
        <v>80</v>
      </c>
      <c r="C31" s="213" t="s">
        <v>454</v>
      </c>
      <c r="D31" s="214">
        <v>1</v>
      </c>
      <c r="J31" s="426"/>
      <c r="K31" s="427"/>
    </row>
    <row r="32" spans="1:11" ht="15" customHeight="1">
      <c r="A32" s="211" t="s">
        <v>455</v>
      </c>
      <c r="B32" s="217">
        <v>4954</v>
      </c>
      <c r="C32" s="213" t="s">
        <v>456</v>
      </c>
      <c r="D32" s="218" t="s">
        <v>457</v>
      </c>
    </row>
    <row r="33" spans="1:11" ht="15" customHeight="1">
      <c r="A33" s="211" t="s">
        <v>458</v>
      </c>
      <c r="B33" s="217">
        <v>2185</v>
      </c>
      <c r="C33" s="213" t="s">
        <v>459</v>
      </c>
      <c r="D33" s="219" t="s">
        <v>460</v>
      </c>
      <c r="J33" s="426"/>
      <c r="K33" s="427"/>
    </row>
    <row r="34" spans="1:11" ht="15" customHeight="1">
      <c r="A34" s="205" t="s">
        <v>461</v>
      </c>
      <c r="B34" s="220">
        <v>96846</v>
      </c>
      <c r="C34" s="221" t="s">
        <v>462</v>
      </c>
      <c r="D34" s="245" t="s">
        <v>463</v>
      </c>
    </row>
    <row r="35" spans="1:11" ht="15" customHeight="1">
      <c r="A35" s="222"/>
      <c r="B35" s="223"/>
    </row>
    <row r="36" spans="1:11" ht="15" customHeight="1">
      <c r="A36" s="222"/>
      <c r="B36" s="223"/>
      <c r="C36" s="223"/>
      <c r="D36" s="223"/>
    </row>
    <row r="37" spans="1:11" ht="15" customHeight="1">
      <c r="A37" s="222"/>
      <c r="B37" s="223"/>
      <c r="C37" s="223"/>
      <c r="D37" s="223"/>
    </row>
    <row r="38" spans="1:11" ht="15" customHeight="1">
      <c r="A38" s="222"/>
      <c r="B38" s="223"/>
      <c r="C38" s="223"/>
      <c r="D38" s="223"/>
    </row>
    <row r="39" spans="1:11" ht="15" customHeight="1">
      <c r="A39" s="222"/>
      <c r="B39" s="224"/>
      <c r="C39" s="223"/>
      <c r="D39" s="223"/>
    </row>
  </sheetData>
  <hyperlinks>
    <hyperlink ref="E20" r:id="rId1" xr:uid="{D8C58A6F-2085-4A0B-80FD-48C0F3AB9264}"/>
    <hyperlink ref="E19" r:id="rId2" xr:uid="{4DAFCC56-7E8F-4CAA-A968-07EE21C05B05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5F-D63A-4217-B9C6-700FD3D56ECF}">
  <dimension ref="A1:G89"/>
  <sheetViews>
    <sheetView topLeftCell="A9" workbookViewId="0">
      <selection activeCell="B32" sqref="B32"/>
    </sheetView>
  </sheetViews>
  <sheetFormatPr defaultColWidth="8.85546875" defaultRowHeight="15"/>
  <cols>
    <col min="1" max="1" width="11.42578125" customWidth="1"/>
    <col min="2" max="2" width="35" customWidth="1"/>
    <col min="3" max="3" width="32" customWidth="1"/>
    <col min="4" max="4" width="46.28515625" customWidth="1"/>
    <col min="5" max="6" width="9.140625" bestFit="1" customWidth="1"/>
    <col min="7" max="7" width="29.28515625" customWidth="1"/>
  </cols>
  <sheetData>
    <row r="1" spans="1:7" ht="15" customHeight="1">
      <c r="A1" s="326" t="s">
        <v>464</v>
      </c>
      <c r="B1" s="326" t="s">
        <v>465</v>
      </c>
      <c r="C1" s="326" t="s">
        <v>466</v>
      </c>
      <c r="D1" s="325" t="s">
        <v>467</v>
      </c>
      <c r="G1" s="225"/>
    </row>
    <row r="2" spans="1:7" ht="15" customHeight="1">
      <c r="A2" s="226">
        <v>45919</v>
      </c>
      <c r="B2" s="227" t="s">
        <v>468</v>
      </c>
      <c r="C2" s="233" t="s">
        <v>469</v>
      </c>
      <c r="D2" t="s">
        <v>470</v>
      </c>
    </row>
    <row r="3" spans="1:7" ht="15" customHeight="1">
      <c r="A3" s="226">
        <v>45919</v>
      </c>
      <c r="B3" s="227" t="s">
        <v>471</v>
      </c>
      <c r="C3" s="233" t="s">
        <v>472</v>
      </c>
      <c r="D3" t="s">
        <v>470</v>
      </c>
    </row>
    <row r="4" spans="1:7" ht="15" customHeight="1">
      <c r="A4" s="226">
        <v>45918</v>
      </c>
      <c r="B4" s="227" t="s">
        <v>473</v>
      </c>
      <c r="C4" s="233" t="s">
        <v>474</v>
      </c>
      <c r="D4" t="s">
        <v>475</v>
      </c>
    </row>
    <row r="5" spans="1:7" ht="15" customHeight="1">
      <c r="A5" s="226">
        <v>45918</v>
      </c>
      <c r="B5" s="227" t="s">
        <v>476</v>
      </c>
      <c r="C5" s="233" t="s">
        <v>477</v>
      </c>
      <c r="D5" t="s">
        <v>478</v>
      </c>
    </row>
    <row r="6" spans="1:7" ht="15" customHeight="1">
      <c r="A6" s="226">
        <v>45917</v>
      </c>
      <c r="B6" s="227" t="s">
        <v>479</v>
      </c>
      <c r="C6" s="233" t="s">
        <v>480</v>
      </c>
      <c r="D6" t="s">
        <v>475</v>
      </c>
    </row>
    <row r="7" spans="1:7" ht="15" customHeight="1">
      <c r="A7" s="226">
        <v>45917</v>
      </c>
      <c r="B7" s="227" t="s">
        <v>481</v>
      </c>
      <c r="C7" s="233" t="s">
        <v>482</v>
      </c>
      <c r="D7" t="s">
        <v>483</v>
      </c>
    </row>
    <row r="8" spans="1:7" ht="15" customHeight="1">
      <c r="A8" s="226">
        <v>45916</v>
      </c>
      <c r="B8" s="227" t="s">
        <v>484</v>
      </c>
      <c r="C8" s="233" t="s">
        <v>485</v>
      </c>
      <c r="D8" t="s">
        <v>486</v>
      </c>
    </row>
    <row r="9" spans="1:7" ht="15" customHeight="1">
      <c r="A9" s="226">
        <v>45916</v>
      </c>
      <c r="B9" s="227" t="s">
        <v>487</v>
      </c>
      <c r="C9" s="233" t="s">
        <v>488</v>
      </c>
      <c r="D9" t="s">
        <v>489</v>
      </c>
    </row>
    <row r="10" spans="1:7" ht="15" customHeight="1">
      <c r="A10" s="226">
        <v>45915</v>
      </c>
      <c r="B10" s="227" t="s">
        <v>490</v>
      </c>
      <c r="C10" s="233" t="s">
        <v>491</v>
      </c>
      <c r="D10" t="s">
        <v>492</v>
      </c>
    </row>
    <row r="11" spans="1:7" ht="15" customHeight="1">
      <c r="A11" s="226">
        <v>45915</v>
      </c>
      <c r="B11" s="227" t="s">
        <v>493</v>
      </c>
      <c r="C11" s="233" t="s">
        <v>494</v>
      </c>
      <c r="D11" t="s">
        <v>495</v>
      </c>
    </row>
    <row r="12" spans="1:7" ht="15" customHeight="1">
      <c r="A12" s="226">
        <v>45913</v>
      </c>
      <c r="B12" s="227" t="s">
        <v>496</v>
      </c>
      <c r="C12" s="233" t="s">
        <v>497</v>
      </c>
      <c r="D12" t="s">
        <v>498</v>
      </c>
    </row>
    <row r="13" spans="1:7" ht="15" customHeight="1">
      <c r="A13" s="226">
        <v>45913</v>
      </c>
      <c r="B13" s="227" t="s">
        <v>499</v>
      </c>
      <c r="C13" s="233" t="s">
        <v>474</v>
      </c>
      <c r="D13" t="s">
        <v>500</v>
      </c>
    </row>
    <row r="14" spans="1:7" ht="15" customHeight="1">
      <c r="A14" s="226">
        <v>45912</v>
      </c>
      <c r="B14" s="227" t="s">
        <v>501</v>
      </c>
      <c r="C14" s="233" t="s">
        <v>502</v>
      </c>
      <c r="D14" t="s">
        <v>503</v>
      </c>
    </row>
    <row r="15" spans="1:7" ht="15" customHeight="1">
      <c r="A15" s="226">
        <v>45912</v>
      </c>
      <c r="B15" s="227" t="s">
        <v>504</v>
      </c>
      <c r="C15" s="233" t="s">
        <v>505</v>
      </c>
      <c r="D15" t="s">
        <v>506</v>
      </c>
    </row>
    <row r="16" spans="1:7" ht="15" customHeight="1">
      <c r="A16" s="226">
        <v>45911</v>
      </c>
      <c r="B16" s="227" t="s">
        <v>507</v>
      </c>
      <c r="C16" s="233" t="s">
        <v>508</v>
      </c>
      <c r="D16" t="s">
        <v>509</v>
      </c>
    </row>
    <row r="17" spans="1:4" ht="15" customHeight="1">
      <c r="A17" s="226">
        <v>45909</v>
      </c>
      <c r="B17" s="227" t="s">
        <v>510</v>
      </c>
      <c r="C17" s="233" t="s">
        <v>511</v>
      </c>
      <c r="D17" t="s">
        <v>512</v>
      </c>
    </row>
    <row r="18" spans="1:4" ht="15" customHeight="1">
      <c r="A18" s="226">
        <v>45909</v>
      </c>
      <c r="B18" t="s">
        <v>513</v>
      </c>
      <c r="C18" s="233" t="s">
        <v>474</v>
      </c>
      <c r="D18" t="s">
        <v>514</v>
      </c>
    </row>
    <row r="19" spans="1:4" ht="15" customHeight="1">
      <c r="A19" s="226">
        <v>45908</v>
      </c>
      <c r="B19" s="227" t="s">
        <v>515</v>
      </c>
      <c r="C19" s="233" t="s">
        <v>516</v>
      </c>
      <c r="D19" t="s">
        <v>517</v>
      </c>
    </row>
    <row r="20" spans="1:4" ht="15" customHeight="1">
      <c r="A20" s="226">
        <v>45908</v>
      </c>
      <c r="B20" s="227" t="s">
        <v>518</v>
      </c>
      <c r="C20" s="233" t="s">
        <v>519</v>
      </c>
      <c r="D20" t="s">
        <v>520</v>
      </c>
    </row>
    <row r="21" spans="1:4" ht="15" customHeight="1">
      <c r="A21" s="226">
        <v>45904</v>
      </c>
      <c r="B21" s="227" t="s">
        <v>521</v>
      </c>
      <c r="C21" s="233" t="s">
        <v>522</v>
      </c>
      <c r="D21" t="s">
        <v>523</v>
      </c>
    </row>
    <row r="22" spans="1:4" ht="15" customHeight="1">
      <c r="A22" s="226">
        <v>45904</v>
      </c>
      <c r="B22" s="227" t="s">
        <v>524</v>
      </c>
      <c r="C22" s="233" t="s">
        <v>525</v>
      </c>
      <c r="D22" t="s">
        <v>526</v>
      </c>
    </row>
    <row r="23" spans="1:4" ht="15" customHeight="1">
      <c r="A23" s="226">
        <v>45903</v>
      </c>
      <c r="B23" s="227" t="s">
        <v>527</v>
      </c>
      <c r="C23" s="233" t="s">
        <v>528</v>
      </c>
      <c r="D23" t="s">
        <v>529</v>
      </c>
    </row>
    <row r="24" spans="1:4" ht="15" customHeight="1">
      <c r="A24" s="226">
        <v>45903</v>
      </c>
      <c r="B24" s="227" t="s">
        <v>530</v>
      </c>
      <c r="C24" s="233" t="s">
        <v>508</v>
      </c>
      <c r="D24" t="s">
        <v>531</v>
      </c>
    </row>
    <row r="25" spans="1:4" ht="15" customHeight="1">
      <c r="A25" s="226">
        <v>45902</v>
      </c>
      <c r="B25" s="227" t="s">
        <v>532</v>
      </c>
      <c r="C25" s="233" t="s">
        <v>480</v>
      </c>
      <c r="D25" t="s">
        <v>533</v>
      </c>
    </row>
    <row r="26" spans="1:4" ht="15" customHeight="1">
      <c r="A26" s="226"/>
      <c r="B26" s="227"/>
      <c r="C26" s="233"/>
    </row>
    <row r="27" spans="1:4" ht="15" customHeight="1">
      <c r="A27" s="322" t="s">
        <v>464</v>
      </c>
      <c r="B27" s="321" t="s">
        <v>534</v>
      </c>
      <c r="C27" s="323" t="s">
        <v>466</v>
      </c>
      <c r="D27" s="324" t="s">
        <v>467</v>
      </c>
    </row>
    <row r="28" spans="1:4" ht="15" customHeight="1">
      <c r="A28" s="226" t="s">
        <v>535</v>
      </c>
      <c r="B28" s="227" t="s">
        <v>536</v>
      </c>
      <c r="C28" s="233" t="s">
        <v>537</v>
      </c>
      <c r="D28" t="s">
        <v>538</v>
      </c>
    </row>
    <row r="29" spans="1:4" ht="15" customHeight="1">
      <c r="A29" s="226" t="s">
        <v>539</v>
      </c>
      <c r="B29" s="227" t="s">
        <v>540</v>
      </c>
      <c r="C29" s="233" t="s">
        <v>541</v>
      </c>
      <c r="D29" s="233" t="s">
        <v>542</v>
      </c>
    </row>
    <row r="30" spans="1:4" ht="15" customHeight="1">
      <c r="A30" s="226" t="s">
        <v>543</v>
      </c>
      <c r="B30" s="228" t="s">
        <v>544</v>
      </c>
      <c r="C30" s="233" t="s">
        <v>545</v>
      </c>
      <c r="D30" t="s">
        <v>546</v>
      </c>
    </row>
    <row r="31" spans="1:4" ht="17.25" customHeight="1">
      <c r="A31" s="226"/>
      <c r="B31" s="227"/>
      <c r="C31" s="233"/>
      <c r="D31" s="233"/>
    </row>
    <row r="32" spans="1:4" ht="17.25" customHeight="1">
      <c r="A32" s="226"/>
      <c r="B32" s="228"/>
      <c r="C32" s="233"/>
    </row>
    <row r="33" spans="1:4" ht="17.25" customHeight="1">
      <c r="A33" s="226"/>
      <c r="B33" s="228"/>
      <c r="C33" s="233"/>
    </row>
    <row r="34" spans="1:4" ht="17.25" customHeight="1">
      <c r="A34" s="226"/>
      <c r="B34" s="227"/>
      <c r="C34" s="233"/>
    </row>
    <row r="35" spans="1:4" ht="17.25" customHeight="1">
      <c r="A35" s="226"/>
      <c r="B35" s="227"/>
      <c r="C35" s="233"/>
      <c r="D35" s="233"/>
    </row>
    <row r="36" spans="1:4" ht="17.25" customHeight="1">
      <c r="A36" s="226"/>
      <c r="B36" s="228"/>
      <c r="C36" s="233"/>
    </row>
    <row r="37" spans="1:4" ht="17.25" customHeight="1">
      <c r="A37" s="226"/>
      <c r="B37" s="228"/>
      <c r="C37" s="233"/>
    </row>
    <row r="38" spans="1:4" ht="17.25" customHeight="1">
      <c r="A38" s="226"/>
      <c r="B38" s="228"/>
      <c r="C38" s="233"/>
    </row>
    <row r="39" spans="1:4" ht="19.5" customHeight="1">
      <c r="A39" s="257"/>
      <c r="C39" s="233"/>
    </row>
    <row r="40" spans="1:4" ht="19.5" customHeight="1">
      <c r="A40" s="226">
        <v>45898</v>
      </c>
      <c r="B40" s="227" t="s">
        <v>547</v>
      </c>
      <c r="C40" s="233" t="s">
        <v>502</v>
      </c>
      <c r="D40" t="s">
        <v>548</v>
      </c>
    </row>
    <row r="41" spans="1:4" ht="19.5" customHeight="1">
      <c r="A41" s="226">
        <v>45898</v>
      </c>
      <c r="B41" s="227" t="s">
        <v>549</v>
      </c>
      <c r="C41" s="233" t="s">
        <v>494</v>
      </c>
      <c r="D41" t="s">
        <v>550</v>
      </c>
    </row>
    <row r="42" spans="1:4" ht="19.5" customHeight="1">
      <c r="A42" s="226">
        <v>45897</v>
      </c>
      <c r="B42" s="227" t="s">
        <v>551</v>
      </c>
      <c r="C42" s="233" t="s">
        <v>552</v>
      </c>
      <c r="D42" t="s">
        <v>553</v>
      </c>
    </row>
    <row r="43" spans="1:4" ht="19.5" customHeight="1">
      <c r="A43" s="226">
        <v>45897</v>
      </c>
      <c r="B43" s="227" t="s">
        <v>554</v>
      </c>
      <c r="C43" s="233" t="s">
        <v>555</v>
      </c>
      <c r="D43" t="s">
        <v>556</v>
      </c>
    </row>
    <row r="44" spans="1:4" ht="19.5" customHeight="1">
      <c r="A44" s="226">
        <v>45896</v>
      </c>
      <c r="B44" s="227" t="s">
        <v>557</v>
      </c>
      <c r="C44" s="233" t="s">
        <v>555</v>
      </c>
      <c r="D44" t="s">
        <v>475</v>
      </c>
    </row>
    <row r="45" spans="1:4" ht="19.5" customHeight="1">
      <c r="A45" s="226">
        <v>45896</v>
      </c>
      <c r="B45" s="227" t="s">
        <v>558</v>
      </c>
      <c r="C45" s="233" t="s">
        <v>494</v>
      </c>
      <c r="D45" t="s">
        <v>559</v>
      </c>
    </row>
    <row r="46" spans="1:4" ht="19.5" customHeight="1">
      <c r="A46" s="226">
        <v>45895</v>
      </c>
      <c r="B46" s="227" t="s">
        <v>560</v>
      </c>
      <c r="C46" s="233" t="s">
        <v>561</v>
      </c>
      <c r="D46" t="s">
        <v>562</v>
      </c>
    </row>
    <row r="47" spans="1:4" ht="19.5" customHeight="1">
      <c r="A47" s="226">
        <v>45895</v>
      </c>
      <c r="B47" s="227" t="s">
        <v>563</v>
      </c>
      <c r="C47" s="233" t="s">
        <v>564</v>
      </c>
      <c r="D47" t="s">
        <v>565</v>
      </c>
    </row>
    <row r="48" spans="1:4" ht="19.5" customHeight="1">
      <c r="A48" s="226">
        <v>45891</v>
      </c>
      <c r="B48" s="227" t="s">
        <v>566</v>
      </c>
      <c r="C48" s="233">
        <v>1625</v>
      </c>
      <c r="D48" t="s">
        <v>567</v>
      </c>
    </row>
    <row r="49" spans="1:4" ht="19.5" customHeight="1">
      <c r="A49" s="226">
        <v>45891</v>
      </c>
      <c r="B49" s="227" t="s">
        <v>568</v>
      </c>
      <c r="C49" s="233">
        <v>2570</v>
      </c>
      <c r="D49" t="s">
        <v>569</v>
      </c>
    </row>
    <row r="50" spans="1:4" ht="19.5" customHeight="1">
      <c r="A50" s="226">
        <v>45890</v>
      </c>
      <c r="B50" s="227" t="s">
        <v>570</v>
      </c>
      <c r="C50" s="233">
        <v>1005</v>
      </c>
      <c r="D50" t="s">
        <v>475</v>
      </c>
    </row>
    <row r="51" spans="1:4" ht="19.5" customHeight="1">
      <c r="A51" s="226">
        <v>45890</v>
      </c>
      <c r="B51" s="227" t="s">
        <v>571</v>
      </c>
      <c r="C51" s="233">
        <v>813</v>
      </c>
      <c r="D51" t="s">
        <v>489</v>
      </c>
    </row>
    <row r="52" spans="1:4" ht="19.5" customHeight="1">
      <c r="A52" s="226">
        <v>45883</v>
      </c>
      <c r="B52" s="227" t="s">
        <v>572</v>
      </c>
      <c r="C52" s="233">
        <v>966</v>
      </c>
      <c r="D52" t="s">
        <v>559</v>
      </c>
    </row>
    <row r="53" spans="1:4" ht="19.5" customHeight="1">
      <c r="A53" s="226">
        <v>45883</v>
      </c>
      <c r="B53" s="227" t="s">
        <v>573</v>
      </c>
      <c r="C53" s="233">
        <v>1895</v>
      </c>
      <c r="D53" t="s">
        <v>574</v>
      </c>
    </row>
    <row r="54" spans="1:4" ht="19.5" customHeight="1">
      <c r="A54" s="226">
        <v>45881</v>
      </c>
      <c r="B54" s="227" t="s">
        <v>575</v>
      </c>
      <c r="C54" s="233">
        <v>3290</v>
      </c>
      <c r="D54" t="s">
        <v>533</v>
      </c>
    </row>
    <row r="55" spans="1:4" ht="19.5" customHeight="1">
      <c r="A55" s="226">
        <v>45881</v>
      </c>
      <c r="B55" s="227" t="s">
        <v>576</v>
      </c>
      <c r="C55" s="233">
        <v>1785</v>
      </c>
      <c r="D55" t="s">
        <v>533</v>
      </c>
    </row>
    <row r="56" spans="1:4" ht="19.5" customHeight="1">
      <c r="A56" s="226">
        <v>45876</v>
      </c>
      <c r="B56" s="227" t="s">
        <v>577</v>
      </c>
      <c r="C56" s="233">
        <v>2394</v>
      </c>
      <c r="D56" t="s">
        <v>578</v>
      </c>
    </row>
    <row r="57" spans="1:4" ht="19.5" customHeight="1">
      <c r="A57" s="226">
        <v>45876</v>
      </c>
      <c r="B57" s="227" t="s">
        <v>579</v>
      </c>
      <c r="C57" s="233">
        <v>1879</v>
      </c>
      <c r="D57" t="s">
        <v>580</v>
      </c>
    </row>
    <row r="58" spans="1:4" ht="19.5" customHeight="1">
      <c r="A58" s="226">
        <v>45876</v>
      </c>
      <c r="B58" s="227" t="s">
        <v>581</v>
      </c>
      <c r="C58" s="233">
        <v>2731</v>
      </c>
      <c r="D58" t="s">
        <v>582</v>
      </c>
    </row>
    <row r="59" spans="1:4" ht="19.5" customHeight="1">
      <c r="A59" s="226">
        <v>45875</v>
      </c>
      <c r="B59" s="227" t="s">
        <v>583</v>
      </c>
      <c r="C59" s="233">
        <v>3331</v>
      </c>
      <c r="D59" t="s">
        <v>514</v>
      </c>
    </row>
    <row r="60" spans="1:4" ht="19.5" customHeight="1">
      <c r="A60" s="226">
        <v>45875</v>
      </c>
      <c r="B60" s="227" t="s">
        <v>584</v>
      </c>
      <c r="C60" s="233">
        <v>1564</v>
      </c>
      <c r="D60" t="s">
        <v>478</v>
      </c>
    </row>
    <row r="61" spans="1:4" ht="19.5" customHeight="1">
      <c r="A61" s="226">
        <v>45874</v>
      </c>
      <c r="B61" s="227" t="s">
        <v>585</v>
      </c>
      <c r="C61" s="233">
        <v>1589</v>
      </c>
      <c r="D61" t="s">
        <v>586</v>
      </c>
    </row>
    <row r="62" spans="1:4" ht="19.5" customHeight="1">
      <c r="A62" s="226">
        <v>45874</v>
      </c>
      <c r="B62" s="227" t="s">
        <v>587</v>
      </c>
      <c r="C62" s="233">
        <v>4997</v>
      </c>
      <c r="D62" t="s">
        <v>588</v>
      </c>
    </row>
    <row r="63" spans="1:4" ht="19.5" customHeight="1">
      <c r="A63" s="226">
        <v>45870</v>
      </c>
      <c r="B63" s="227" t="s">
        <v>589</v>
      </c>
      <c r="C63" s="233">
        <v>953</v>
      </c>
      <c r="D63" t="s">
        <v>590</v>
      </c>
    </row>
    <row r="64" spans="1:4" ht="19.5" customHeight="1">
      <c r="A64" s="226">
        <v>45870</v>
      </c>
      <c r="B64" s="227" t="s">
        <v>591</v>
      </c>
      <c r="C64" s="233">
        <v>1105</v>
      </c>
      <c r="D64" t="s">
        <v>592</v>
      </c>
    </row>
    <row r="65" spans="1:4">
      <c r="A65" s="226">
        <v>45860</v>
      </c>
      <c r="B65" s="227" t="s">
        <v>593</v>
      </c>
      <c r="C65" s="233">
        <v>3465</v>
      </c>
      <c r="D65" t="s">
        <v>594</v>
      </c>
    </row>
    <row r="66" spans="1:4">
      <c r="A66" s="226">
        <v>45860</v>
      </c>
      <c r="B66" s="227" t="s">
        <v>595</v>
      </c>
      <c r="C66" s="233">
        <v>1537</v>
      </c>
      <c r="D66" t="s">
        <v>596</v>
      </c>
    </row>
    <row r="67" spans="1:4">
      <c r="A67" s="226">
        <v>45865</v>
      </c>
      <c r="B67" s="227" t="s">
        <v>597</v>
      </c>
      <c r="C67" s="233">
        <v>563</v>
      </c>
      <c r="D67" t="s">
        <v>470</v>
      </c>
    </row>
    <row r="68" spans="1:4">
      <c r="A68" s="226">
        <v>45865</v>
      </c>
      <c r="B68" s="227" t="s">
        <v>598</v>
      </c>
      <c r="C68" s="233">
        <v>1735</v>
      </c>
      <c r="D68" t="s">
        <v>517</v>
      </c>
    </row>
    <row r="69" spans="1:4">
      <c r="A69" s="226">
        <v>45865</v>
      </c>
      <c r="B69" s="227" t="s">
        <v>599</v>
      </c>
      <c r="C69" s="233">
        <v>256</v>
      </c>
      <c r="D69" t="s">
        <v>475</v>
      </c>
    </row>
    <row r="70" spans="1:4">
      <c r="A70" s="226">
        <v>45853</v>
      </c>
      <c r="B70" s="227" t="s">
        <v>600</v>
      </c>
      <c r="C70" s="233">
        <v>1641</v>
      </c>
      <c r="D70" t="s">
        <v>483</v>
      </c>
    </row>
    <row r="71" spans="1:4">
      <c r="A71" s="226">
        <v>45853</v>
      </c>
      <c r="B71" s="227" t="s">
        <v>601</v>
      </c>
      <c r="C71" s="233">
        <v>4321</v>
      </c>
      <c r="D71" t="s">
        <v>602</v>
      </c>
    </row>
    <row r="72" spans="1:4">
      <c r="A72" s="226">
        <v>45853</v>
      </c>
      <c r="B72" s="227" t="s">
        <v>603</v>
      </c>
      <c r="C72" s="233">
        <v>1013</v>
      </c>
      <c r="D72" t="s">
        <v>604</v>
      </c>
    </row>
    <row r="73" spans="1:4">
      <c r="A73" s="226">
        <v>45853</v>
      </c>
      <c r="B73" s="227" t="s">
        <v>605</v>
      </c>
      <c r="C73" s="233">
        <v>1115</v>
      </c>
      <c r="D73" t="s">
        <v>475</v>
      </c>
    </row>
    <row r="74" spans="1:4">
      <c r="A74" s="226">
        <v>45854</v>
      </c>
      <c r="B74" s="228" t="s">
        <v>606</v>
      </c>
      <c r="C74" s="233">
        <v>3157</v>
      </c>
      <c r="D74" t="s">
        <v>607</v>
      </c>
    </row>
    <row r="75" spans="1:4">
      <c r="A75" s="226">
        <v>45854</v>
      </c>
      <c r="B75" s="228" t="s">
        <v>608</v>
      </c>
      <c r="C75" s="233">
        <v>1489</v>
      </c>
      <c r="D75" t="s">
        <v>609</v>
      </c>
    </row>
    <row r="76" spans="1:4">
      <c r="A76" s="226">
        <v>45854</v>
      </c>
      <c r="B76" s="228" t="s">
        <v>610</v>
      </c>
      <c r="C76" s="233">
        <v>8022</v>
      </c>
      <c r="D76" t="s">
        <v>611</v>
      </c>
    </row>
    <row r="77" spans="1:4">
      <c r="A77" s="257">
        <v>45855</v>
      </c>
      <c r="B77" t="s">
        <v>612</v>
      </c>
      <c r="C77" s="233">
        <v>1203</v>
      </c>
      <c r="D77" t="s">
        <v>483</v>
      </c>
    </row>
    <row r="78" spans="1:4">
      <c r="A78" s="257">
        <v>45855</v>
      </c>
      <c r="B78" t="s">
        <v>613</v>
      </c>
      <c r="C78" s="233">
        <v>1101</v>
      </c>
      <c r="D78" t="s">
        <v>614</v>
      </c>
    </row>
    <row r="79" spans="1:4">
      <c r="A79" s="257">
        <v>45855</v>
      </c>
      <c r="B79" t="s">
        <v>615</v>
      </c>
      <c r="C79" s="258">
        <v>3569</v>
      </c>
      <c r="D79" t="s">
        <v>523</v>
      </c>
    </row>
    <row r="80" spans="1:4">
      <c r="A80" s="257">
        <v>45855</v>
      </c>
      <c r="B80" t="s">
        <v>616</v>
      </c>
      <c r="C80">
        <v>136</v>
      </c>
      <c r="D80" t="s">
        <v>617</v>
      </c>
    </row>
    <row r="81" spans="1:4">
      <c r="A81" s="257">
        <v>45856</v>
      </c>
      <c r="B81" t="s">
        <v>618</v>
      </c>
      <c r="C81" s="233">
        <v>1000</v>
      </c>
      <c r="D81" t="s">
        <v>619</v>
      </c>
    </row>
    <row r="82" spans="1:4">
      <c r="A82" s="257">
        <v>45856</v>
      </c>
      <c r="B82" t="s">
        <v>620</v>
      </c>
      <c r="C82" s="233">
        <v>2072</v>
      </c>
      <c r="D82" t="s">
        <v>621</v>
      </c>
    </row>
    <row r="83" spans="1:4">
      <c r="A83" s="257">
        <v>45856</v>
      </c>
      <c r="B83" t="s">
        <v>622</v>
      </c>
      <c r="C83">
        <v>947</v>
      </c>
      <c r="D83" t="s">
        <v>500</v>
      </c>
    </row>
    <row r="84" spans="1:4">
      <c r="A84" s="257">
        <v>45856</v>
      </c>
      <c r="B84" t="s">
        <v>623</v>
      </c>
      <c r="C84">
        <v>32</v>
      </c>
      <c r="D84" t="s">
        <v>617</v>
      </c>
    </row>
    <row r="85" spans="1:4">
      <c r="A85" s="257"/>
    </row>
    <row r="86" spans="1:4">
      <c r="B86" s="251" t="s">
        <v>534</v>
      </c>
    </row>
    <row r="87" spans="1:4">
      <c r="A87" s="226">
        <v>45832</v>
      </c>
      <c r="B87" s="228" t="s">
        <v>624</v>
      </c>
      <c r="C87" s="233" t="s">
        <v>625</v>
      </c>
      <c r="D87" t="s">
        <v>626</v>
      </c>
    </row>
    <row r="88" spans="1:4">
      <c r="A88" s="226">
        <v>45838</v>
      </c>
      <c r="B88" s="227" t="s">
        <v>627</v>
      </c>
      <c r="C88" t="s">
        <v>628</v>
      </c>
      <c r="D88" t="s">
        <v>629</v>
      </c>
    </row>
    <row r="89" spans="1:4">
      <c r="A89" s="226">
        <v>45841</v>
      </c>
      <c r="B89" s="227" t="s">
        <v>630</v>
      </c>
      <c r="C89" t="s">
        <v>631</v>
      </c>
      <c r="D89" t="s">
        <v>632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BF80-7409-47D2-82F2-0B874BA64C71}">
  <dimension ref="A1:F62"/>
  <sheetViews>
    <sheetView workbookViewId="0">
      <selection activeCell="F21" sqref="F21"/>
    </sheetView>
  </sheetViews>
  <sheetFormatPr defaultColWidth="8.85546875" defaultRowHeight="15"/>
  <cols>
    <col min="1" max="1" width="35" customWidth="1"/>
    <col min="2" max="2" width="37.140625" customWidth="1"/>
    <col min="3" max="3" width="22" customWidth="1"/>
    <col min="4" max="5" width="9.140625" bestFit="1" customWidth="1"/>
    <col min="6" max="6" width="29.28515625" customWidth="1"/>
  </cols>
  <sheetData>
    <row r="1" spans="1:3">
      <c r="A1" s="555" t="s">
        <v>633</v>
      </c>
      <c r="B1" s="556"/>
      <c r="C1" s="556"/>
    </row>
    <row r="2" spans="1:3">
      <c r="A2" s="248" t="s">
        <v>634</v>
      </c>
      <c r="B2" s="237" t="s">
        <v>635</v>
      </c>
      <c r="C2" s="237" t="s">
        <v>636</v>
      </c>
    </row>
    <row r="3" spans="1:3">
      <c r="A3" t="s">
        <v>637</v>
      </c>
      <c r="B3" s="308">
        <v>18052</v>
      </c>
      <c r="C3">
        <v>164</v>
      </c>
    </row>
    <row r="4" spans="1:3">
      <c r="A4" t="s">
        <v>638</v>
      </c>
      <c r="B4" s="233">
        <v>8322</v>
      </c>
      <c r="C4">
        <v>66</v>
      </c>
    </row>
    <row r="5" spans="1:3">
      <c r="A5" t="s">
        <v>639</v>
      </c>
      <c r="B5" s="233">
        <v>7065</v>
      </c>
      <c r="C5">
        <v>86</v>
      </c>
    </row>
    <row r="6" spans="1:3">
      <c r="A6" t="s">
        <v>640</v>
      </c>
      <c r="B6" s="233">
        <v>4084.5</v>
      </c>
      <c r="C6">
        <v>54</v>
      </c>
    </row>
    <row r="7" spans="1:3">
      <c r="A7" t="s">
        <v>641</v>
      </c>
      <c r="B7" s="233">
        <v>3441</v>
      </c>
      <c r="C7">
        <v>38</v>
      </c>
    </row>
    <row r="8" spans="1:3">
      <c r="A8" t="s">
        <v>164</v>
      </c>
      <c r="B8" s="233">
        <v>2892</v>
      </c>
      <c r="C8">
        <v>44</v>
      </c>
    </row>
    <row r="9" spans="1:3">
      <c r="A9" t="s">
        <v>642</v>
      </c>
      <c r="B9" s="233">
        <v>2521</v>
      </c>
      <c r="C9">
        <v>29</v>
      </c>
    </row>
    <row r="10" spans="1:3">
      <c r="A10" t="s">
        <v>643</v>
      </c>
      <c r="B10" s="233">
        <v>2454</v>
      </c>
      <c r="C10">
        <v>52</v>
      </c>
    </row>
    <row r="11" spans="1:3">
      <c r="B11" s="233"/>
    </row>
    <row r="12" spans="1:3">
      <c r="A12" s="555" t="s">
        <v>644</v>
      </c>
      <c r="B12" s="556"/>
      <c r="C12" s="556"/>
    </row>
    <row r="13" spans="1:3">
      <c r="A13" s="248" t="s">
        <v>645</v>
      </c>
      <c r="B13" s="237" t="s">
        <v>646</v>
      </c>
      <c r="C13" s="237" t="s">
        <v>636</v>
      </c>
    </row>
    <row r="14" spans="1:3">
      <c r="A14" t="s">
        <v>640</v>
      </c>
      <c r="B14" s="233">
        <v>17681</v>
      </c>
      <c r="C14">
        <v>161</v>
      </c>
    </row>
    <row r="15" spans="1:3">
      <c r="A15" t="s">
        <v>637</v>
      </c>
      <c r="B15" s="233">
        <v>7995</v>
      </c>
      <c r="C15">
        <v>64</v>
      </c>
    </row>
    <row r="16" spans="1:3">
      <c r="A16" t="s">
        <v>639</v>
      </c>
      <c r="B16" s="233">
        <v>5293</v>
      </c>
      <c r="C16">
        <v>64</v>
      </c>
    </row>
    <row r="17" spans="1:6">
      <c r="A17" t="s">
        <v>647</v>
      </c>
      <c r="B17" s="233">
        <v>4084</v>
      </c>
      <c r="C17">
        <v>54</v>
      </c>
    </row>
    <row r="18" spans="1:6">
      <c r="A18" t="s">
        <v>643</v>
      </c>
      <c r="B18" s="233">
        <v>2684</v>
      </c>
      <c r="C18">
        <v>31</v>
      </c>
    </row>
    <row r="19" spans="1:6">
      <c r="A19" t="s">
        <v>164</v>
      </c>
      <c r="B19" s="233">
        <v>2343</v>
      </c>
      <c r="C19">
        <v>26</v>
      </c>
    </row>
    <row r="20" spans="1:6">
      <c r="A20" t="s">
        <v>194</v>
      </c>
      <c r="B20" s="233">
        <v>2341</v>
      </c>
      <c r="C20">
        <v>38</v>
      </c>
    </row>
    <row r="21" spans="1:6">
      <c r="A21" t="s">
        <v>648</v>
      </c>
      <c r="B21" s="233">
        <v>2308</v>
      </c>
      <c r="C21">
        <v>49</v>
      </c>
    </row>
    <row r="22" spans="1:6">
      <c r="A22" t="s">
        <v>649</v>
      </c>
      <c r="B22" s="233">
        <v>2030</v>
      </c>
      <c r="C22">
        <v>26</v>
      </c>
    </row>
    <row r="23" spans="1:6">
      <c r="A23" t="s">
        <v>641</v>
      </c>
      <c r="B23" s="247">
        <v>2004</v>
      </c>
      <c r="C23">
        <v>26</v>
      </c>
    </row>
    <row r="27" spans="1:6">
      <c r="A27" s="555" t="s">
        <v>644</v>
      </c>
      <c r="B27" s="556"/>
      <c r="C27" s="556"/>
    </row>
    <row r="28" spans="1:6">
      <c r="A28" s="248" t="s">
        <v>650</v>
      </c>
      <c r="B28" s="237" t="s">
        <v>651</v>
      </c>
      <c r="C28" s="237" t="s">
        <v>636</v>
      </c>
      <c r="F28" s="225"/>
    </row>
    <row r="29" spans="1:6">
      <c r="A29" t="s">
        <v>637</v>
      </c>
      <c r="B29" s="247">
        <v>27675</v>
      </c>
      <c r="C29">
        <v>215</v>
      </c>
    </row>
    <row r="30" spans="1:6">
      <c r="A30" t="s">
        <v>639</v>
      </c>
      <c r="B30" s="247">
        <v>9650</v>
      </c>
      <c r="C30">
        <v>116</v>
      </c>
    </row>
    <row r="31" spans="1:6">
      <c r="A31" t="s">
        <v>643</v>
      </c>
      <c r="B31" s="247">
        <v>8677</v>
      </c>
      <c r="C31">
        <v>104</v>
      </c>
    </row>
    <row r="32" spans="1:6">
      <c r="A32" t="s">
        <v>640</v>
      </c>
      <c r="B32" s="247">
        <v>9110</v>
      </c>
      <c r="C32">
        <v>84</v>
      </c>
    </row>
    <row r="33" spans="1:6">
      <c r="A33" t="s">
        <v>164</v>
      </c>
      <c r="B33" s="233">
        <v>5110</v>
      </c>
      <c r="C33">
        <v>80</v>
      </c>
    </row>
    <row r="34" spans="1:6">
      <c r="A34" t="s">
        <v>647</v>
      </c>
      <c r="B34" s="247">
        <v>5435</v>
      </c>
      <c r="C34">
        <v>73</v>
      </c>
    </row>
    <row r="35" spans="1:6">
      <c r="A35" t="s">
        <v>649</v>
      </c>
      <c r="B35" s="247">
        <v>5145</v>
      </c>
      <c r="C35">
        <v>61</v>
      </c>
    </row>
    <row r="36" spans="1:6">
      <c r="A36" t="s">
        <v>652</v>
      </c>
      <c r="B36" s="247">
        <v>4200</v>
      </c>
      <c r="C36">
        <v>56</v>
      </c>
    </row>
    <row r="37" spans="1:6">
      <c r="A37" t="s">
        <v>181</v>
      </c>
      <c r="B37" s="247">
        <v>2970</v>
      </c>
      <c r="C37">
        <v>55</v>
      </c>
    </row>
    <row r="43" spans="1:6">
      <c r="A43" s="555" t="s">
        <v>653</v>
      </c>
      <c r="B43" s="556"/>
      <c r="C43" s="556"/>
    </row>
    <row r="44" spans="1:6" ht="15" customHeight="1">
      <c r="A44" s="248" t="s">
        <v>654</v>
      </c>
      <c r="B44" s="237" t="s">
        <v>655</v>
      </c>
      <c r="C44" s="237" t="s">
        <v>636</v>
      </c>
      <c r="F44" s="225"/>
    </row>
    <row r="45" spans="1:6" ht="15" customHeight="1">
      <c r="A45" s="227" t="s">
        <v>639</v>
      </c>
      <c r="B45" s="247">
        <v>19205</v>
      </c>
      <c r="C45">
        <v>234</v>
      </c>
    </row>
    <row r="46" spans="1:6" ht="15" customHeight="1">
      <c r="A46" s="227" t="s">
        <v>637</v>
      </c>
      <c r="B46" s="247">
        <v>16175</v>
      </c>
      <c r="C46">
        <v>130</v>
      </c>
    </row>
    <row r="47" spans="1:6" ht="15" customHeight="1">
      <c r="A47" s="228" t="s">
        <v>640</v>
      </c>
      <c r="B47" s="247">
        <v>14107</v>
      </c>
      <c r="C47">
        <v>139</v>
      </c>
    </row>
    <row r="48" spans="1:6" ht="17.25" customHeight="1">
      <c r="A48" t="s">
        <v>641</v>
      </c>
      <c r="B48" s="247">
        <v>12729</v>
      </c>
      <c r="C48">
        <v>186</v>
      </c>
    </row>
    <row r="49" spans="1:3" ht="17.25" customHeight="1">
      <c r="A49" t="s">
        <v>656</v>
      </c>
      <c r="B49" s="247">
        <v>11391</v>
      </c>
      <c r="C49">
        <v>149</v>
      </c>
    </row>
    <row r="50" spans="1:3" ht="17.25" customHeight="1">
      <c r="A50" t="s">
        <v>657</v>
      </c>
      <c r="B50" s="247">
        <v>11075</v>
      </c>
      <c r="C50">
        <v>168</v>
      </c>
    </row>
    <row r="51" spans="1:3" ht="19.5" customHeight="1">
      <c r="A51" t="s">
        <v>642</v>
      </c>
      <c r="B51" s="247">
        <v>10715</v>
      </c>
      <c r="C51">
        <v>155</v>
      </c>
    </row>
    <row r="52" spans="1:3">
      <c r="A52" t="s">
        <v>643</v>
      </c>
      <c r="B52" s="247">
        <v>9126</v>
      </c>
      <c r="C52">
        <v>129</v>
      </c>
    </row>
    <row r="53" spans="1:3">
      <c r="A53" t="s">
        <v>638</v>
      </c>
      <c r="B53" s="247">
        <v>6150</v>
      </c>
      <c r="C53">
        <v>91</v>
      </c>
    </row>
    <row r="54" spans="1:3">
      <c r="A54" t="s">
        <v>103</v>
      </c>
      <c r="B54" s="247">
        <v>6140</v>
      </c>
      <c r="C54">
        <v>60</v>
      </c>
    </row>
    <row r="56" spans="1:3">
      <c r="A56" s="553" t="s">
        <v>658</v>
      </c>
      <c r="B56" s="554"/>
      <c r="C56" s="252"/>
    </row>
    <row r="57" spans="1:3">
      <c r="A57" s="253" t="s">
        <v>659</v>
      </c>
      <c r="B57" s="254" t="s">
        <v>660</v>
      </c>
      <c r="C57" s="252"/>
    </row>
    <row r="58" spans="1:3">
      <c r="A58" s="252" t="s">
        <v>661</v>
      </c>
      <c r="B58" s="255"/>
      <c r="C58" s="252"/>
    </row>
    <row r="59" spans="1:3">
      <c r="A59" s="252" t="s">
        <v>662</v>
      </c>
      <c r="B59" s="255"/>
      <c r="C59" s="252"/>
    </row>
    <row r="60" spans="1:3">
      <c r="A60" s="252" t="s">
        <v>663</v>
      </c>
      <c r="B60" s="255"/>
      <c r="C60" s="252"/>
    </row>
    <row r="61" spans="1:3">
      <c r="A61" s="252" t="s">
        <v>664</v>
      </c>
      <c r="B61" s="252"/>
      <c r="C61" s="252"/>
    </row>
    <row r="62" spans="1:3">
      <c r="A62" s="252" t="s">
        <v>665</v>
      </c>
      <c r="B62" s="252"/>
      <c r="C62" s="252"/>
    </row>
  </sheetData>
  <mergeCells count="5">
    <mergeCell ref="A56:B56"/>
    <mergeCell ref="A43:C43"/>
    <mergeCell ref="A27:C27"/>
    <mergeCell ref="A12:C12"/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508F-04F7-4D91-9DF1-36FA506CE61A}">
  <dimension ref="A1:L8"/>
  <sheetViews>
    <sheetView workbookViewId="0">
      <selection activeCell="A2" sqref="A2:C2"/>
    </sheetView>
  </sheetViews>
  <sheetFormatPr defaultColWidth="8.85546875" defaultRowHeight="15"/>
  <cols>
    <col min="1" max="1" width="24.140625" customWidth="1"/>
    <col min="2" max="2" width="23.28515625" customWidth="1"/>
    <col min="3" max="3" width="8.7109375" customWidth="1"/>
    <col min="4" max="4" width="9.140625" style="291"/>
    <col min="5" max="5" width="16.140625" customWidth="1"/>
    <col min="6" max="6" width="18.85546875" customWidth="1"/>
    <col min="7" max="7" width="12.42578125" customWidth="1"/>
    <col min="8" max="8" width="9.140625" style="291"/>
    <col min="9" max="9" width="16.42578125" customWidth="1"/>
    <col min="10" max="10" width="18.42578125" customWidth="1"/>
    <col min="11" max="11" width="15.7109375" customWidth="1"/>
    <col min="12" max="12" width="9.140625" style="291"/>
  </cols>
  <sheetData>
    <row r="1" spans="1:11" ht="24.75" customHeight="1">
      <c r="A1" s="287" t="s">
        <v>666</v>
      </c>
      <c r="B1" s="289" t="s">
        <v>667</v>
      </c>
      <c r="C1" s="288" t="s">
        <v>668</v>
      </c>
      <c r="E1" s="287" t="s">
        <v>669</v>
      </c>
      <c r="F1" s="289" t="s">
        <v>670</v>
      </c>
      <c r="G1" s="288" t="s">
        <v>668</v>
      </c>
      <c r="I1" s="287" t="s">
        <v>671</v>
      </c>
      <c r="J1" s="289" t="s">
        <v>672</v>
      </c>
      <c r="K1" s="288" t="s">
        <v>668</v>
      </c>
    </row>
    <row r="2" spans="1:11">
      <c r="A2" s="312" t="s">
        <v>673</v>
      </c>
      <c r="B2" s="312"/>
      <c r="C2" s="312"/>
    </row>
    <row r="3" spans="1:11">
      <c r="A3" t="s">
        <v>674</v>
      </c>
      <c r="B3" t="s">
        <v>675</v>
      </c>
      <c r="C3" s="290">
        <v>45870</v>
      </c>
    </row>
    <row r="4" spans="1:11">
      <c r="A4" t="s">
        <v>676</v>
      </c>
      <c r="B4" t="s">
        <v>675</v>
      </c>
      <c r="C4" s="290">
        <v>45870</v>
      </c>
    </row>
    <row r="5" spans="1:11">
      <c r="A5" t="s">
        <v>677</v>
      </c>
      <c r="B5" t="s">
        <v>675</v>
      </c>
      <c r="C5" s="290">
        <v>45870</v>
      </c>
    </row>
    <row r="6" spans="1:11">
      <c r="A6" t="s">
        <v>678</v>
      </c>
      <c r="B6" t="s">
        <v>679</v>
      </c>
      <c r="C6" s="290">
        <v>45875</v>
      </c>
    </row>
    <row r="7" spans="1:11">
      <c r="A7" t="s">
        <v>680</v>
      </c>
      <c r="B7" t="s">
        <v>681</v>
      </c>
      <c r="C7" s="290">
        <v>45875</v>
      </c>
    </row>
    <row r="8" spans="1:11">
      <c r="A8" t="s">
        <v>682</v>
      </c>
      <c r="B8" t="s">
        <v>681</v>
      </c>
      <c r="C8" s="290">
        <v>45875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0A56-AA2D-44E9-A56E-218E79FA2077}">
  <dimension ref="A1:U72"/>
  <sheetViews>
    <sheetView workbookViewId="0">
      <pane ySplit="4" topLeftCell="A5" activePane="bottomLeft" state="frozen"/>
      <selection pane="bottomLeft" activeCell="I35" sqref="I35"/>
    </sheetView>
  </sheetViews>
  <sheetFormatPr defaultColWidth="8.85546875" defaultRowHeight="15"/>
  <cols>
    <col min="1" max="1" width="10.42578125" customWidth="1"/>
    <col min="3" max="3" width="16.85546875" customWidth="1"/>
    <col min="5" max="6" width="14.42578125" bestFit="1" customWidth="1"/>
    <col min="7" max="7" width="15.42578125" bestFit="1" customWidth="1"/>
    <col min="8" max="8" width="10.7109375" bestFit="1" customWidth="1"/>
    <col min="9" max="10" width="14.42578125" bestFit="1" customWidth="1"/>
    <col min="11" max="11" width="10.7109375" bestFit="1" customWidth="1"/>
    <col min="12" max="13" width="14.42578125" bestFit="1" customWidth="1"/>
    <col min="14" max="14" width="10.7109375" bestFit="1" customWidth="1"/>
    <col min="15" max="15" width="11.85546875" bestFit="1" customWidth="1"/>
  </cols>
  <sheetData>
    <row r="1" spans="1:21" ht="65.25" customHeight="1">
      <c r="A1" s="25"/>
      <c r="B1" s="2"/>
      <c r="C1" s="2"/>
      <c r="D1" s="1"/>
      <c r="E1" s="1"/>
      <c r="F1" s="3"/>
      <c r="G1" s="3"/>
      <c r="H1" s="1"/>
      <c r="I1" s="1"/>
      <c r="J1" s="1"/>
      <c r="K1" s="1"/>
      <c r="L1" s="1"/>
      <c r="M1" s="558" t="s">
        <v>683</v>
      </c>
      <c r="N1" s="558"/>
      <c r="O1" s="558"/>
      <c r="P1" s="558"/>
      <c r="Q1" s="558"/>
      <c r="R1" s="371"/>
      <c r="S1" s="1"/>
      <c r="T1" s="1"/>
      <c r="U1" s="6"/>
    </row>
    <row r="2" spans="1:21">
      <c r="A2" s="2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</row>
    <row r="3" spans="1:21">
      <c r="A3" s="351" t="s">
        <v>684</v>
      </c>
      <c r="B3" s="351"/>
      <c r="C3" s="351"/>
      <c r="D3" s="1"/>
      <c r="E3" s="559" t="s">
        <v>685</v>
      </c>
      <c r="F3" s="559"/>
      <c r="G3" s="559"/>
      <c r="H3" s="559"/>
      <c r="I3" s="560" t="s">
        <v>686</v>
      </c>
      <c r="J3" s="560"/>
      <c r="K3" s="560"/>
      <c r="L3" s="561" t="s">
        <v>14</v>
      </c>
      <c r="M3" s="561"/>
      <c r="N3" s="561"/>
      <c r="O3" s="559" t="s">
        <v>17</v>
      </c>
      <c r="P3" s="559"/>
      <c r="Q3" s="562"/>
    </row>
    <row r="4" spans="1:21" ht="17.100000000000001">
      <c r="A4" s="563" t="s">
        <v>687</v>
      </c>
      <c r="B4" s="563"/>
      <c r="C4" s="563"/>
      <c r="D4" s="352" t="s">
        <v>688</v>
      </c>
      <c r="E4" s="353" t="s">
        <v>44</v>
      </c>
      <c r="F4" s="352" t="s">
        <v>689</v>
      </c>
      <c r="G4" s="354" t="s">
        <v>690</v>
      </c>
      <c r="H4" s="352" t="s">
        <v>691</v>
      </c>
      <c r="I4" s="353" t="s">
        <v>692</v>
      </c>
      <c r="J4" s="352" t="s">
        <v>693</v>
      </c>
      <c r="K4" s="352" t="s">
        <v>691</v>
      </c>
      <c r="L4" s="353" t="s">
        <v>692</v>
      </c>
      <c r="M4" s="352" t="s">
        <v>693</v>
      </c>
      <c r="N4" s="352" t="s">
        <v>691</v>
      </c>
      <c r="O4" s="353" t="s">
        <v>694</v>
      </c>
      <c r="P4" s="355" t="s">
        <v>695</v>
      </c>
      <c r="Q4" s="356" t="s">
        <v>696</v>
      </c>
    </row>
    <row r="5" spans="1:21">
      <c r="A5" s="2" t="s">
        <v>697</v>
      </c>
      <c r="B5" s="2"/>
      <c r="C5" s="2"/>
      <c r="D5" s="357"/>
      <c r="E5" s="358" t="s">
        <v>285</v>
      </c>
      <c r="F5" s="357"/>
      <c r="G5" s="359"/>
      <c r="H5" s="357"/>
      <c r="I5" s="372" t="s">
        <v>285</v>
      </c>
      <c r="J5" s="373"/>
      <c r="K5" s="357"/>
      <c r="L5" s="372" t="s">
        <v>285</v>
      </c>
      <c r="M5" s="373"/>
      <c r="N5" s="357"/>
      <c r="O5" s="360" t="s">
        <v>285</v>
      </c>
      <c r="P5" s="357"/>
      <c r="Q5" s="361" t="s">
        <v>285</v>
      </c>
    </row>
    <row r="6" spans="1:21">
      <c r="A6" s="1" t="s">
        <v>698</v>
      </c>
      <c r="B6" s="1" t="s">
        <v>699</v>
      </c>
      <c r="C6" s="1"/>
      <c r="D6" s="1" t="s">
        <v>700</v>
      </c>
      <c r="E6" s="368">
        <f>SUM('Performances by Week'!Z15:Z17)</f>
        <v>50000</v>
      </c>
      <c r="F6" s="369">
        <f>SUM('Performances by Week'!Y15:Y17)</f>
        <v>105443</v>
      </c>
      <c r="G6" s="374">
        <f>F6-E6</f>
        <v>55443</v>
      </c>
      <c r="H6" s="1">
        <f>SUM('Performances by Week'!S15:S17)</f>
        <v>2023</v>
      </c>
      <c r="I6" s="368">
        <f>SUM('Performances by Week'!AE15:AE17)</f>
        <v>100000</v>
      </c>
      <c r="J6" s="369">
        <f>SUM('Performances by Week'!AD15:AD17)</f>
        <v>97347.9</v>
      </c>
      <c r="K6" s="362">
        <f>SUM('Performances by Week'!AC15:AC17)</f>
        <v>1419</v>
      </c>
      <c r="L6" s="368">
        <f>SUM(E6,I6)</f>
        <v>150000</v>
      </c>
      <c r="M6" s="368">
        <f>SUM(F6,J6)</f>
        <v>202790.9</v>
      </c>
      <c r="N6" s="362">
        <f>SUM(H6,K6)</f>
        <v>3442</v>
      </c>
      <c r="O6" s="370">
        <f>SUM('Performances by Week'!AG15:AG17)</f>
        <v>4299</v>
      </c>
      <c r="P6" s="364">
        <f>N6/O6</f>
        <v>0.80065131425913005</v>
      </c>
      <c r="Q6" s="366">
        <f>M6/N6</f>
        <v>58.916589192330036</v>
      </c>
    </row>
    <row r="7" spans="1:21">
      <c r="A7" s="1" t="s">
        <v>701</v>
      </c>
      <c r="B7" s="1" t="s">
        <v>702</v>
      </c>
      <c r="C7" s="1"/>
      <c r="D7" s="1" t="s">
        <v>703</v>
      </c>
      <c r="E7" s="368">
        <f>SUM('Performances by Week'!Z26:Z28)</f>
        <v>85000</v>
      </c>
      <c r="F7" s="369">
        <f>SUM('Performances by Week'!Y26:Y28)</f>
        <v>93478</v>
      </c>
      <c r="G7" s="374">
        <f t="shared" ref="G7:G19" si="0">F7-E7</f>
        <v>8478</v>
      </c>
      <c r="H7" s="76">
        <f>SUM('Performances by Week'!S26:S28)</f>
        <v>1735</v>
      </c>
      <c r="I7" s="369">
        <f>SUM('Performances by Week'!AE26:AE28)</f>
        <v>140000</v>
      </c>
      <c r="J7" s="369">
        <f>SUM('Performances by Week'!AD26:AD28)</f>
        <v>89640</v>
      </c>
      <c r="K7" s="76">
        <f>SUM('Performances by Week'!AC26:AC28)</f>
        <v>1351</v>
      </c>
      <c r="L7" s="368">
        <f t="shared" ref="L7:M20" si="1">SUM(E7,I7)</f>
        <v>225000</v>
      </c>
      <c r="M7" s="368">
        <f t="shared" si="1"/>
        <v>183118</v>
      </c>
      <c r="N7" s="362">
        <f t="shared" ref="N7:N19" si="2">SUM(H7,K7)</f>
        <v>3086</v>
      </c>
      <c r="O7" s="76">
        <f>SUM('Performances by Week'!AG26:AG28)</f>
        <v>4350</v>
      </c>
      <c r="P7" s="364">
        <f t="shared" ref="P7:P20" si="3">N7/O7</f>
        <v>0.70942528735632182</v>
      </c>
      <c r="Q7" s="366">
        <f t="shared" ref="Q7:Q20" si="4">M7/N7</f>
        <v>59.338302009073232</v>
      </c>
    </row>
    <row r="8" spans="1:21">
      <c r="A8" s="1" t="s">
        <v>704</v>
      </c>
      <c r="B8" s="1" t="s">
        <v>705</v>
      </c>
      <c r="C8" s="1"/>
      <c r="D8" s="1" t="s">
        <v>706</v>
      </c>
      <c r="E8" s="368">
        <f>SUM('Performances by Week'!Z31:Z33)</f>
        <v>38000</v>
      </c>
      <c r="F8" s="369">
        <f>SUM('Performances by Week'!Y31:Y33)</f>
        <v>34358</v>
      </c>
      <c r="G8" s="374">
        <f t="shared" si="0"/>
        <v>-3642</v>
      </c>
      <c r="H8" s="76">
        <f>SUM('Performances by Week'!S31:S33)</f>
        <v>603</v>
      </c>
      <c r="I8" s="369">
        <f>SUM('Performances by Week'!AE31:AE33)</f>
        <v>135000</v>
      </c>
      <c r="J8" s="369">
        <f>SUM('Performances by Week'!AD31:AD33)</f>
        <v>102648</v>
      </c>
      <c r="K8" s="76">
        <f>SUM('Performances by Week'!AC31:AC33)</f>
        <v>1529</v>
      </c>
      <c r="L8" s="368">
        <f t="shared" si="1"/>
        <v>173000</v>
      </c>
      <c r="M8" s="368">
        <f t="shared" si="1"/>
        <v>137006</v>
      </c>
      <c r="N8" s="362">
        <f t="shared" si="2"/>
        <v>2132</v>
      </c>
      <c r="O8" s="76">
        <f>SUM('Performances by Week'!AG31:AG33)</f>
        <v>4821</v>
      </c>
      <c r="P8" s="364">
        <f t="shared" si="3"/>
        <v>0.44223190209500102</v>
      </c>
      <c r="Q8" s="366">
        <f t="shared" si="4"/>
        <v>64.261726078799256</v>
      </c>
    </row>
    <row r="9" spans="1:21">
      <c r="A9" s="1" t="s">
        <v>707</v>
      </c>
      <c r="B9" s="1" t="s">
        <v>708</v>
      </c>
      <c r="C9" s="1"/>
      <c r="D9" s="1" t="s">
        <v>709</v>
      </c>
      <c r="E9" s="368">
        <f>SUM('Performances by Week'!Z52:Z54)</f>
        <v>65000</v>
      </c>
      <c r="F9" s="369">
        <f>SUM('Performances by Week'!Y52:Y54)</f>
        <v>11711</v>
      </c>
      <c r="G9" s="374">
        <f t="shared" si="0"/>
        <v>-53289</v>
      </c>
      <c r="H9" s="76">
        <f>SUM('Performances by Week'!S52:S54)</f>
        <v>241</v>
      </c>
      <c r="I9" s="369">
        <f>SUM('Performances by Week'!AE52:AE54)</f>
        <v>100000</v>
      </c>
      <c r="J9" s="369">
        <f>SUM('Performances by Week'!AD52:AD54)</f>
        <v>110925</v>
      </c>
      <c r="K9" s="76">
        <f>SUM('Performances by Week'!AC52:AC54)</f>
        <v>1682</v>
      </c>
      <c r="L9" s="368">
        <f t="shared" si="1"/>
        <v>165000</v>
      </c>
      <c r="M9" s="368">
        <f t="shared" si="1"/>
        <v>122636</v>
      </c>
      <c r="N9" s="362">
        <f t="shared" si="2"/>
        <v>1923</v>
      </c>
      <c r="O9" s="76">
        <f>SUM('Performances by Week'!AG52:AG54)</f>
        <v>4770</v>
      </c>
      <c r="P9" s="364">
        <f t="shared" si="3"/>
        <v>0.40314465408805034</v>
      </c>
      <c r="Q9" s="366">
        <f t="shared" si="4"/>
        <v>63.773270930837235</v>
      </c>
    </row>
    <row r="10" spans="1:21">
      <c r="A10" s="1" t="s">
        <v>710</v>
      </c>
      <c r="B10" s="1" t="s">
        <v>711</v>
      </c>
      <c r="C10" s="1"/>
      <c r="D10" s="1" t="s">
        <v>712</v>
      </c>
      <c r="E10" s="368">
        <f>SUM('Performances by Week'!Z55:Z57)</f>
        <v>70000</v>
      </c>
      <c r="F10" s="369">
        <f>SUM('Performances by Week'!Y55:Y57)</f>
        <v>16249</v>
      </c>
      <c r="G10" s="374">
        <f t="shared" si="0"/>
        <v>-53751</v>
      </c>
      <c r="H10" s="76">
        <f>SUM('Performances by Week'!S55:S57)</f>
        <v>270</v>
      </c>
      <c r="I10" s="369">
        <f>SUM('Performances by Week'!AE55:AE57)</f>
        <v>140000</v>
      </c>
      <c r="J10" s="369">
        <f>SUM('Performances by Week'!AD55:AD57)</f>
        <v>104865.09999999999</v>
      </c>
      <c r="K10" s="76">
        <f>SUM('Performances by Week'!AC55:AC57)</f>
        <v>1576</v>
      </c>
      <c r="L10" s="368">
        <f t="shared" si="1"/>
        <v>210000</v>
      </c>
      <c r="M10" s="368">
        <f t="shared" si="1"/>
        <v>121114.09999999999</v>
      </c>
      <c r="N10" s="362">
        <f t="shared" si="2"/>
        <v>1846</v>
      </c>
      <c r="O10" s="76">
        <f>SUM('Performances by Week'!AG55:AG57)</f>
        <v>4770</v>
      </c>
      <c r="P10" s="364">
        <f t="shared" si="3"/>
        <v>0.38700209643605871</v>
      </c>
      <c r="Q10" s="366">
        <f t="shared" si="4"/>
        <v>65.608938244853732</v>
      </c>
    </row>
    <row r="11" spans="1:21">
      <c r="A11" s="1" t="s">
        <v>713</v>
      </c>
      <c r="B11" s="1" t="s">
        <v>714</v>
      </c>
      <c r="C11" s="1"/>
      <c r="D11" s="1" t="s">
        <v>715</v>
      </c>
      <c r="E11" s="368">
        <f>SUM('Performances by Week'!Z62:Z64)</f>
        <v>64000</v>
      </c>
      <c r="F11" s="369">
        <f>SUM('Performances by Week'!Y62:Y64)</f>
        <v>14060</v>
      </c>
      <c r="G11" s="374">
        <f t="shared" si="0"/>
        <v>-49940</v>
      </c>
      <c r="H11" s="76">
        <f>SUM('Performances by Week'!S62:S64)</f>
        <v>237</v>
      </c>
      <c r="I11" s="369">
        <f>SUM('Performances by Week'!AE62:AE64)</f>
        <v>140000</v>
      </c>
      <c r="J11" s="369">
        <f>SUM('Performances by Week'!AD62:AD64)</f>
        <v>103801.1</v>
      </c>
      <c r="K11" s="76">
        <f>SUM('Performances by Week'!AC62:AC64)</f>
        <v>1571</v>
      </c>
      <c r="L11" s="368">
        <f t="shared" si="1"/>
        <v>204000</v>
      </c>
      <c r="M11" s="368">
        <f t="shared" si="1"/>
        <v>117861.1</v>
      </c>
      <c r="N11" s="362">
        <f t="shared" si="2"/>
        <v>1808</v>
      </c>
      <c r="O11" s="76">
        <f>SUM('Performances by Week'!AG62:AG64)</f>
        <v>4770</v>
      </c>
      <c r="P11" s="364">
        <f t="shared" si="3"/>
        <v>0.37903563941299789</v>
      </c>
      <c r="Q11" s="366">
        <f t="shared" si="4"/>
        <v>65.188661504424786</v>
      </c>
    </row>
    <row r="12" spans="1:21">
      <c r="A12" s="1" t="s">
        <v>716</v>
      </c>
      <c r="B12" s="1" t="s">
        <v>717</v>
      </c>
      <c r="C12" s="1"/>
      <c r="D12" s="1" t="s">
        <v>718</v>
      </c>
      <c r="E12" s="368">
        <f>SUM('Performances by Week'!Z66:Z68)</f>
        <v>40000</v>
      </c>
      <c r="F12" s="369">
        <f>SUM('Performances by Week'!Y66:Y68)</f>
        <v>6940</v>
      </c>
      <c r="G12" s="374">
        <f t="shared" si="0"/>
        <v>-33060</v>
      </c>
      <c r="H12" s="76">
        <f>SUM('Performances by Week'!S66:S68)</f>
        <v>155</v>
      </c>
      <c r="I12" s="369">
        <f>SUM('Performances by Week'!AE66:AE68)</f>
        <v>100000</v>
      </c>
      <c r="J12" s="369">
        <f>SUM('Performances by Week'!AD66:AD68)</f>
        <v>109967.29999999999</v>
      </c>
      <c r="K12" s="76">
        <f>SUM('Performances by Week'!AC66:AC68)</f>
        <v>1683</v>
      </c>
      <c r="L12" s="368">
        <f t="shared" si="1"/>
        <v>140000</v>
      </c>
      <c r="M12" s="368">
        <f t="shared" si="1"/>
        <v>116907.29999999999</v>
      </c>
      <c r="N12" s="362">
        <f t="shared" si="2"/>
        <v>1838</v>
      </c>
      <c r="O12" s="76">
        <f>SUM('Performances by Week'!AG66:AG68)</f>
        <v>4770</v>
      </c>
      <c r="P12" s="364">
        <f t="shared" si="3"/>
        <v>0.38532494758909852</v>
      </c>
      <c r="Q12" s="366">
        <f t="shared" si="4"/>
        <v>63.605712731229588</v>
      </c>
    </row>
    <row r="13" spans="1:21">
      <c r="A13" s="1" t="s">
        <v>719</v>
      </c>
      <c r="B13" s="1" t="s">
        <v>720</v>
      </c>
      <c r="C13" s="1"/>
      <c r="D13" s="1" t="s">
        <v>721</v>
      </c>
      <c r="E13" s="368">
        <f>SUM('Performances by Week'!Z79:Z81)</f>
        <v>55000</v>
      </c>
      <c r="F13" s="369">
        <f>SUM('Performances by Week'!Y79:Y81)</f>
        <v>10846</v>
      </c>
      <c r="G13" s="374">
        <f t="shared" si="0"/>
        <v>-44154</v>
      </c>
      <c r="H13" s="76">
        <f>SUM('Performances by Week'!S79:S81)</f>
        <v>190</v>
      </c>
      <c r="I13" s="369">
        <f>SUM('Performances by Week'!AE79:AE81)</f>
        <v>110000</v>
      </c>
      <c r="J13" s="369">
        <f>SUM('Performances by Week'!AD79:AD81)</f>
        <v>111505.29999999999</v>
      </c>
      <c r="K13" s="76">
        <f>SUM('Performances by Week'!AC79:AC81)</f>
        <v>1708</v>
      </c>
      <c r="L13" s="368">
        <f t="shared" si="1"/>
        <v>165000</v>
      </c>
      <c r="M13" s="368">
        <f t="shared" si="1"/>
        <v>122351.29999999999</v>
      </c>
      <c r="N13" s="362">
        <f t="shared" si="2"/>
        <v>1898</v>
      </c>
      <c r="O13" s="76">
        <f>SUM('Performances by Week'!AG79:AG81)</f>
        <v>4770</v>
      </c>
      <c r="P13" s="364">
        <f t="shared" si="3"/>
        <v>0.39790356394129978</v>
      </c>
      <c r="Q13" s="366">
        <f t="shared" si="4"/>
        <v>64.463277133825073</v>
      </c>
    </row>
    <row r="14" spans="1:21">
      <c r="A14" s="1" t="s">
        <v>722</v>
      </c>
      <c r="B14" s="1" t="s">
        <v>723</v>
      </c>
      <c r="C14" s="1"/>
      <c r="D14" s="1" t="s">
        <v>724</v>
      </c>
      <c r="E14" s="368">
        <f>SUM('Performances by Week'!Z89:Z91)</f>
        <v>70000</v>
      </c>
      <c r="F14" s="369">
        <f>SUM('Performances by Week'!Y89:Y91)</f>
        <v>10472</v>
      </c>
      <c r="G14" s="374">
        <f t="shared" si="0"/>
        <v>-59528</v>
      </c>
      <c r="H14" s="76">
        <f>SUM('Performances by Week'!S89:S91)</f>
        <v>219</v>
      </c>
      <c r="I14" s="369">
        <f>SUM('Performances by Week'!AE89:AE91)</f>
        <v>130000</v>
      </c>
      <c r="J14" s="369">
        <f>SUM('Performances by Week'!AD89:AD91)</f>
        <v>98992.1</v>
      </c>
      <c r="K14" s="76">
        <f>SUM('Performances by Week'!AC89:AC91)</f>
        <v>1505</v>
      </c>
      <c r="L14" s="368">
        <f t="shared" si="1"/>
        <v>200000</v>
      </c>
      <c r="M14" s="368">
        <f t="shared" si="1"/>
        <v>109464.1</v>
      </c>
      <c r="N14" s="362">
        <f t="shared" si="2"/>
        <v>1724</v>
      </c>
      <c r="O14" s="76">
        <f>SUM('Performances by Week'!AG89:AG91)</f>
        <v>4299</v>
      </c>
      <c r="P14" s="364">
        <f t="shared" si="3"/>
        <v>0.40102349383577574</v>
      </c>
      <c r="Q14" s="366">
        <f t="shared" si="4"/>
        <v>63.49425754060325</v>
      </c>
    </row>
    <row r="15" spans="1:21">
      <c r="A15" s="1" t="s">
        <v>725</v>
      </c>
      <c r="B15" s="1" t="s">
        <v>726</v>
      </c>
      <c r="C15" s="1"/>
      <c r="D15" s="1" t="s">
        <v>727</v>
      </c>
      <c r="E15" s="368">
        <f>SUM('Performances by Week'!Z92:Z94)</f>
        <v>40000</v>
      </c>
      <c r="F15" s="369">
        <f>SUM('Performances by Week'!Y92:Y94)</f>
        <v>4229</v>
      </c>
      <c r="G15" s="374">
        <f t="shared" si="0"/>
        <v>-35771</v>
      </c>
      <c r="H15" s="76">
        <f>SUM('Performances by Week'!S92:S94)</f>
        <v>103</v>
      </c>
      <c r="I15" s="369">
        <f>SUM('Performances by Week'!AE92:AE94)</f>
        <v>100000</v>
      </c>
      <c r="J15" s="369">
        <f>SUM('Performances by Week'!AD92:AD94)</f>
        <v>119099.09999999999</v>
      </c>
      <c r="K15" s="76">
        <f>SUM('Performances by Week'!AC92:AC94)</f>
        <v>1789</v>
      </c>
      <c r="L15" s="368">
        <f t="shared" si="1"/>
        <v>140000</v>
      </c>
      <c r="M15" s="368">
        <f t="shared" si="1"/>
        <v>123328.09999999999</v>
      </c>
      <c r="N15" s="362">
        <f t="shared" si="2"/>
        <v>1892</v>
      </c>
      <c r="O15" s="76">
        <f>SUM('Performances by Week'!AG92:AG94)</f>
        <v>4770</v>
      </c>
      <c r="P15" s="364">
        <f t="shared" si="3"/>
        <v>0.39664570230607965</v>
      </c>
      <c r="Q15" s="366">
        <f t="shared" si="4"/>
        <v>65.183985200845655</v>
      </c>
    </row>
    <row r="16" spans="1:21">
      <c r="A16" s="1" t="s">
        <v>728</v>
      </c>
      <c r="B16" s="1" t="s">
        <v>729</v>
      </c>
      <c r="C16" s="1"/>
      <c r="D16" s="1" t="s">
        <v>730</v>
      </c>
      <c r="E16" s="368">
        <f>SUM('Performances by Week'!Z97:Z99)</f>
        <v>55000</v>
      </c>
      <c r="F16" s="369">
        <f>SUM('Performances by Week'!Y97:Y99)</f>
        <v>11439</v>
      </c>
      <c r="G16" s="374">
        <f t="shared" si="0"/>
        <v>-43561</v>
      </c>
      <c r="H16" s="76">
        <f>SUM('Performances by Week'!S97:S99)</f>
        <v>208</v>
      </c>
      <c r="I16" s="369">
        <f>SUM('Performances by Week'!AE97:AE99)</f>
        <v>120000</v>
      </c>
      <c r="J16" s="369">
        <f>SUM('Performances by Week'!AD97:AD99)</f>
        <v>105674.09999999999</v>
      </c>
      <c r="K16" s="76">
        <f>SUM('Performances by Week'!AC97:AC99)</f>
        <v>1585</v>
      </c>
      <c r="L16" s="368">
        <f t="shared" si="1"/>
        <v>175000</v>
      </c>
      <c r="M16" s="368">
        <f t="shared" si="1"/>
        <v>117113.09999999999</v>
      </c>
      <c r="N16" s="362">
        <f t="shared" si="2"/>
        <v>1793</v>
      </c>
      <c r="O16" s="76">
        <f>SUM('Performances by Week'!AG97:AG99)</f>
        <v>4770</v>
      </c>
      <c r="P16" s="364">
        <f t="shared" si="3"/>
        <v>0.37589098532494758</v>
      </c>
      <c r="Q16" s="366">
        <f t="shared" si="4"/>
        <v>65.316843279419956</v>
      </c>
    </row>
    <row r="17" spans="1:17">
      <c r="A17" s="1" t="s">
        <v>731</v>
      </c>
      <c r="B17" s="1" t="s">
        <v>732</v>
      </c>
      <c r="C17" s="1"/>
      <c r="D17" s="1" t="s">
        <v>733</v>
      </c>
      <c r="E17" s="368">
        <f>SUM('Performances by Week'!Z107:Z109)</f>
        <v>60000</v>
      </c>
      <c r="F17" s="369">
        <f>SUM('Performances by Week'!Y107:Y109)</f>
        <v>6544</v>
      </c>
      <c r="G17" s="374">
        <f t="shared" si="0"/>
        <v>-53456</v>
      </c>
      <c r="H17" s="76">
        <f>SUM('Performances by Week'!S107:S109)</f>
        <v>162</v>
      </c>
      <c r="I17" s="369">
        <f>SUM('Performances by Week'!AE107:AE109)</f>
        <v>95000</v>
      </c>
      <c r="J17" s="369">
        <f>SUM('Performances by Week'!AD107:AD109)</f>
        <v>112084.5</v>
      </c>
      <c r="K17" s="76">
        <f>SUM('Performances by Week'!AC107:AC109)</f>
        <v>1713</v>
      </c>
      <c r="L17" s="368">
        <f t="shared" si="1"/>
        <v>155000</v>
      </c>
      <c r="M17" s="368">
        <f t="shared" si="1"/>
        <v>118628.5</v>
      </c>
      <c r="N17" s="362">
        <f t="shared" si="2"/>
        <v>1875</v>
      </c>
      <c r="O17" s="76">
        <f>SUM('Performances by Week'!AG107:AG109)</f>
        <v>4770</v>
      </c>
      <c r="P17" s="364">
        <f t="shared" si="3"/>
        <v>0.39308176100628933</v>
      </c>
      <c r="Q17" s="366">
        <f t="shared" si="4"/>
        <v>63.26853333333333</v>
      </c>
    </row>
    <row r="18" spans="1:17">
      <c r="A18" s="1" t="s">
        <v>734</v>
      </c>
      <c r="B18" s="1" t="s">
        <v>735</v>
      </c>
      <c r="C18" s="1"/>
      <c r="D18" s="1" t="s">
        <v>736</v>
      </c>
      <c r="E18" s="368">
        <f>SUM('Performances by Week'!Z111:Z113)</f>
        <v>90000</v>
      </c>
      <c r="F18" s="369">
        <f>SUM('Performances by Week'!Y111:Y113)</f>
        <v>13110</v>
      </c>
      <c r="G18" s="374">
        <f t="shared" si="0"/>
        <v>-76890</v>
      </c>
      <c r="H18" s="76">
        <f>SUM('Performances by Week'!S111:S113)</f>
        <v>225</v>
      </c>
      <c r="I18" s="369">
        <f>SUM('Performances by Week'!AE111:AE113)</f>
        <v>110000</v>
      </c>
      <c r="J18" s="369">
        <f>SUM('Performances by Week'!AD111:AD113)</f>
        <v>119909.5</v>
      </c>
      <c r="K18" s="76">
        <f>SUM('Performances by Week'!AC111:AC113)</f>
        <v>1809</v>
      </c>
      <c r="L18" s="368">
        <f t="shared" si="1"/>
        <v>200000</v>
      </c>
      <c r="M18" s="368">
        <f t="shared" si="1"/>
        <v>133019.5</v>
      </c>
      <c r="N18" s="362">
        <f t="shared" si="2"/>
        <v>2034</v>
      </c>
      <c r="O18" s="76">
        <f>SUM('Performances by Week'!AG111:AG113)</f>
        <v>4770</v>
      </c>
      <c r="P18" s="364">
        <f t="shared" si="3"/>
        <v>0.42641509433962266</v>
      </c>
      <c r="Q18" s="366">
        <f t="shared" si="4"/>
        <v>65.397984267453296</v>
      </c>
    </row>
    <row r="19" spans="1:17">
      <c r="A19" s="375" t="s">
        <v>737</v>
      </c>
      <c r="B19" s="375" t="s">
        <v>738</v>
      </c>
      <c r="C19" s="375"/>
      <c r="D19" s="375" t="s">
        <v>739</v>
      </c>
      <c r="E19" s="376">
        <f>SUM('Performances by Week'!Z115:Z117)</f>
        <v>85000</v>
      </c>
      <c r="F19" s="377">
        <f>SUM('Performances by Week'!Y115:Y117)</f>
        <v>30540</v>
      </c>
      <c r="G19" s="378">
        <f t="shared" si="0"/>
        <v>-54460</v>
      </c>
      <c r="H19" s="379">
        <f>SUM('Performances by Week'!S115:S117)</f>
        <v>518</v>
      </c>
      <c r="I19" s="377">
        <f>SUM('Performances by Week'!AE115:AE117)</f>
        <v>115000</v>
      </c>
      <c r="J19" s="377">
        <f>SUM('Performances by Week'!AD115:AD117)</f>
        <v>101226</v>
      </c>
      <c r="K19" s="379">
        <f>SUM('Performances by Week'!AC115:AC117)</f>
        <v>1538</v>
      </c>
      <c r="L19" s="376">
        <f t="shared" si="1"/>
        <v>200000</v>
      </c>
      <c r="M19" s="376">
        <f t="shared" si="1"/>
        <v>131766</v>
      </c>
      <c r="N19" s="380">
        <f t="shared" si="2"/>
        <v>2056</v>
      </c>
      <c r="O19" s="379">
        <f>SUM('Performances by Week'!AG115:AG117)</f>
        <v>4770</v>
      </c>
      <c r="P19" s="381">
        <f t="shared" si="3"/>
        <v>0.4310272536687631</v>
      </c>
      <c r="Q19" s="382">
        <f t="shared" si="4"/>
        <v>64.088521400778205</v>
      </c>
    </row>
    <row r="20" spans="1:17">
      <c r="A20" s="383" t="s">
        <v>267</v>
      </c>
      <c r="B20" s="384"/>
      <c r="C20" s="384"/>
      <c r="D20" s="385" t="s">
        <v>285</v>
      </c>
      <c r="E20" s="386">
        <f>SUM(E6:E19)</f>
        <v>867000</v>
      </c>
      <c r="F20" s="386">
        <f>SUM(F6:F19)</f>
        <v>369419</v>
      </c>
      <c r="G20" s="387">
        <f>F20-E20</f>
        <v>-497581</v>
      </c>
      <c r="H20" s="388">
        <f>SUM(H6:H19)</f>
        <v>6889</v>
      </c>
      <c r="I20" s="386">
        <f>SUM(I6:I19)</f>
        <v>1635000</v>
      </c>
      <c r="J20" s="386">
        <f>SUM(J6:J19)</f>
        <v>1487685</v>
      </c>
      <c r="K20" s="388">
        <f>SUM(K6:K19)</f>
        <v>22458</v>
      </c>
      <c r="L20" s="389">
        <f>SUM(L6:L19)</f>
        <v>2502000</v>
      </c>
      <c r="M20" s="389">
        <f t="shared" si="1"/>
        <v>1857104</v>
      </c>
      <c r="N20" s="390">
        <f>SUM(N6:N19)</f>
        <v>29347</v>
      </c>
      <c r="O20" s="388">
        <f>SUM(O6:O19)</f>
        <v>65469</v>
      </c>
      <c r="P20" s="391">
        <f t="shared" si="3"/>
        <v>0.44825795414623715</v>
      </c>
      <c r="Q20" s="392">
        <f t="shared" si="4"/>
        <v>63.280880498858487</v>
      </c>
    </row>
    <row r="21" spans="1:17">
      <c r="A21" s="1"/>
      <c r="B21" s="1"/>
      <c r="C21" s="1"/>
      <c r="D21" s="1"/>
      <c r="E21" s="368" t="s">
        <v>285</v>
      </c>
      <c r="F21" s="369"/>
      <c r="G21" s="393"/>
      <c r="H21" s="1"/>
      <c r="I21" s="368" t="s">
        <v>285</v>
      </c>
      <c r="J21" s="369"/>
      <c r="K21" s="1"/>
      <c r="L21" s="368" t="s">
        <v>285</v>
      </c>
      <c r="M21" s="369"/>
      <c r="N21" s="1"/>
      <c r="O21" s="4" t="s">
        <v>285</v>
      </c>
      <c r="P21" s="1"/>
      <c r="Q21" s="365" t="s">
        <v>285</v>
      </c>
    </row>
    <row r="22" spans="1:17">
      <c r="A22" s="2" t="s">
        <v>740</v>
      </c>
      <c r="B22" s="2"/>
      <c r="C22" s="2"/>
      <c r="D22" s="1"/>
      <c r="E22" s="368" t="s">
        <v>285</v>
      </c>
      <c r="F22" s="369"/>
      <c r="G22" s="393"/>
      <c r="H22" s="1"/>
      <c r="I22" s="368" t="s">
        <v>285</v>
      </c>
      <c r="J22" s="369"/>
      <c r="K22" s="1"/>
      <c r="L22" s="368" t="s">
        <v>285</v>
      </c>
      <c r="M22" s="369"/>
      <c r="N22" s="1"/>
      <c r="O22" s="4" t="s">
        <v>285</v>
      </c>
      <c r="P22" s="1"/>
      <c r="Q22" s="365" t="s">
        <v>285</v>
      </c>
    </row>
    <row r="23" spans="1:17">
      <c r="A23" s="1" t="s">
        <v>741</v>
      </c>
      <c r="B23" s="1" t="str">
        <f>B7</f>
        <v>Rachmaninoff Cele Pt 1 (SP)</v>
      </c>
      <c r="C23" s="1"/>
      <c r="D23" s="394" t="s">
        <v>742</v>
      </c>
      <c r="E23" s="368">
        <f>'Performances by Week'!$Z$26</f>
        <v>22000</v>
      </c>
      <c r="F23" s="369">
        <f>'Performances by Week'!$Y$26</f>
        <v>15733</v>
      </c>
      <c r="G23" s="369">
        <f>F23-E23</f>
        <v>-6267</v>
      </c>
      <c r="H23" s="1">
        <f>'Performances by Week'!$S$26</f>
        <v>330</v>
      </c>
      <c r="I23" s="368">
        <f>'Performances by Week'!$AE$26</f>
        <v>30000</v>
      </c>
      <c r="J23" s="369">
        <f>'Performances by Week'!$AD$26</f>
        <v>21329</v>
      </c>
      <c r="K23" s="1">
        <f>'Performances by Week'!$AC$26</f>
        <v>308</v>
      </c>
      <c r="L23" s="368">
        <f t="shared" ref="L23:M29" si="5">SUM(E23,I23)</f>
        <v>52000</v>
      </c>
      <c r="M23" s="369">
        <f t="shared" si="5"/>
        <v>37062</v>
      </c>
      <c r="N23" s="362">
        <f t="shared" ref="N23:N29" si="6">SUM(H23,K23)</f>
        <v>638</v>
      </c>
      <c r="O23" s="363">
        <f>'Performances by Week'!$AG$115</f>
        <v>1590</v>
      </c>
      <c r="P23" s="364">
        <f t="shared" ref="P23:P30" si="7">N23/O23</f>
        <v>0.40125786163522015</v>
      </c>
      <c r="Q23" s="366">
        <f t="shared" ref="Q23:Q30" si="8">M23/N23</f>
        <v>58.090909090909093</v>
      </c>
    </row>
    <row r="24" spans="1:17">
      <c r="A24" s="1" t="s">
        <v>743</v>
      </c>
      <c r="B24" s="1" t="str">
        <f>B8</f>
        <v>Matthias and Mahler (SP)</v>
      </c>
      <c r="C24" s="1"/>
      <c r="D24" s="395" t="s">
        <v>744</v>
      </c>
      <c r="E24" s="368">
        <f>'Performances by Week'!$Z$31</f>
        <v>15000</v>
      </c>
      <c r="F24" s="369">
        <f>'Performances by Week'!$Y$31</f>
        <v>9356</v>
      </c>
      <c r="G24" s="369">
        <f>F24-E24</f>
        <v>-5644</v>
      </c>
      <c r="H24" s="1">
        <f>'Performances by Week'!$S$31</f>
        <v>180</v>
      </c>
      <c r="I24" s="368">
        <f>'Performances by Week'!$AE$31</f>
        <v>25000</v>
      </c>
      <c r="J24" s="369">
        <f>'Performances by Week'!$AD$31</f>
        <v>24786</v>
      </c>
      <c r="K24" s="1">
        <f>'Performances by Week'!$AC$31</f>
        <v>357</v>
      </c>
      <c r="L24" s="368">
        <f t="shared" si="5"/>
        <v>40000</v>
      </c>
      <c r="M24" s="369">
        <f t="shared" si="5"/>
        <v>34142</v>
      </c>
      <c r="N24" s="362">
        <f t="shared" si="6"/>
        <v>537</v>
      </c>
      <c r="O24" s="363">
        <f>'Performances by Week'!$AG$31</f>
        <v>1607</v>
      </c>
      <c r="P24" s="364">
        <f t="shared" si="7"/>
        <v>0.33416303671437458</v>
      </c>
      <c r="Q24" s="366">
        <f t="shared" si="8"/>
        <v>63.579143389199253</v>
      </c>
    </row>
    <row r="25" spans="1:17">
      <c r="A25" s="1" t="s">
        <v>745</v>
      </c>
      <c r="B25" s="1" t="str">
        <f>B10</f>
        <v>Pines of Rome &amp; Bruch (SP)</v>
      </c>
      <c r="C25" s="1"/>
      <c r="D25" s="395" t="s">
        <v>746</v>
      </c>
      <c r="E25" s="368">
        <f>'Performances by Week'!$Z$55</f>
        <v>30000</v>
      </c>
      <c r="F25" s="369">
        <f>'Performances by Week'!$Y$55</f>
        <v>2960</v>
      </c>
      <c r="G25" s="369">
        <f t="shared" ref="G25:G29" si="9">F25-E25</f>
        <v>-27040</v>
      </c>
      <c r="H25" s="1">
        <f>'Performances by Week'!$S$55</f>
        <v>51</v>
      </c>
      <c r="I25" s="368">
        <f>'Performances by Week'!$AE$55</f>
        <v>30000</v>
      </c>
      <c r="J25" s="369">
        <f>'Performances by Week'!$AD$55</f>
        <v>25342</v>
      </c>
      <c r="K25" s="1">
        <f>'Performances by Week'!$AC$55</f>
        <v>368</v>
      </c>
      <c r="L25" s="368">
        <f t="shared" si="5"/>
        <v>60000</v>
      </c>
      <c r="M25" s="369">
        <f t="shared" si="5"/>
        <v>28302</v>
      </c>
      <c r="N25" s="362">
        <f t="shared" si="6"/>
        <v>419</v>
      </c>
      <c r="O25" s="363">
        <f>'Performances by Week'!$AG$55</f>
        <v>1590</v>
      </c>
      <c r="P25" s="364">
        <f t="shared" si="7"/>
        <v>0.26352201257861635</v>
      </c>
      <c r="Q25" s="366">
        <f t="shared" si="8"/>
        <v>67.546539379474936</v>
      </c>
    </row>
    <row r="26" spans="1:17">
      <c r="A26" s="1" t="s">
        <v>747</v>
      </c>
      <c r="B26" s="1" t="str">
        <f>B11</f>
        <v>Beethoven+ (SP)</v>
      </c>
      <c r="C26" s="1"/>
      <c r="D26" s="395" t="s">
        <v>748</v>
      </c>
      <c r="E26" s="368">
        <f>'Performances by Week'!$Z$62</f>
        <v>24000</v>
      </c>
      <c r="F26" s="369">
        <f>'Performances by Week'!$Y$62</f>
        <v>3847</v>
      </c>
      <c r="G26" s="369">
        <f t="shared" si="9"/>
        <v>-20153</v>
      </c>
      <c r="H26" s="1">
        <f>'Performances by Week'!$S$62</f>
        <v>71</v>
      </c>
      <c r="I26" s="368">
        <f>'Performances by Week'!$AE$62</f>
        <v>30000</v>
      </c>
      <c r="J26" s="369">
        <f>'Performances by Week'!$AD$62</f>
        <v>24869</v>
      </c>
      <c r="K26" s="1">
        <f>'Performances by Week'!$AC$62</f>
        <v>364</v>
      </c>
      <c r="L26" s="368">
        <f t="shared" si="5"/>
        <v>54000</v>
      </c>
      <c r="M26" s="369">
        <f t="shared" si="5"/>
        <v>28716</v>
      </c>
      <c r="N26" s="362">
        <f t="shared" si="6"/>
        <v>435</v>
      </c>
      <c r="O26" s="363">
        <f>'Performances by Week'!$AG$62</f>
        <v>1590</v>
      </c>
      <c r="P26" s="364">
        <f t="shared" si="7"/>
        <v>0.27358490566037735</v>
      </c>
      <c r="Q26" s="366">
        <f t="shared" si="8"/>
        <v>66.013793103448279</v>
      </c>
    </row>
    <row r="27" spans="1:17">
      <c r="A27" s="1" t="s">
        <v>749</v>
      </c>
      <c r="B27" s="1" t="str">
        <f>B14</f>
        <v>Midsummer Night's Dream (SP)</v>
      </c>
      <c r="C27" s="1"/>
      <c r="D27" s="395" t="s">
        <v>750</v>
      </c>
      <c r="E27" s="368">
        <f>'Performances by Week'!$Z$89</f>
        <v>22000</v>
      </c>
      <c r="F27" s="369">
        <f>'Performances by Week'!$Y$89</f>
        <v>2411</v>
      </c>
      <c r="G27" s="369">
        <f t="shared" si="9"/>
        <v>-19589</v>
      </c>
      <c r="H27" s="1">
        <f>'Performances by Week'!$S$89</f>
        <v>52</v>
      </c>
      <c r="I27" s="368">
        <f>'Performances by Week'!$AE$89</f>
        <v>30000</v>
      </c>
      <c r="J27" s="369">
        <f>'Performances by Week'!$AD$89</f>
        <v>25714</v>
      </c>
      <c r="K27" s="1">
        <f>'Performances by Week'!$AC$89</f>
        <v>368</v>
      </c>
      <c r="L27" s="368">
        <f t="shared" si="5"/>
        <v>52000</v>
      </c>
      <c r="M27" s="369">
        <f t="shared" si="5"/>
        <v>28125</v>
      </c>
      <c r="N27" s="362">
        <f t="shared" si="6"/>
        <v>420</v>
      </c>
      <c r="O27" s="363">
        <f>'Performances by Week'!$AG$89</f>
        <v>1433</v>
      </c>
      <c r="P27" s="364">
        <f t="shared" si="7"/>
        <v>0.29309141660851362</v>
      </c>
      <c r="Q27" s="366">
        <f t="shared" si="8"/>
        <v>66.964285714285708</v>
      </c>
    </row>
    <row r="28" spans="1:17">
      <c r="A28" s="1" t="s">
        <v>751</v>
      </c>
      <c r="B28" s="1" t="str">
        <f>B16</f>
        <v>Grieg's Piano Concerto (SP)</v>
      </c>
      <c r="C28" s="1"/>
      <c r="D28" s="395" t="s">
        <v>752</v>
      </c>
      <c r="E28" s="368">
        <f>'Performances by Week'!$Z$97</f>
        <v>20000</v>
      </c>
      <c r="F28" s="369">
        <f>'Performances by Week'!$Y$97</f>
        <v>2349</v>
      </c>
      <c r="G28" s="369">
        <f t="shared" si="9"/>
        <v>-17651</v>
      </c>
      <c r="H28" s="1">
        <f>'Performances by Week'!$S$97</f>
        <v>50</v>
      </c>
      <c r="I28" s="368">
        <f>'Performances by Week'!$AE$97</f>
        <v>25000</v>
      </c>
      <c r="J28" s="369">
        <f>'Performances by Week'!$AD$97</f>
        <v>25763</v>
      </c>
      <c r="K28" s="1">
        <f>'Performances by Week'!$AC$97</f>
        <v>374</v>
      </c>
      <c r="L28" s="368">
        <f t="shared" si="5"/>
        <v>45000</v>
      </c>
      <c r="M28" s="369">
        <f t="shared" si="5"/>
        <v>28112</v>
      </c>
      <c r="N28" s="362">
        <f t="shared" si="6"/>
        <v>424</v>
      </c>
      <c r="O28" s="363">
        <f>'Performances by Week'!$AG$97</f>
        <v>1590</v>
      </c>
      <c r="P28" s="364">
        <f t="shared" si="7"/>
        <v>0.26666666666666666</v>
      </c>
      <c r="Q28" s="366">
        <f t="shared" si="8"/>
        <v>66.301886792452834</v>
      </c>
    </row>
    <row r="29" spans="1:17">
      <c r="A29" s="375" t="s">
        <v>753</v>
      </c>
      <c r="B29" s="375" t="str">
        <f>B19</f>
        <v>Rhapsody in Blue (SP)</v>
      </c>
      <c r="C29" s="375"/>
      <c r="D29" s="396" t="s">
        <v>754</v>
      </c>
      <c r="E29" s="376">
        <f>'Performances by Week'!$Z$115</f>
        <v>30000</v>
      </c>
      <c r="F29" s="377">
        <f>'Performances by Week'!$Y$115</f>
        <v>6390</v>
      </c>
      <c r="G29" s="377">
        <f t="shared" si="9"/>
        <v>-23610</v>
      </c>
      <c r="H29" s="375">
        <f>'Performances by Week'!$S$115</f>
        <v>111</v>
      </c>
      <c r="I29" s="376">
        <f>'Performances by Week'!$AE$115</f>
        <v>30000</v>
      </c>
      <c r="J29" s="377">
        <f>'Performances by Week'!$AD$115</f>
        <v>26279</v>
      </c>
      <c r="K29" s="375">
        <f>'Performances by Week'!$AC$115</f>
        <v>380</v>
      </c>
      <c r="L29" s="376">
        <f t="shared" si="5"/>
        <v>60000</v>
      </c>
      <c r="M29" s="377">
        <f t="shared" si="5"/>
        <v>32669</v>
      </c>
      <c r="N29" s="380">
        <f t="shared" si="6"/>
        <v>491</v>
      </c>
      <c r="O29" s="397">
        <f>'Performances by Week'!$AG$115</f>
        <v>1590</v>
      </c>
      <c r="P29" s="381">
        <f t="shared" si="7"/>
        <v>0.30880503144654087</v>
      </c>
      <c r="Q29" s="382">
        <f t="shared" si="8"/>
        <v>66.535641547861502</v>
      </c>
    </row>
    <row r="30" spans="1:17">
      <c r="A30" s="383" t="s">
        <v>268</v>
      </c>
      <c r="B30" s="384"/>
      <c r="C30" s="384"/>
      <c r="D30" s="385" t="s">
        <v>285</v>
      </c>
      <c r="E30" s="386">
        <f t="shared" ref="E30:O30" si="10">SUM(E23:E29)</f>
        <v>163000</v>
      </c>
      <c r="F30" s="386">
        <f t="shared" si="10"/>
        <v>43046</v>
      </c>
      <c r="G30" s="386">
        <f t="shared" si="10"/>
        <v>-119954</v>
      </c>
      <c r="H30" s="388">
        <f t="shared" si="10"/>
        <v>845</v>
      </c>
      <c r="I30" s="386">
        <f t="shared" si="10"/>
        <v>200000</v>
      </c>
      <c r="J30" s="386">
        <f t="shared" si="10"/>
        <v>174082</v>
      </c>
      <c r="K30" s="388">
        <f t="shared" si="10"/>
        <v>2519</v>
      </c>
      <c r="L30" s="386">
        <f t="shared" si="10"/>
        <v>363000</v>
      </c>
      <c r="M30" s="386">
        <f t="shared" si="10"/>
        <v>217128</v>
      </c>
      <c r="N30" s="388">
        <f t="shared" si="10"/>
        <v>3364</v>
      </c>
      <c r="O30" s="388">
        <f t="shared" si="10"/>
        <v>10990</v>
      </c>
      <c r="P30" s="391">
        <f t="shared" si="7"/>
        <v>0.30609645131938124</v>
      </c>
      <c r="Q30" s="392">
        <f t="shared" si="8"/>
        <v>64.544589774078474</v>
      </c>
    </row>
    <row r="31" spans="1:17">
      <c r="E31" s="398"/>
      <c r="F31" s="398"/>
      <c r="G31" s="398"/>
      <c r="I31" s="398"/>
      <c r="J31" s="398"/>
      <c r="L31" s="398"/>
      <c r="M31" s="398"/>
    </row>
    <row r="32" spans="1:17">
      <c r="A32" s="2" t="s">
        <v>113</v>
      </c>
      <c r="B32" s="1"/>
      <c r="C32" s="1"/>
      <c r="D32" s="1"/>
      <c r="E32" s="368" t="s">
        <v>285</v>
      </c>
      <c r="F32" s="369"/>
      <c r="G32" s="393"/>
      <c r="H32" s="1"/>
      <c r="I32" s="368" t="s">
        <v>285</v>
      </c>
      <c r="J32" s="369"/>
      <c r="K32" s="1"/>
      <c r="L32" s="368" t="s">
        <v>285</v>
      </c>
      <c r="M32" s="369"/>
      <c r="N32" s="1"/>
      <c r="O32" s="4" t="s">
        <v>285</v>
      </c>
      <c r="P32" s="1"/>
      <c r="Q32" s="365" t="s">
        <v>285</v>
      </c>
    </row>
    <row r="33" spans="1:17">
      <c r="A33" s="1" t="s">
        <v>755</v>
      </c>
      <c r="B33" s="1" t="s">
        <v>638</v>
      </c>
      <c r="C33" s="1"/>
      <c r="D33" s="1" t="s">
        <v>756</v>
      </c>
      <c r="E33" s="368">
        <f>SUM('Performances by Week'!$Z$10:$Z$12)</f>
        <v>178000</v>
      </c>
      <c r="F33" s="369">
        <f>SUM('Performances by Week'!$Y$10:$Y$12)</f>
        <v>105385</v>
      </c>
      <c r="G33" s="369">
        <f>F33-E33</f>
        <v>-72615</v>
      </c>
      <c r="H33" s="76">
        <f>SUM('Performances by Week'!$S$10:$S$12)</f>
        <v>1724</v>
      </c>
      <c r="I33" s="368">
        <f>SUM('Performances by Week'!$AE$10:$AE$12)</f>
        <v>124000</v>
      </c>
      <c r="J33" s="368">
        <f>SUM('Performances by Week'!$AD$10:$AD$12)</f>
        <v>108064.7</v>
      </c>
      <c r="K33" s="370">
        <f>SUM('Performances by Week'!$AC$10:$AC$12)</f>
        <v>1473</v>
      </c>
      <c r="L33" s="368">
        <f t="shared" ref="L33:M37" si="11">SUM(E33,I33)</f>
        <v>302000</v>
      </c>
      <c r="M33" s="369">
        <f t="shared" si="11"/>
        <v>213449.7</v>
      </c>
      <c r="N33" s="362">
        <f t="shared" ref="N33:N37" si="12">SUM(H33,K33)</f>
        <v>3197</v>
      </c>
      <c r="O33" s="363">
        <f>SUM('Performances by Week'!$AG$10:$AG$12)</f>
        <v>4770</v>
      </c>
      <c r="P33" s="364">
        <f t="shared" ref="P33:P38" si="13">N33/O33</f>
        <v>0.67023060796645706</v>
      </c>
      <c r="Q33" s="366">
        <f t="shared" ref="Q33:Q38" si="14">M33/N33</f>
        <v>66.765624022521123</v>
      </c>
    </row>
    <row r="34" spans="1:17">
      <c r="A34" s="1" t="s">
        <v>757</v>
      </c>
      <c r="B34" s="1" t="s">
        <v>758</v>
      </c>
      <c r="C34" s="1"/>
      <c r="D34" s="1" t="s">
        <v>759</v>
      </c>
      <c r="E34" s="368">
        <f>SUM('Performances by Week'!$Z$22:$Z$24)</f>
        <v>160000</v>
      </c>
      <c r="F34" s="369">
        <f>SUM('Performances by Week'!$Y$22:$Y$24)</f>
        <v>62374</v>
      </c>
      <c r="G34" s="369">
        <f t="shared" ref="G34:G37" si="15">F34-E34</f>
        <v>-97626</v>
      </c>
      <c r="H34" s="76">
        <f>SUM('Performances by Week'!$S$22:$S$24)</f>
        <v>1287</v>
      </c>
      <c r="I34" s="368">
        <f>SUM('Performances by Week'!$AE$22:$AE$24)</f>
        <v>117000</v>
      </c>
      <c r="J34" s="368">
        <f>SUM('Performances by Week'!$AD$22:$AD$24)</f>
        <v>109033</v>
      </c>
      <c r="K34" s="370">
        <f>SUM('Performances by Week'!$AC$22:$AC$24)</f>
        <v>1503</v>
      </c>
      <c r="L34" s="368">
        <f t="shared" si="11"/>
        <v>277000</v>
      </c>
      <c r="M34" s="369">
        <f t="shared" si="11"/>
        <v>171407</v>
      </c>
      <c r="N34" s="362">
        <f t="shared" si="12"/>
        <v>2790</v>
      </c>
      <c r="O34" s="363">
        <f>SUM('Performances by Week'!$AG$22:$AG$24)</f>
        <v>4803</v>
      </c>
      <c r="P34" s="364">
        <f t="shared" si="13"/>
        <v>0.58088694565896315</v>
      </c>
      <c r="Q34" s="366">
        <f t="shared" si="14"/>
        <v>61.436200716845882</v>
      </c>
    </row>
    <row r="35" spans="1:17">
      <c r="A35" s="1" t="s">
        <v>760</v>
      </c>
      <c r="B35" s="1" t="s">
        <v>761</v>
      </c>
      <c r="C35" s="1"/>
      <c r="D35" s="1" t="s">
        <v>762</v>
      </c>
      <c r="E35" s="368">
        <f>SUM('Performances by Week'!$Z$70:$Z$72)</f>
        <v>160000</v>
      </c>
      <c r="F35" s="369">
        <f>SUM('Performances by Week'!$Y$70:$Y$72)</f>
        <v>10200</v>
      </c>
      <c r="G35" s="369">
        <f t="shared" si="15"/>
        <v>-149800</v>
      </c>
      <c r="H35" s="76">
        <f>SUM('Performances by Week'!$S$70:$S$72)</f>
        <v>175</v>
      </c>
      <c r="I35" s="368">
        <f>SUM('Performances by Week'!$AE$70:$AE$72)</f>
        <v>124000</v>
      </c>
      <c r="J35" s="368">
        <f>SUM('Performances by Week'!$AD$70:$AD$72)</f>
        <v>126157.2</v>
      </c>
      <c r="K35" s="370">
        <f>SUM('Performances by Week'!$AC$70:$AC$72)</f>
        <v>1771</v>
      </c>
      <c r="L35" s="368">
        <f t="shared" si="11"/>
        <v>284000</v>
      </c>
      <c r="M35" s="369">
        <f t="shared" si="11"/>
        <v>136357.20000000001</v>
      </c>
      <c r="N35" s="362">
        <f t="shared" si="12"/>
        <v>1946</v>
      </c>
      <c r="O35" s="363">
        <f>SUM('Performances by Week'!$AG$70:$AG$72)</f>
        <v>4770</v>
      </c>
      <c r="P35" s="364">
        <f t="shared" si="13"/>
        <v>0.40796645702306078</v>
      </c>
      <c r="Q35" s="366">
        <f t="shared" si="14"/>
        <v>70.070503597122311</v>
      </c>
    </row>
    <row r="36" spans="1:17">
      <c r="A36" s="1" t="s">
        <v>763</v>
      </c>
      <c r="B36" s="1" t="s">
        <v>764</v>
      </c>
      <c r="C36" s="1"/>
      <c r="D36" s="1" t="s">
        <v>765</v>
      </c>
      <c r="E36" s="368">
        <f>SUM('Performances by Week'!$Z$85:$Z$87)</f>
        <v>160000</v>
      </c>
      <c r="F36" s="369">
        <f>SUM('Performances by Week'!$Y$85:$Y$87)</f>
        <v>40766</v>
      </c>
      <c r="G36" s="369">
        <f t="shared" si="15"/>
        <v>-119234</v>
      </c>
      <c r="H36" s="76">
        <f>SUM('Performances by Week'!$S$85:$S$87)</f>
        <v>579</v>
      </c>
      <c r="I36" s="368">
        <f>SUM('Performances by Week'!$AE$85:$AE$87)</f>
        <v>124000</v>
      </c>
      <c r="J36" s="368">
        <f>SUM('Performances by Week'!$AD$85:$AD$87)</f>
        <v>128191.5</v>
      </c>
      <c r="K36" s="370">
        <f>SUM('Performances by Week'!$AC$85:$AC$87)</f>
        <v>1798</v>
      </c>
      <c r="L36" s="399">
        <f t="shared" si="11"/>
        <v>284000</v>
      </c>
      <c r="M36" s="369">
        <f t="shared" si="11"/>
        <v>168957.5</v>
      </c>
      <c r="N36" s="362">
        <f t="shared" si="12"/>
        <v>2377</v>
      </c>
      <c r="O36" s="363">
        <f>SUM('Performances by Week'!$AG$85:$AG$87)</f>
        <v>4770</v>
      </c>
      <c r="P36" s="364">
        <f t="shared" si="13"/>
        <v>0.49832285115303981</v>
      </c>
      <c r="Q36" s="366">
        <f t="shared" si="14"/>
        <v>71.080143037442156</v>
      </c>
    </row>
    <row r="37" spans="1:17">
      <c r="A37" s="375" t="s">
        <v>766</v>
      </c>
      <c r="B37" s="375" t="s">
        <v>767</v>
      </c>
      <c r="C37" s="375"/>
      <c r="D37" s="375" t="s">
        <v>768</v>
      </c>
      <c r="E37" s="376">
        <f>SUM('Performances by Week'!$Z$100:$Z$102)</f>
        <v>180000</v>
      </c>
      <c r="F37" s="377">
        <f>SUM('Performances by Week'!$Y$100:$Y$102)</f>
        <v>19555</v>
      </c>
      <c r="G37" s="377">
        <f t="shared" si="15"/>
        <v>-160445</v>
      </c>
      <c r="H37" s="379">
        <f>SUM('Performances by Week'!$S$100:$S$102)</f>
        <v>256</v>
      </c>
      <c r="I37" s="376">
        <f>SUM('Performances by Week'!$AE$100:$AE$102)</f>
        <v>130000</v>
      </c>
      <c r="J37" s="376">
        <f>SUM('Performances by Week'!$AD$100:$AD$102)</f>
        <v>150672</v>
      </c>
      <c r="K37" s="400">
        <f>SUM('Performances by Week'!$AC$100:$AC$102)</f>
        <v>1801</v>
      </c>
      <c r="L37" s="401">
        <f t="shared" si="11"/>
        <v>310000</v>
      </c>
      <c r="M37" s="377">
        <f t="shared" si="11"/>
        <v>170227</v>
      </c>
      <c r="N37" s="380">
        <f t="shared" si="12"/>
        <v>2057</v>
      </c>
      <c r="O37" s="397">
        <f>SUM('Performances by Week'!$AG$100:$AG$102)</f>
        <v>3906</v>
      </c>
      <c r="P37" s="381">
        <f t="shared" si="13"/>
        <v>0.52662570404505893</v>
      </c>
      <c r="Q37" s="382">
        <f t="shared" si="14"/>
        <v>82.754982984929512</v>
      </c>
    </row>
    <row r="38" spans="1:17">
      <c r="A38" s="383" t="s">
        <v>269</v>
      </c>
      <c r="B38" s="384"/>
      <c r="C38" s="385" t="s">
        <v>285</v>
      </c>
      <c r="D38" s="385" t="s">
        <v>285</v>
      </c>
      <c r="E38" s="386">
        <f t="shared" ref="E38:O38" si="16">SUM(E33:E37)</f>
        <v>838000</v>
      </c>
      <c r="F38" s="386">
        <f t="shared" si="16"/>
        <v>238280</v>
      </c>
      <c r="G38" s="386">
        <f t="shared" si="16"/>
        <v>-599720</v>
      </c>
      <c r="H38" s="388">
        <f t="shared" si="16"/>
        <v>4021</v>
      </c>
      <c r="I38" s="386">
        <f t="shared" si="16"/>
        <v>619000</v>
      </c>
      <c r="J38" s="386">
        <f t="shared" si="16"/>
        <v>622118.40000000002</v>
      </c>
      <c r="K38" s="388">
        <f t="shared" si="16"/>
        <v>8346</v>
      </c>
      <c r="L38" s="386">
        <f t="shared" si="16"/>
        <v>1457000</v>
      </c>
      <c r="M38" s="386">
        <f t="shared" si="16"/>
        <v>860398.4</v>
      </c>
      <c r="N38" s="388">
        <f t="shared" si="16"/>
        <v>12367</v>
      </c>
      <c r="O38" s="388">
        <f t="shared" si="16"/>
        <v>23019</v>
      </c>
      <c r="P38" s="391">
        <f t="shared" si="13"/>
        <v>0.53725183544028843</v>
      </c>
      <c r="Q38" s="392">
        <f t="shared" si="14"/>
        <v>69.572119349882755</v>
      </c>
    </row>
    <row r="39" spans="1:17">
      <c r="A39" s="1"/>
      <c r="B39" s="1"/>
      <c r="C39" s="1"/>
      <c r="D39" s="1"/>
      <c r="E39" s="368" t="s">
        <v>285</v>
      </c>
      <c r="F39" s="369"/>
      <c r="G39" s="393"/>
      <c r="H39" s="1"/>
      <c r="I39" s="368" t="s">
        <v>285</v>
      </c>
      <c r="J39" s="369"/>
      <c r="K39" s="1"/>
      <c r="L39" s="368" t="s">
        <v>285</v>
      </c>
      <c r="M39" s="369"/>
      <c r="N39" s="1"/>
      <c r="O39" s="4" t="s">
        <v>285</v>
      </c>
      <c r="P39" s="1"/>
      <c r="Q39" s="365" t="s">
        <v>285</v>
      </c>
    </row>
    <row r="40" spans="1:17">
      <c r="A40" s="2" t="s">
        <v>769</v>
      </c>
      <c r="B40" s="2"/>
      <c r="C40" s="1"/>
      <c r="D40" s="1"/>
      <c r="E40" s="368" t="s">
        <v>285</v>
      </c>
      <c r="F40" s="369"/>
      <c r="G40" s="393"/>
      <c r="H40" s="1"/>
      <c r="I40" s="368" t="s">
        <v>285</v>
      </c>
      <c r="J40" s="369"/>
      <c r="K40" s="1"/>
      <c r="L40" s="368" t="s">
        <v>285</v>
      </c>
      <c r="M40" s="369"/>
      <c r="N40" s="1"/>
      <c r="O40" s="4" t="s">
        <v>285</v>
      </c>
      <c r="P40" s="1"/>
      <c r="Q40" s="365" t="s">
        <v>285</v>
      </c>
    </row>
    <row r="41" spans="1:17">
      <c r="A41" s="1" t="s">
        <v>770</v>
      </c>
      <c r="B41" s="1" t="s">
        <v>771</v>
      </c>
      <c r="C41" s="1"/>
      <c r="D41" s="395" t="s">
        <v>772</v>
      </c>
      <c r="E41" s="368">
        <f>'Performances by Week'!$Z$13</f>
        <v>10000</v>
      </c>
      <c r="F41" s="369">
        <f>'Performances by Week'!$Y$13</f>
        <v>10721</v>
      </c>
      <c r="G41" s="374">
        <f>F41-E41</f>
        <v>721</v>
      </c>
      <c r="H41" s="1">
        <f>'Performances by Week'!$S$13</f>
        <v>503</v>
      </c>
      <c r="I41" s="368">
        <f>'Performances by Week'!$AE$13</f>
        <v>9500</v>
      </c>
      <c r="J41" s="369">
        <f>'Performances by Week'!$AD$13</f>
        <v>5975</v>
      </c>
      <c r="K41" s="1">
        <f>'Performances by Week'!$AC$13</f>
        <v>218</v>
      </c>
      <c r="L41" s="368">
        <f t="shared" ref="L41:M44" si="17">SUM(E41,I41)</f>
        <v>19500</v>
      </c>
      <c r="M41" s="369">
        <f t="shared" si="17"/>
        <v>16696</v>
      </c>
      <c r="N41" s="362">
        <f t="shared" ref="N41:N44" si="18">SUM(H41,K41)</f>
        <v>721</v>
      </c>
      <c r="O41" s="363">
        <f>'Performances by Week'!$AG$13</f>
        <v>1302</v>
      </c>
      <c r="P41" s="364">
        <f t="shared" ref="P41:P45" si="19">N41/O41</f>
        <v>0.55376344086021501</v>
      </c>
      <c r="Q41" s="366">
        <f t="shared" ref="Q41:Q45" si="20">M41/N41</f>
        <v>23.156726768377254</v>
      </c>
    </row>
    <row r="42" spans="1:17">
      <c r="A42" s="1" t="s">
        <v>773</v>
      </c>
      <c r="B42" s="1" t="s">
        <v>774</v>
      </c>
      <c r="C42" s="1"/>
      <c r="D42" s="395" t="s">
        <v>775</v>
      </c>
      <c r="E42" s="368">
        <f>'Performances by Week'!$Z$29</f>
        <v>10000</v>
      </c>
      <c r="F42" s="369">
        <f>'Performances by Week'!$Y$29</f>
        <v>8032</v>
      </c>
      <c r="G42" s="374">
        <f>F42-E42</f>
        <v>-1968</v>
      </c>
      <c r="H42" s="362">
        <f>'Performances by Week'!$S$29</f>
        <v>256</v>
      </c>
      <c r="I42" s="368">
        <f>'Performances by Week'!$AE$29</f>
        <v>9500</v>
      </c>
      <c r="J42" s="369">
        <f>'Performances by Week'!$AD$29</f>
        <v>7594</v>
      </c>
      <c r="K42" s="1">
        <f>'Performances by Week'!$AC$29</f>
        <v>329</v>
      </c>
      <c r="L42" s="368">
        <f t="shared" si="17"/>
        <v>19500</v>
      </c>
      <c r="M42" s="369">
        <f t="shared" si="17"/>
        <v>15626</v>
      </c>
      <c r="N42" s="362">
        <f t="shared" si="18"/>
        <v>585</v>
      </c>
      <c r="O42" s="363">
        <f>'Performances by Week'!$AG$29</f>
        <v>1380</v>
      </c>
      <c r="P42" s="364">
        <f t="shared" si="19"/>
        <v>0.42391304347826086</v>
      </c>
      <c r="Q42" s="366">
        <f t="shared" si="20"/>
        <v>26.711111111111112</v>
      </c>
    </row>
    <row r="43" spans="1:17">
      <c r="A43" s="1" t="s">
        <v>78</v>
      </c>
      <c r="B43" s="1" t="s">
        <v>194</v>
      </c>
      <c r="C43" s="1"/>
      <c r="D43" s="395" t="s">
        <v>776</v>
      </c>
      <c r="E43" s="368">
        <f>SUM('Performances by Week'!$Z$43:$Z$48)</f>
        <v>455000</v>
      </c>
      <c r="F43" s="369">
        <f>SUM('Performances by Week'!$Y$43:$Y$48)</f>
        <v>138499</v>
      </c>
      <c r="G43" s="374">
        <f>F43-E43</f>
        <v>-316501</v>
      </c>
      <c r="H43" s="362">
        <f>SUM('Performances by Week'!$S$43:$S$48)</f>
        <v>2316</v>
      </c>
      <c r="I43" s="368">
        <f>SUM('Performances by Week'!$AE$43:$AE$48)</f>
        <v>12450</v>
      </c>
      <c r="J43" s="368">
        <f>SUM('Performances by Week'!$AD$43:$AD$48)</f>
        <v>7226</v>
      </c>
      <c r="K43" s="362">
        <f>SUM('Performances by Week'!$AC$43:$AC$48)</f>
        <v>315</v>
      </c>
      <c r="L43" s="368">
        <f t="shared" si="17"/>
        <v>467450</v>
      </c>
      <c r="M43" s="369">
        <f t="shared" si="17"/>
        <v>145725</v>
      </c>
      <c r="N43" s="362">
        <f t="shared" si="18"/>
        <v>2631</v>
      </c>
      <c r="O43" s="363">
        <f>SUM('Performances by Week'!$AG$43:$AG$48)</f>
        <v>8598</v>
      </c>
      <c r="P43" s="364">
        <f t="shared" si="19"/>
        <v>0.30600139567341245</v>
      </c>
      <c r="Q43" s="366">
        <f t="shared" si="20"/>
        <v>55.387685290763969</v>
      </c>
    </row>
    <row r="44" spans="1:17">
      <c r="A44" s="375" t="s">
        <v>777</v>
      </c>
      <c r="B44" s="375" t="s">
        <v>778</v>
      </c>
      <c r="C44" s="375"/>
      <c r="D44" s="396" t="s">
        <v>779</v>
      </c>
      <c r="E44" s="376">
        <f>'Performances by Week'!$Z$77</f>
        <v>10000</v>
      </c>
      <c r="F44" s="377">
        <f>'Performances by Week'!$Y$77</f>
        <v>1461</v>
      </c>
      <c r="G44" s="378">
        <f>F44-E44</f>
        <v>-8539</v>
      </c>
      <c r="H44" s="375">
        <f>'Performances by Week'!$S$77</f>
        <v>50</v>
      </c>
      <c r="I44" s="376">
        <f>'Performances by Week'!$AE$77</f>
        <v>9500</v>
      </c>
      <c r="J44" s="377">
        <f>'Performances by Week'!$AD$77</f>
        <v>6836</v>
      </c>
      <c r="K44" s="375">
        <f>'Performances by Week'!$AC$77</f>
        <v>307</v>
      </c>
      <c r="L44" s="376">
        <f t="shared" si="17"/>
        <v>19500</v>
      </c>
      <c r="M44" s="377">
        <f t="shared" si="17"/>
        <v>8297</v>
      </c>
      <c r="N44" s="380">
        <f t="shared" si="18"/>
        <v>357</v>
      </c>
      <c r="O44" s="397">
        <f>'Performances by Week'!$AG$77</f>
        <v>1302</v>
      </c>
      <c r="P44" s="381">
        <f t="shared" si="19"/>
        <v>0.27419354838709675</v>
      </c>
      <c r="Q44" s="382">
        <f t="shared" si="20"/>
        <v>23.240896358543417</v>
      </c>
    </row>
    <row r="45" spans="1:17">
      <c r="A45" s="383" t="s">
        <v>270</v>
      </c>
      <c r="B45" s="384"/>
      <c r="C45" s="384"/>
      <c r="D45" s="385" t="s">
        <v>285</v>
      </c>
      <c r="E45" s="386">
        <f>SUM(E41:E44)</f>
        <v>485000</v>
      </c>
      <c r="F45" s="386">
        <f>SUM(F41:F44)</f>
        <v>158713</v>
      </c>
      <c r="G45" s="387">
        <f>F45-E45</f>
        <v>-326287</v>
      </c>
      <c r="H45" s="390">
        <f t="shared" ref="H45:O45" si="21">SUM(H41:H44)</f>
        <v>3125</v>
      </c>
      <c r="I45" s="386">
        <f t="shared" si="21"/>
        <v>40950</v>
      </c>
      <c r="J45" s="386">
        <f t="shared" si="21"/>
        <v>27631</v>
      </c>
      <c r="K45" s="390">
        <f t="shared" si="21"/>
        <v>1169</v>
      </c>
      <c r="L45" s="386">
        <f t="shared" si="21"/>
        <v>525950</v>
      </c>
      <c r="M45" s="386">
        <f t="shared" si="21"/>
        <v>186344</v>
      </c>
      <c r="N45" s="390">
        <f t="shared" si="21"/>
        <v>4294</v>
      </c>
      <c r="O45" s="388">
        <f t="shared" si="21"/>
        <v>12582</v>
      </c>
      <c r="P45" s="391">
        <f t="shared" si="19"/>
        <v>0.34128119535844859</v>
      </c>
      <c r="Q45" s="392">
        <f t="shared" si="20"/>
        <v>43.396367023754074</v>
      </c>
    </row>
    <row r="46" spans="1:17">
      <c r="A46" s="2"/>
      <c r="B46" s="1"/>
      <c r="C46" s="1"/>
      <c r="D46" s="1"/>
      <c r="E46" s="402" t="s">
        <v>285</v>
      </c>
      <c r="F46" s="393"/>
      <c r="G46" s="403"/>
      <c r="H46" s="2"/>
      <c r="I46" s="402" t="s">
        <v>285</v>
      </c>
      <c r="J46" s="393"/>
      <c r="K46" s="2"/>
      <c r="L46" s="402" t="s">
        <v>285</v>
      </c>
      <c r="M46" s="393"/>
      <c r="N46" s="2"/>
      <c r="O46" s="404" t="s">
        <v>285</v>
      </c>
      <c r="P46" s="2"/>
      <c r="Q46" s="405" t="s">
        <v>285</v>
      </c>
    </row>
    <row r="47" spans="1:17">
      <c r="A47" s="2" t="s">
        <v>115</v>
      </c>
      <c r="B47" s="406"/>
      <c r="C47" s="406"/>
      <c r="D47" s="1"/>
      <c r="E47" s="402" t="s">
        <v>285</v>
      </c>
      <c r="F47" s="393"/>
      <c r="G47" s="403"/>
      <c r="H47" s="2"/>
      <c r="I47" s="402" t="s">
        <v>285</v>
      </c>
      <c r="J47" s="393"/>
      <c r="K47" s="2"/>
      <c r="L47" s="402" t="s">
        <v>285</v>
      </c>
      <c r="M47" s="393"/>
      <c r="N47" s="2"/>
      <c r="O47" s="404" t="s">
        <v>285</v>
      </c>
      <c r="P47" s="2"/>
      <c r="Q47" s="405" t="s">
        <v>285</v>
      </c>
    </row>
    <row r="48" spans="1:17">
      <c r="A48" s="1" t="s">
        <v>780</v>
      </c>
      <c r="B48" s="1"/>
      <c r="C48" s="1"/>
      <c r="D48" s="1" t="s">
        <v>781</v>
      </c>
      <c r="E48" s="368">
        <f>SUM('Performances by Week'!$Z$18:$Z$20)</f>
        <v>310490</v>
      </c>
      <c r="F48" s="368">
        <f>SUM('Performances by Week'!$Y$18:$Y$20)</f>
        <v>263278</v>
      </c>
      <c r="G48" s="374">
        <f>F48-E48</f>
        <v>-47212</v>
      </c>
      <c r="H48" s="370">
        <f>SUM('Performances by Week'!$S$18:$S$20)</f>
        <v>3444</v>
      </c>
      <c r="I48" s="368" t="s">
        <v>782</v>
      </c>
      <c r="J48" s="369" t="s">
        <v>782</v>
      </c>
      <c r="K48" s="1" t="s">
        <v>783</v>
      </c>
      <c r="L48" s="368">
        <f t="shared" ref="L48:M53" si="22">SUM(E48,I48)</f>
        <v>310490</v>
      </c>
      <c r="M48" s="369">
        <f t="shared" si="22"/>
        <v>263278</v>
      </c>
      <c r="N48" s="362">
        <f t="shared" ref="N48:N53" si="23">SUM(H48,K48)</f>
        <v>3444</v>
      </c>
      <c r="O48" s="370">
        <f>SUM('Performances by Week'!$AG$18:$AG$20)</f>
        <v>4026</v>
      </c>
      <c r="P48" s="364">
        <f t="shared" ref="P48:P54" si="24">N48/O48</f>
        <v>0.85543964232488823</v>
      </c>
      <c r="Q48" s="366">
        <f t="shared" ref="Q48:Q54" si="25">M48/N48</f>
        <v>76.445412311265969</v>
      </c>
    </row>
    <row r="49" spans="1:17">
      <c r="A49" s="1" t="s">
        <v>784</v>
      </c>
      <c r="B49" s="1"/>
      <c r="C49" s="1"/>
      <c r="D49" s="394" t="s">
        <v>785</v>
      </c>
      <c r="E49" s="368">
        <f>'Performances by Week'!$Z$21</f>
        <v>50000</v>
      </c>
      <c r="F49" s="368">
        <f>'Performances by Week'!$Y$21</f>
        <v>19285</v>
      </c>
      <c r="G49" s="374">
        <f t="shared" ref="G49:G53" si="26">F49-E49</f>
        <v>-30715</v>
      </c>
      <c r="H49" s="370">
        <f>'Performances by Week'!$S$21</f>
        <v>377</v>
      </c>
      <c r="I49" s="368" t="s">
        <v>782</v>
      </c>
      <c r="J49" s="369" t="s">
        <v>782</v>
      </c>
      <c r="K49" s="1" t="s">
        <v>783</v>
      </c>
      <c r="L49" s="368">
        <f t="shared" si="22"/>
        <v>50000</v>
      </c>
      <c r="M49" s="369">
        <f t="shared" si="22"/>
        <v>19285</v>
      </c>
      <c r="N49" s="362">
        <f t="shared" si="23"/>
        <v>377</v>
      </c>
      <c r="O49" s="370">
        <f>'Performances by Week'!$AG$21</f>
        <v>1342</v>
      </c>
      <c r="P49" s="364">
        <f t="shared" si="24"/>
        <v>0.28092399403874813</v>
      </c>
      <c r="Q49" s="366">
        <f t="shared" si="25"/>
        <v>51.153846153846153</v>
      </c>
    </row>
    <row r="50" spans="1:17">
      <c r="A50" s="1" t="s">
        <v>786</v>
      </c>
      <c r="B50" s="1"/>
      <c r="C50" s="1"/>
      <c r="D50" s="1" t="s">
        <v>787</v>
      </c>
      <c r="E50" s="368">
        <f>SUM('Performances by Week'!$Z$34:$Z$37)</f>
        <v>430000</v>
      </c>
      <c r="F50" s="368">
        <f>SUM('Performances by Week'!$Y$34:$Y$37)</f>
        <v>208664</v>
      </c>
      <c r="G50" s="374">
        <f t="shared" si="26"/>
        <v>-221336</v>
      </c>
      <c r="H50" s="370">
        <f>SUM('Performances by Week'!$S$34:$S$37)</f>
        <v>3005</v>
      </c>
      <c r="I50" s="368" t="s">
        <v>782</v>
      </c>
      <c r="J50" s="369" t="s">
        <v>782</v>
      </c>
      <c r="K50" s="1" t="s">
        <v>783</v>
      </c>
      <c r="L50" s="368">
        <f t="shared" si="22"/>
        <v>430000</v>
      </c>
      <c r="M50" s="369">
        <f t="shared" si="22"/>
        <v>208664</v>
      </c>
      <c r="N50" s="362">
        <f t="shared" si="23"/>
        <v>3005</v>
      </c>
      <c r="O50" s="370">
        <f>SUM('Performances by Week'!$AG$34:$AG$37)</f>
        <v>5208</v>
      </c>
      <c r="P50" s="364">
        <f t="shared" si="24"/>
        <v>0.57699692780337941</v>
      </c>
      <c r="Q50" s="366">
        <f t="shared" si="25"/>
        <v>69.438935108153075</v>
      </c>
    </row>
    <row r="51" spans="1:17">
      <c r="A51" s="1" t="s">
        <v>788</v>
      </c>
      <c r="B51" s="1"/>
      <c r="C51" s="1"/>
      <c r="D51" s="1" t="s">
        <v>789</v>
      </c>
      <c r="E51" s="368">
        <f>SUM('Performances by Week'!$Z$49:$Z$50)</f>
        <v>200000</v>
      </c>
      <c r="F51" s="368">
        <f>SUM('Performances by Week'!$Y$49:$Y$50)</f>
        <v>128295</v>
      </c>
      <c r="G51" s="374">
        <f t="shared" si="26"/>
        <v>-71705</v>
      </c>
      <c r="H51" s="370">
        <f>SUM('Performances by Week'!$S$49:$S$50)</f>
        <v>1582</v>
      </c>
      <c r="I51" s="368" t="s">
        <v>782</v>
      </c>
      <c r="J51" s="369" t="s">
        <v>782</v>
      </c>
      <c r="K51" s="1" t="s">
        <v>783</v>
      </c>
      <c r="L51" s="368">
        <f t="shared" si="22"/>
        <v>200000</v>
      </c>
      <c r="M51" s="369">
        <f t="shared" si="22"/>
        <v>128295</v>
      </c>
      <c r="N51" s="362">
        <f t="shared" si="23"/>
        <v>1582</v>
      </c>
      <c r="O51" s="370">
        <f>SUM('Performances by Week'!$AG$49:$AG$50)</f>
        <v>2604</v>
      </c>
      <c r="P51" s="364">
        <f t="shared" si="24"/>
        <v>0.60752688172043012</v>
      </c>
      <c r="Q51" s="366">
        <f t="shared" si="25"/>
        <v>81.09671302149178</v>
      </c>
    </row>
    <row r="52" spans="1:17">
      <c r="A52" s="1" t="s">
        <v>790</v>
      </c>
      <c r="B52" s="1"/>
      <c r="C52" s="1"/>
      <c r="D52" s="1" t="s">
        <v>791</v>
      </c>
      <c r="E52" s="368">
        <f>SUM('Performances by Week'!$Z$58:$Z$61)</f>
        <v>360000</v>
      </c>
      <c r="F52" s="368">
        <f>SUM('Performances by Week'!$Y$58:$Y$61)</f>
        <v>93772.1</v>
      </c>
      <c r="G52" s="374">
        <f t="shared" si="26"/>
        <v>-266227.90000000002</v>
      </c>
      <c r="H52" s="370">
        <f>SUM('Performances by Week'!$S$58:$S$61)</f>
        <v>1322</v>
      </c>
      <c r="I52" s="368" t="s">
        <v>782</v>
      </c>
      <c r="J52" s="369" t="s">
        <v>782</v>
      </c>
      <c r="K52" s="1" t="s">
        <v>783</v>
      </c>
      <c r="L52" s="368">
        <f t="shared" si="22"/>
        <v>360000</v>
      </c>
      <c r="M52" s="369">
        <f t="shared" si="22"/>
        <v>93772.1</v>
      </c>
      <c r="N52" s="362">
        <f t="shared" si="23"/>
        <v>1322</v>
      </c>
      <c r="O52" s="370">
        <f>SUM('Performances by Week'!$AG$58:$AG$61)</f>
        <v>5208</v>
      </c>
      <c r="P52" s="364">
        <f t="shared" si="24"/>
        <v>0.25384024577572967</v>
      </c>
      <c r="Q52" s="366">
        <f t="shared" si="25"/>
        <v>70.93199697428139</v>
      </c>
    </row>
    <row r="53" spans="1:17">
      <c r="A53" s="375" t="s">
        <v>792</v>
      </c>
      <c r="B53" s="375"/>
      <c r="C53" s="375"/>
      <c r="D53" s="375" t="s">
        <v>793</v>
      </c>
      <c r="E53" s="376">
        <f>SUM('Performances by Week'!$Z$73:$Z$76)</f>
        <v>445000</v>
      </c>
      <c r="F53" s="376">
        <f>SUM('Performances by Week'!$Y$73:$Y$76)</f>
        <v>94720</v>
      </c>
      <c r="G53" s="378">
        <f t="shared" si="26"/>
        <v>-350280</v>
      </c>
      <c r="H53" s="400">
        <f>SUM('Performances by Week'!$S$73:$S$76)</f>
        <v>1328</v>
      </c>
      <c r="I53" s="376" t="s">
        <v>782</v>
      </c>
      <c r="J53" s="377" t="s">
        <v>782</v>
      </c>
      <c r="K53" s="375" t="s">
        <v>783</v>
      </c>
      <c r="L53" s="376">
        <f t="shared" si="22"/>
        <v>445000</v>
      </c>
      <c r="M53" s="377">
        <f t="shared" si="22"/>
        <v>94720</v>
      </c>
      <c r="N53" s="380">
        <f t="shared" si="23"/>
        <v>1328</v>
      </c>
      <c r="O53" s="400">
        <f>SUM('Performances by Week'!$AG$73:$AG$76)</f>
        <v>5208</v>
      </c>
      <c r="P53" s="381">
        <f t="shared" si="24"/>
        <v>0.25499231950844853</v>
      </c>
      <c r="Q53" s="382">
        <f t="shared" si="25"/>
        <v>71.325301204819283</v>
      </c>
    </row>
    <row r="54" spans="1:17">
      <c r="A54" s="384" t="s">
        <v>271</v>
      </c>
      <c r="B54" s="384"/>
      <c r="C54" s="385" t="s">
        <v>285</v>
      </c>
      <c r="D54" s="385" t="s">
        <v>285</v>
      </c>
      <c r="E54" s="386">
        <f>SUM(E48:E53)</f>
        <v>1795490</v>
      </c>
      <c r="F54" s="386">
        <f>SUM(F48:F53)</f>
        <v>808014.1</v>
      </c>
      <c r="G54" s="407">
        <f>SUM(G48:G53)</f>
        <v>-987475.9</v>
      </c>
      <c r="H54" s="388">
        <f>SUM(H48:H53)</f>
        <v>11058</v>
      </c>
      <c r="I54" s="386" t="s">
        <v>782</v>
      </c>
      <c r="J54" s="389" t="s">
        <v>782</v>
      </c>
      <c r="K54" s="408" t="s">
        <v>783</v>
      </c>
      <c r="L54" s="386">
        <f>SUM(L48:L53)</f>
        <v>1795490</v>
      </c>
      <c r="M54" s="386">
        <f>SUM(M48:M53)</f>
        <v>808014.1</v>
      </c>
      <c r="N54" s="388">
        <f>SUM(N48:N53)</f>
        <v>11058</v>
      </c>
      <c r="O54" s="388">
        <f>SUM(O48:O53)</f>
        <v>23596</v>
      </c>
      <c r="P54" s="391">
        <f t="shared" si="24"/>
        <v>0.46863875233090352</v>
      </c>
      <c r="Q54" s="392">
        <f t="shared" si="25"/>
        <v>73.07054621088804</v>
      </c>
    </row>
    <row r="55" spans="1:17">
      <c r="A55" s="2"/>
      <c r="B55" s="1"/>
      <c r="C55" s="1"/>
      <c r="D55" s="1"/>
      <c r="E55" s="402" t="s">
        <v>285</v>
      </c>
      <c r="F55" s="393"/>
      <c r="G55" s="409"/>
      <c r="H55" s="2"/>
      <c r="I55" s="402" t="s">
        <v>285</v>
      </c>
      <c r="J55" s="393"/>
      <c r="K55" s="2"/>
      <c r="L55" s="402" t="s">
        <v>285</v>
      </c>
      <c r="M55" s="393"/>
      <c r="N55" s="2"/>
      <c r="O55" s="404" t="s">
        <v>285</v>
      </c>
      <c r="P55" s="2"/>
      <c r="Q55" s="405" t="s">
        <v>285</v>
      </c>
    </row>
    <row r="56" spans="1:17">
      <c r="A56" s="2" t="s">
        <v>116</v>
      </c>
      <c r="B56" s="2"/>
      <c r="C56" s="406"/>
      <c r="D56" s="1"/>
      <c r="E56" s="402" t="s">
        <v>285</v>
      </c>
      <c r="F56" s="393"/>
      <c r="G56" s="393"/>
      <c r="H56" s="2"/>
      <c r="I56" s="402" t="s">
        <v>285</v>
      </c>
      <c r="J56" s="393"/>
      <c r="K56" s="2"/>
      <c r="L56" s="402" t="s">
        <v>285</v>
      </c>
      <c r="M56" s="393"/>
      <c r="N56" s="2"/>
      <c r="O56" s="404" t="s">
        <v>285</v>
      </c>
      <c r="P56" s="2"/>
      <c r="Q56" s="405" t="s">
        <v>285</v>
      </c>
    </row>
    <row r="57" spans="1:17">
      <c r="A57" s="1" t="s">
        <v>794</v>
      </c>
      <c r="B57" s="1"/>
      <c r="C57" s="1"/>
      <c r="D57" s="395" t="s">
        <v>795</v>
      </c>
      <c r="E57" s="368">
        <f>'Performances by Week'!$Z$25</f>
        <v>11200</v>
      </c>
      <c r="F57" s="369">
        <f>'Performances by Week'!$Y$25</f>
        <v>4620</v>
      </c>
      <c r="G57" s="374">
        <f>F57-E57</f>
        <v>-6580</v>
      </c>
      <c r="H57" s="1">
        <f>'Performances by Week'!$S$25</f>
        <v>38</v>
      </c>
      <c r="I57" s="368" t="s">
        <v>782</v>
      </c>
      <c r="J57" s="369" t="s">
        <v>782</v>
      </c>
      <c r="K57" s="2" t="s">
        <v>783</v>
      </c>
      <c r="L57" s="368">
        <f t="shared" ref="L57:M60" si="27">SUM(E57,I57)</f>
        <v>11200</v>
      </c>
      <c r="M57" s="369">
        <f t="shared" si="27"/>
        <v>4620</v>
      </c>
      <c r="N57" s="362">
        <f t="shared" ref="N57:N60" si="28">SUM(H57,K57)</f>
        <v>38</v>
      </c>
      <c r="O57" s="4">
        <f>'Performances by Week'!$AG$25</f>
        <v>100</v>
      </c>
      <c r="P57" s="364">
        <f t="shared" ref="P57:P61" si="29">N57/O57</f>
        <v>0.38</v>
      </c>
      <c r="Q57" s="366">
        <f t="shared" ref="Q57:Q61" si="30">M57/N57</f>
        <v>121.57894736842105</v>
      </c>
    </row>
    <row r="58" spans="1:17">
      <c r="A58" s="1" t="s">
        <v>796</v>
      </c>
      <c r="B58" s="1"/>
      <c r="C58" s="1"/>
      <c r="D58" s="395" t="s">
        <v>797</v>
      </c>
      <c r="E58" s="368">
        <f>'Performances by Week'!$Z$65</f>
        <v>9000</v>
      </c>
      <c r="F58" s="369">
        <f>'Performances by Week'!$Y$65</f>
        <v>1960</v>
      </c>
      <c r="G58" s="374">
        <f>F58-E58</f>
        <v>-7040</v>
      </c>
      <c r="H58" s="1">
        <f>'Performances by Week'!$S$65</f>
        <v>19</v>
      </c>
      <c r="I58" s="368" t="s">
        <v>782</v>
      </c>
      <c r="J58" s="369" t="s">
        <v>782</v>
      </c>
      <c r="K58" s="2" t="s">
        <v>783</v>
      </c>
      <c r="L58" s="368">
        <f t="shared" si="27"/>
        <v>9000</v>
      </c>
      <c r="M58" s="369">
        <f t="shared" si="27"/>
        <v>1960</v>
      </c>
      <c r="N58" s="362">
        <f t="shared" si="28"/>
        <v>19</v>
      </c>
      <c r="O58" s="4">
        <f>'Performances by Week'!$AG$65</f>
        <v>100</v>
      </c>
      <c r="P58" s="364">
        <f t="shared" si="29"/>
        <v>0.19</v>
      </c>
      <c r="Q58" s="366">
        <f t="shared" si="30"/>
        <v>103.15789473684211</v>
      </c>
    </row>
    <row r="59" spans="1:17">
      <c r="A59" s="1" t="s">
        <v>798</v>
      </c>
      <c r="B59" s="1"/>
      <c r="C59" s="1"/>
      <c r="D59" s="395" t="s">
        <v>799</v>
      </c>
      <c r="E59" s="368">
        <f>'Performances by Week'!$Z$106</f>
        <v>9000</v>
      </c>
      <c r="F59" s="369">
        <f>'Performances by Week'!$Y$106</f>
        <v>1680</v>
      </c>
      <c r="G59" s="374">
        <f>F59-E59</f>
        <v>-7320</v>
      </c>
      <c r="H59" s="1">
        <f>'Performances by Week'!$S$106</f>
        <v>17</v>
      </c>
      <c r="I59" s="368" t="s">
        <v>782</v>
      </c>
      <c r="J59" s="369" t="s">
        <v>782</v>
      </c>
      <c r="K59" s="2" t="s">
        <v>783</v>
      </c>
      <c r="L59" s="368">
        <f t="shared" si="27"/>
        <v>9000</v>
      </c>
      <c r="M59" s="369">
        <f t="shared" si="27"/>
        <v>1680</v>
      </c>
      <c r="N59" s="362">
        <f t="shared" si="28"/>
        <v>17</v>
      </c>
      <c r="O59" s="4">
        <f>'Performances by Week'!$AG$106</f>
        <v>100</v>
      </c>
      <c r="P59" s="364">
        <f t="shared" si="29"/>
        <v>0.17</v>
      </c>
      <c r="Q59" s="366">
        <f t="shared" si="30"/>
        <v>98.82352941176471</v>
      </c>
    </row>
    <row r="60" spans="1:17">
      <c r="A60" s="375" t="s">
        <v>800</v>
      </c>
      <c r="B60" s="375"/>
      <c r="C60" s="375"/>
      <c r="D60" s="396" t="s">
        <v>801</v>
      </c>
      <c r="E60" s="376">
        <f>'Performances by Week'!$Z$110</f>
        <v>9000</v>
      </c>
      <c r="F60" s="377">
        <f>'Performances by Week'!$Y$110</f>
        <v>2100</v>
      </c>
      <c r="G60" s="378">
        <f>F60-E60</f>
        <v>-6900</v>
      </c>
      <c r="H60" s="375">
        <f>'Performances by Week'!$S$110</f>
        <v>20</v>
      </c>
      <c r="I60" s="376" t="s">
        <v>782</v>
      </c>
      <c r="J60" s="377" t="s">
        <v>782</v>
      </c>
      <c r="K60" s="410" t="s">
        <v>783</v>
      </c>
      <c r="L60" s="376">
        <f t="shared" si="27"/>
        <v>9000</v>
      </c>
      <c r="M60" s="377">
        <f t="shared" si="27"/>
        <v>2100</v>
      </c>
      <c r="N60" s="380">
        <f t="shared" si="28"/>
        <v>20</v>
      </c>
      <c r="O60" s="411">
        <f>'Performances by Week'!$AG$110</f>
        <v>100</v>
      </c>
      <c r="P60" s="381">
        <f t="shared" si="29"/>
        <v>0.2</v>
      </c>
      <c r="Q60" s="382">
        <f t="shared" si="30"/>
        <v>105</v>
      </c>
    </row>
    <row r="61" spans="1:17">
      <c r="A61" s="384" t="s">
        <v>272</v>
      </c>
      <c r="B61" s="384"/>
      <c r="C61" s="384"/>
      <c r="D61" s="385" t="s">
        <v>285</v>
      </c>
      <c r="E61" s="386">
        <f>SUM(E57:E60)</f>
        <v>38200</v>
      </c>
      <c r="F61" s="386">
        <f>SUM(F57:F60)</f>
        <v>10360</v>
      </c>
      <c r="G61" s="407">
        <f>SUM(G57:G60)</f>
        <v>-27840</v>
      </c>
      <c r="H61" s="388">
        <f>SUM(H57:H60)</f>
        <v>94</v>
      </c>
      <c r="I61" s="386" t="s">
        <v>782</v>
      </c>
      <c r="J61" s="389" t="s">
        <v>782</v>
      </c>
      <c r="K61" s="408" t="s">
        <v>783</v>
      </c>
      <c r="L61" s="386">
        <f>SUM(L57:L60)</f>
        <v>38200</v>
      </c>
      <c r="M61" s="386">
        <f>SUM(M57:M60)</f>
        <v>10360</v>
      </c>
      <c r="N61" s="388">
        <f>SUM(N57:N60)</f>
        <v>94</v>
      </c>
      <c r="O61" s="388">
        <f>SUM(O57:O60)</f>
        <v>400</v>
      </c>
      <c r="P61" s="391">
        <f t="shared" si="29"/>
        <v>0.23499999999999999</v>
      </c>
      <c r="Q61" s="392">
        <f t="shared" si="30"/>
        <v>110.21276595744681</v>
      </c>
    </row>
    <row r="62" spans="1:17">
      <c r="A62" s="2"/>
      <c r="B62" s="1"/>
      <c r="C62" s="1"/>
      <c r="D62" s="1"/>
      <c r="E62" s="402" t="s">
        <v>285</v>
      </c>
      <c r="F62" s="393"/>
      <c r="G62" s="409"/>
      <c r="H62" s="2"/>
      <c r="I62" s="402" t="s">
        <v>285</v>
      </c>
      <c r="J62" s="393"/>
      <c r="K62" s="2"/>
      <c r="L62" s="402" t="s">
        <v>285</v>
      </c>
      <c r="M62" s="393"/>
      <c r="N62" s="2"/>
      <c r="O62" s="404" t="s">
        <v>285</v>
      </c>
      <c r="P62" s="2"/>
      <c r="Q62" s="405" t="s">
        <v>285</v>
      </c>
    </row>
    <row r="63" spans="1:17">
      <c r="A63" s="2" t="s">
        <v>802</v>
      </c>
      <c r="B63" s="2"/>
      <c r="C63" s="2"/>
      <c r="D63" s="1"/>
      <c r="E63" s="368" t="s">
        <v>285</v>
      </c>
      <c r="F63" s="369"/>
      <c r="G63" s="393"/>
      <c r="H63" s="1"/>
      <c r="I63" s="368" t="s">
        <v>285</v>
      </c>
      <c r="J63" s="369"/>
      <c r="K63" s="1"/>
      <c r="L63" s="368" t="s">
        <v>285</v>
      </c>
      <c r="M63" s="369"/>
      <c r="N63" s="1"/>
      <c r="O63" s="4" t="s">
        <v>285</v>
      </c>
      <c r="P63" s="1"/>
      <c r="Q63" s="365" t="s">
        <v>285</v>
      </c>
    </row>
    <row r="64" spans="1:17">
      <c r="A64" s="1" t="s">
        <v>803</v>
      </c>
      <c r="B64" s="1"/>
      <c r="C64" s="1"/>
      <c r="D64" s="1" t="s">
        <v>804</v>
      </c>
      <c r="E64" s="368">
        <f>SUM('Performances by Week'!$Z$6:$Z$7)</f>
        <v>306947</v>
      </c>
      <c r="F64" s="368">
        <f>SUM('Performances by Week'!$Y$6:$Y$7)</f>
        <v>272084</v>
      </c>
      <c r="G64" s="369">
        <f>F64-E64</f>
        <v>-34863</v>
      </c>
      <c r="H64" s="370">
        <f>SUM('Performances by Week'!$S$6:$S$7)</f>
        <v>2299</v>
      </c>
      <c r="I64" s="368" t="s">
        <v>782</v>
      </c>
      <c r="J64" s="369" t="s">
        <v>782</v>
      </c>
      <c r="K64" s="1"/>
      <c r="L64" s="368">
        <f t="shared" ref="L64:M70" si="31">SUM(E64,I64)</f>
        <v>306947</v>
      </c>
      <c r="M64" s="369">
        <f t="shared" si="31"/>
        <v>272084</v>
      </c>
      <c r="N64" s="362">
        <f t="shared" ref="N64:N70" si="32">SUM(H64,K64)</f>
        <v>2299</v>
      </c>
      <c r="O64" s="370">
        <f>SUM('Performances by Week'!$AG$6:$AG$7)</f>
        <v>2604</v>
      </c>
      <c r="P64" s="364">
        <f t="shared" ref="P64:P72" si="33">N64/O64</f>
        <v>0.88287250384024574</v>
      </c>
      <c r="Q64" s="366">
        <f t="shared" ref="Q64:Q72" si="34">M64/N64</f>
        <v>118.34884732492388</v>
      </c>
    </row>
    <row r="65" spans="1:17">
      <c r="A65" s="1" t="s">
        <v>805</v>
      </c>
      <c r="B65" s="1"/>
      <c r="C65" s="1"/>
      <c r="D65" s="395" t="s">
        <v>806</v>
      </c>
      <c r="E65" s="368">
        <f>'Performances by Week'!$Z$8</f>
        <v>55000</v>
      </c>
      <c r="F65" s="368">
        <f>'Performances by Week'!$Y$8</f>
        <v>20005</v>
      </c>
      <c r="G65" s="369">
        <f t="shared" ref="G65:G70" si="35">F65-E65</f>
        <v>-34995</v>
      </c>
      <c r="H65" s="370">
        <f>'Performances by Week'!$S$8</f>
        <v>699</v>
      </c>
      <c r="I65" s="368" t="s">
        <v>782</v>
      </c>
      <c r="J65" s="369" t="s">
        <v>782</v>
      </c>
      <c r="K65" s="1"/>
      <c r="L65" s="368">
        <f t="shared" si="31"/>
        <v>55000</v>
      </c>
      <c r="M65" s="369">
        <f t="shared" si="31"/>
        <v>20005</v>
      </c>
      <c r="N65" s="362">
        <f t="shared" si="32"/>
        <v>699</v>
      </c>
      <c r="O65" s="370">
        <f>'Performances by Week'!$AG$8</f>
        <v>600</v>
      </c>
      <c r="P65" s="364">
        <f t="shared" si="33"/>
        <v>1.165</v>
      </c>
      <c r="Q65" s="366">
        <f t="shared" si="34"/>
        <v>28.619456366237483</v>
      </c>
    </row>
    <row r="66" spans="1:17">
      <c r="A66" s="1" t="s">
        <v>181</v>
      </c>
      <c r="B66" s="1"/>
      <c r="C66" s="1"/>
      <c r="D66" s="1" t="s">
        <v>807</v>
      </c>
      <c r="E66" s="368">
        <f>SUM('Performances by Week'!$Z$38:$Z$40)</f>
        <v>235000</v>
      </c>
      <c r="F66" s="368">
        <f>SUM('Performances by Week'!$Y$38:$Y$40)</f>
        <v>107280</v>
      </c>
      <c r="G66" s="369">
        <f t="shared" si="35"/>
        <v>-127720</v>
      </c>
      <c r="H66" s="370">
        <f>SUM('Performances by Week'!$S$38:$S$40)</f>
        <v>2004</v>
      </c>
      <c r="I66" s="368" t="s">
        <v>782</v>
      </c>
      <c r="J66" s="369" t="s">
        <v>782</v>
      </c>
      <c r="K66" s="1" t="s">
        <v>783</v>
      </c>
      <c r="L66" s="368">
        <f t="shared" si="31"/>
        <v>235000</v>
      </c>
      <c r="M66" s="369">
        <f t="shared" si="31"/>
        <v>107280</v>
      </c>
      <c r="N66" s="362">
        <f t="shared" si="32"/>
        <v>2004</v>
      </c>
      <c r="O66" s="370">
        <f>SUM('Performances by Week'!$AG$38:$AG$40)</f>
        <v>4332</v>
      </c>
      <c r="P66" s="364">
        <f t="shared" si="33"/>
        <v>0.46260387811634351</v>
      </c>
      <c r="Q66" s="366">
        <f t="shared" si="34"/>
        <v>53.532934131736525</v>
      </c>
    </row>
    <row r="67" spans="1:17">
      <c r="A67" s="1" t="s">
        <v>808</v>
      </c>
      <c r="B67" s="1"/>
      <c r="C67" s="1"/>
      <c r="D67" s="1" t="s">
        <v>809</v>
      </c>
      <c r="E67" s="368">
        <f>SUM('Performances by Week'!$Z$41:$Z$42)</f>
        <v>300000</v>
      </c>
      <c r="F67" s="368">
        <f>SUM('Performances by Week'!$Y$41:$Y$42)</f>
        <v>266029</v>
      </c>
      <c r="G67" s="369">
        <f t="shared" si="35"/>
        <v>-33971</v>
      </c>
      <c r="H67" s="370">
        <f>SUM('Performances by Week'!$S$41:$S$42)</f>
        <v>2694</v>
      </c>
      <c r="I67" s="368" t="s">
        <v>782</v>
      </c>
      <c r="J67" s="369" t="s">
        <v>782</v>
      </c>
      <c r="K67" s="1" t="s">
        <v>783</v>
      </c>
      <c r="L67" s="368">
        <f t="shared" si="31"/>
        <v>300000</v>
      </c>
      <c r="M67" s="369">
        <f t="shared" si="31"/>
        <v>266029</v>
      </c>
      <c r="N67" s="362">
        <f t="shared" si="32"/>
        <v>2694</v>
      </c>
      <c r="O67" s="370">
        <f>SUM('Performances by Week'!$AG$41:$AG$42)</f>
        <v>3180</v>
      </c>
      <c r="P67" s="364">
        <f t="shared" si="33"/>
        <v>0.84716981132075475</v>
      </c>
      <c r="Q67" s="366">
        <f t="shared" si="34"/>
        <v>98.748700816629551</v>
      </c>
    </row>
    <row r="68" spans="1:17">
      <c r="A68" s="1" t="s">
        <v>810</v>
      </c>
      <c r="B68" s="1"/>
      <c r="C68" s="1"/>
      <c r="D68" s="395" t="s">
        <v>811</v>
      </c>
      <c r="E68" s="368">
        <f>'Performances by Week'!$Z$69</f>
        <v>128900</v>
      </c>
      <c r="F68" s="368">
        <f>'Performances by Week'!$Y$69</f>
        <v>30162</v>
      </c>
      <c r="G68" s="369">
        <f t="shared" si="35"/>
        <v>-98738</v>
      </c>
      <c r="H68" s="370">
        <f>'Performances by Week'!$S$69</f>
        <v>340</v>
      </c>
      <c r="I68" s="368" t="s">
        <v>782</v>
      </c>
      <c r="J68" s="369" t="s">
        <v>782</v>
      </c>
      <c r="K68" s="1" t="s">
        <v>783</v>
      </c>
      <c r="L68" s="368">
        <f t="shared" si="31"/>
        <v>128900</v>
      </c>
      <c r="M68" s="369">
        <f t="shared" si="31"/>
        <v>30162</v>
      </c>
      <c r="N68" s="362">
        <f t="shared" si="32"/>
        <v>340</v>
      </c>
      <c r="O68" s="370">
        <f>'Performances by Week'!$AG$69</f>
        <v>1590</v>
      </c>
      <c r="P68" s="364">
        <f t="shared" si="33"/>
        <v>0.21383647798742139</v>
      </c>
      <c r="Q68" s="366">
        <f t="shared" si="34"/>
        <v>88.711764705882359</v>
      </c>
    </row>
    <row r="69" spans="1:17">
      <c r="A69" s="1" t="s">
        <v>97</v>
      </c>
      <c r="B69" s="1"/>
      <c r="C69" s="1"/>
      <c r="D69" s="1" t="s">
        <v>812</v>
      </c>
      <c r="E69" s="368">
        <f>SUM('Performances by Week'!$Z$83:$Z$84)</f>
        <v>168218</v>
      </c>
      <c r="F69" s="368">
        <f>SUM('Performances by Week'!$Y$83:$Y$84)</f>
        <v>10464.5</v>
      </c>
      <c r="G69" s="369">
        <f t="shared" si="35"/>
        <v>-157753.5</v>
      </c>
      <c r="H69" s="370">
        <f>SUM('Performances by Week'!$S$83:$S$84)</f>
        <v>173</v>
      </c>
      <c r="I69" s="368" t="s">
        <v>782</v>
      </c>
      <c r="J69" s="369" t="s">
        <v>782</v>
      </c>
      <c r="K69" s="1" t="s">
        <v>783</v>
      </c>
      <c r="L69" s="368">
        <f t="shared" si="31"/>
        <v>168218</v>
      </c>
      <c r="M69" s="369">
        <f t="shared" si="31"/>
        <v>10464.5</v>
      </c>
      <c r="N69" s="362">
        <f t="shared" si="32"/>
        <v>173</v>
      </c>
      <c r="O69" s="370">
        <f>SUM('Performances by Week'!$AG$83:$AG$84)</f>
        <v>3180</v>
      </c>
      <c r="P69" s="364">
        <f t="shared" si="33"/>
        <v>5.4402515723270442E-2</v>
      </c>
      <c r="Q69" s="366">
        <f t="shared" si="34"/>
        <v>60.48843930635838</v>
      </c>
    </row>
    <row r="70" spans="1:17">
      <c r="A70" s="375" t="s">
        <v>103</v>
      </c>
      <c r="B70" s="375"/>
      <c r="C70" s="375"/>
      <c r="D70" s="375" t="s">
        <v>813</v>
      </c>
      <c r="E70" s="376">
        <f>SUM('Performances by Week'!$Z$104:$Z$105)</f>
        <v>224936</v>
      </c>
      <c r="F70" s="376">
        <f>SUM('Performances by Week'!$Y$104:$Y$105)</f>
        <v>28268</v>
      </c>
      <c r="G70" s="377">
        <f t="shared" si="35"/>
        <v>-196668</v>
      </c>
      <c r="H70" s="400">
        <f>SUM('Performances by Week'!$S$104:$S$105)</f>
        <v>317</v>
      </c>
      <c r="I70" s="376" t="s">
        <v>285</v>
      </c>
      <c r="J70" s="377"/>
      <c r="K70" s="375"/>
      <c r="L70" s="376">
        <f t="shared" si="31"/>
        <v>224936</v>
      </c>
      <c r="M70" s="377">
        <f t="shared" si="31"/>
        <v>28268</v>
      </c>
      <c r="N70" s="380">
        <f t="shared" si="32"/>
        <v>317</v>
      </c>
      <c r="O70" s="400">
        <f>SUM('Performances by Week'!$AG$104:$AG$105)</f>
        <v>3180</v>
      </c>
      <c r="P70" s="381">
        <f t="shared" si="33"/>
        <v>9.9685534591194974E-2</v>
      </c>
      <c r="Q70" s="382">
        <f t="shared" si="34"/>
        <v>89.17350157728707</v>
      </c>
    </row>
    <row r="71" spans="1:17">
      <c r="A71" s="412" t="s">
        <v>273</v>
      </c>
      <c r="B71" s="367"/>
      <c r="C71" s="367"/>
      <c r="D71" s="367" t="s">
        <v>285</v>
      </c>
      <c r="E71" s="413">
        <f>SUM(E64:E70)</f>
        <v>1419001</v>
      </c>
      <c r="F71" s="413">
        <f>SUM(F64:F70)</f>
        <v>734292.5</v>
      </c>
      <c r="G71" s="413">
        <f>SUM(G64:G70)</f>
        <v>-684708.5</v>
      </c>
      <c r="H71" s="414">
        <f>SUM(H64:H70)</f>
        <v>8526</v>
      </c>
      <c r="I71" s="413" t="s">
        <v>782</v>
      </c>
      <c r="J71" s="415" t="s">
        <v>782</v>
      </c>
      <c r="K71" s="416" t="s">
        <v>783</v>
      </c>
      <c r="L71" s="413">
        <f>SUM(L64:L70)</f>
        <v>1419001</v>
      </c>
      <c r="M71" s="413">
        <f>SUM(M64:M70)</f>
        <v>734292.5</v>
      </c>
      <c r="N71" s="414">
        <f>SUM(N64:N70)</f>
        <v>8526</v>
      </c>
      <c r="O71" s="414">
        <f>SUM(O64:O70)</f>
        <v>18666</v>
      </c>
      <c r="P71" s="417">
        <f t="shared" si="33"/>
        <v>0.45676631308261012</v>
      </c>
      <c r="Q71" s="418">
        <f t="shared" si="34"/>
        <v>86.123915083274696</v>
      </c>
    </row>
    <row r="72" spans="1:17">
      <c r="A72" s="419" t="s">
        <v>118</v>
      </c>
      <c r="B72" s="420"/>
      <c r="C72" s="420" t="s">
        <v>285</v>
      </c>
      <c r="D72" s="420" t="s">
        <v>285</v>
      </c>
      <c r="E72" s="421">
        <f t="shared" ref="E72:O72" si="36">SUM(E71,E61,E54,E45,E38,E20)</f>
        <v>5442691</v>
      </c>
      <c r="F72" s="421">
        <f t="shared" si="36"/>
        <v>2319078.6</v>
      </c>
      <c r="G72" s="421">
        <f t="shared" si="36"/>
        <v>-3123612.4</v>
      </c>
      <c r="H72" s="422">
        <f t="shared" si="36"/>
        <v>33713</v>
      </c>
      <c r="I72" s="421">
        <f t="shared" si="36"/>
        <v>2294950</v>
      </c>
      <c r="J72" s="421">
        <f t="shared" si="36"/>
        <v>2137434.4</v>
      </c>
      <c r="K72" s="422">
        <f t="shared" si="36"/>
        <v>31973</v>
      </c>
      <c r="L72" s="421">
        <f t="shared" si="36"/>
        <v>7737641</v>
      </c>
      <c r="M72" s="421">
        <f t="shared" si="36"/>
        <v>4456513</v>
      </c>
      <c r="N72" s="422">
        <f t="shared" si="36"/>
        <v>65686</v>
      </c>
      <c r="O72" s="422">
        <f t="shared" si="36"/>
        <v>143732</v>
      </c>
      <c r="P72" s="423">
        <f t="shared" si="33"/>
        <v>0.45700331171903263</v>
      </c>
      <c r="Q72" s="424">
        <f t="shared" si="34"/>
        <v>67.845705325335686</v>
      </c>
    </row>
  </sheetData>
  <mergeCells count="6">
    <mergeCell ref="A4:C4"/>
    <mergeCell ref="M1:Q1"/>
    <mergeCell ref="E3:H3"/>
    <mergeCell ref="I3:K3"/>
    <mergeCell ref="L3:N3"/>
    <mergeCell ref="O3:Q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939A-2AC1-456E-95DF-409678D4C0E7}">
  <dimension ref="A1:AA13"/>
  <sheetViews>
    <sheetView workbookViewId="0">
      <selection activeCell="E5" sqref="E5"/>
    </sheetView>
  </sheetViews>
  <sheetFormatPr defaultColWidth="8.85546875" defaultRowHeight="15"/>
  <cols>
    <col min="1" max="1" width="24.85546875" customWidth="1"/>
    <col min="2" max="3" width="11" customWidth="1"/>
    <col min="4" max="4" width="9.28515625" customWidth="1"/>
    <col min="16" max="16" width="14.42578125" customWidth="1"/>
    <col min="17" max="27" width="6.85546875" customWidth="1"/>
  </cols>
  <sheetData>
    <row r="1" spans="1:27">
      <c r="D1" s="538" t="s">
        <v>124</v>
      </c>
      <c r="E1" s="538"/>
      <c r="F1" s="538"/>
      <c r="G1" s="538"/>
      <c r="H1" s="538"/>
      <c r="I1" s="538"/>
      <c r="J1" s="538"/>
      <c r="K1" s="538"/>
      <c r="L1" s="538"/>
    </row>
    <row r="2" spans="1:27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15">
        <v>3</v>
      </c>
      <c r="J2" s="315">
        <v>2</v>
      </c>
      <c r="K2" s="315">
        <v>1</v>
      </c>
      <c r="L2" s="315">
        <v>0</v>
      </c>
      <c r="Q2" s="539" t="s">
        <v>125</v>
      </c>
      <c r="R2" s="539"/>
      <c r="S2" s="539"/>
      <c r="T2" s="539"/>
      <c r="U2" s="540" t="s">
        <v>126</v>
      </c>
      <c r="V2" s="540"/>
      <c r="W2" s="540"/>
      <c r="X2" s="540"/>
      <c r="Y2" s="540"/>
      <c r="Z2" s="540"/>
      <c r="AA2" s="540"/>
    </row>
    <row r="3" spans="1:27" ht="63.95">
      <c r="A3" t="s">
        <v>160</v>
      </c>
      <c r="B3" s="257">
        <v>45908</v>
      </c>
      <c r="C3" s="257">
        <v>45915</v>
      </c>
      <c r="D3" s="257">
        <v>45922</v>
      </c>
      <c r="E3" s="257">
        <v>45929</v>
      </c>
      <c r="F3" s="257">
        <v>45936</v>
      </c>
      <c r="G3" s="257">
        <v>45943</v>
      </c>
      <c r="H3" s="257">
        <v>45950</v>
      </c>
      <c r="I3" s="257">
        <v>45957</v>
      </c>
      <c r="J3" s="257">
        <v>45964</v>
      </c>
      <c r="K3" s="257">
        <v>45971</v>
      </c>
      <c r="L3" s="257">
        <v>45978</v>
      </c>
      <c r="M3" s="229" t="s">
        <v>128</v>
      </c>
      <c r="N3" s="229" t="s">
        <v>129</v>
      </c>
      <c r="P3" s="27" t="s">
        <v>130</v>
      </c>
      <c r="Q3" s="331">
        <v>10</v>
      </c>
      <c r="R3" s="331">
        <v>9</v>
      </c>
      <c r="S3" s="331">
        <v>8</v>
      </c>
      <c r="T3" s="331">
        <v>7</v>
      </c>
      <c r="U3" s="26">
        <v>6</v>
      </c>
      <c r="V3" s="26">
        <v>5</v>
      </c>
      <c r="W3" s="319">
        <v>4</v>
      </c>
      <c r="X3" s="320">
        <v>3</v>
      </c>
      <c r="Y3" s="320">
        <v>2</v>
      </c>
      <c r="Z3" s="320">
        <v>1</v>
      </c>
      <c r="AA3" s="319">
        <v>0</v>
      </c>
    </row>
    <row r="4" spans="1:27">
      <c r="A4" s="257" t="s">
        <v>161</v>
      </c>
      <c r="B4" s="349">
        <v>55</v>
      </c>
      <c r="C4" s="349">
        <v>60</v>
      </c>
      <c r="D4" s="350">
        <v>66</v>
      </c>
      <c r="E4" s="350">
        <v>75</v>
      </c>
      <c r="F4" s="350"/>
      <c r="G4" s="350"/>
      <c r="H4" s="350"/>
      <c r="I4" s="350"/>
      <c r="J4" s="350"/>
      <c r="K4" s="350"/>
      <c r="L4" s="350"/>
      <c r="M4">
        <f>'Performances by Week'!AG31-'Performances by Week'!AC31</f>
        <v>1250</v>
      </c>
      <c r="N4" s="29">
        <f>'Performances by Week'!O31</f>
        <v>0.50935809678809052</v>
      </c>
      <c r="P4" s="26" t="s">
        <v>65</v>
      </c>
      <c r="Q4" s="332">
        <v>0.15</v>
      </c>
      <c r="R4" s="332">
        <v>0.18</v>
      </c>
      <c r="S4" s="332">
        <v>0.21</v>
      </c>
      <c r="T4" s="332">
        <v>0.24</v>
      </c>
      <c r="U4" s="316">
        <v>0.27</v>
      </c>
      <c r="V4" s="316">
        <v>0.3</v>
      </c>
      <c r="W4" s="316">
        <v>0.33</v>
      </c>
      <c r="X4" s="316">
        <v>0.39</v>
      </c>
      <c r="Y4" s="317">
        <v>0.46</v>
      </c>
      <c r="Z4" s="316">
        <v>0.59</v>
      </c>
      <c r="AA4" s="316">
        <v>1</v>
      </c>
    </row>
    <row r="5" spans="1:27">
      <c r="A5" s="257" t="s">
        <v>162</v>
      </c>
      <c r="B5" s="349">
        <v>95</v>
      </c>
      <c r="C5" s="349">
        <v>110</v>
      </c>
      <c r="D5" s="350">
        <v>114</v>
      </c>
      <c r="E5" s="350">
        <v>143</v>
      </c>
      <c r="F5" s="350"/>
      <c r="G5" s="350"/>
      <c r="H5" s="350"/>
      <c r="I5" s="350"/>
      <c r="J5" s="350"/>
      <c r="K5" s="350"/>
      <c r="L5" s="350"/>
      <c r="M5">
        <f>'Performances by Week'!AG32-'Performances by Week'!AC32</f>
        <v>1033</v>
      </c>
      <c r="N5" s="29">
        <f>'Performances by Week'!O32</f>
        <v>0.73214941043192439</v>
      </c>
      <c r="P5" s="26" t="s">
        <v>60</v>
      </c>
      <c r="Q5" s="332">
        <v>0.15</v>
      </c>
      <c r="R5" s="332">
        <v>0.18</v>
      </c>
      <c r="S5" s="332">
        <v>0.21</v>
      </c>
      <c r="T5" s="332">
        <v>0.24</v>
      </c>
      <c r="U5" s="316">
        <v>0.27</v>
      </c>
      <c r="V5" s="316">
        <v>0.3</v>
      </c>
      <c r="W5" s="316">
        <v>0.33</v>
      </c>
      <c r="X5" s="316">
        <v>0.39</v>
      </c>
      <c r="Y5" s="317">
        <v>0.46</v>
      </c>
      <c r="Z5" s="316">
        <v>0.59</v>
      </c>
      <c r="AA5" s="316">
        <v>1</v>
      </c>
    </row>
    <row r="6" spans="1:27">
      <c r="A6" s="257" t="s">
        <v>163</v>
      </c>
      <c r="B6" s="349">
        <v>75</v>
      </c>
      <c r="C6" s="349">
        <v>81</v>
      </c>
      <c r="D6" s="350">
        <v>83</v>
      </c>
      <c r="E6" s="350">
        <v>93</v>
      </c>
      <c r="F6" s="350"/>
      <c r="G6" s="350"/>
      <c r="H6" s="350"/>
      <c r="I6" s="350"/>
      <c r="J6" s="350"/>
      <c r="K6" s="350"/>
      <c r="L6" s="350"/>
      <c r="M6">
        <f>'Performances by Week'!AG33-'Performances by Week'!AC33</f>
        <v>1009</v>
      </c>
      <c r="N6" s="29">
        <f>'Performances by Week'!O33</f>
        <v>0.67209165031193652</v>
      </c>
      <c r="P6" s="26" t="s">
        <v>55</v>
      </c>
      <c r="Q6" s="332">
        <v>0.15</v>
      </c>
      <c r="R6" s="332">
        <v>0.18</v>
      </c>
      <c r="S6" s="332">
        <v>0.21</v>
      </c>
      <c r="T6" s="332">
        <v>0.24</v>
      </c>
      <c r="U6" s="316">
        <v>0.27</v>
      </c>
      <c r="V6" s="316">
        <v>0.3</v>
      </c>
      <c r="W6" s="316">
        <v>0.33</v>
      </c>
      <c r="X6" s="316">
        <v>0.39</v>
      </c>
      <c r="Y6" s="317">
        <v>0.46</v>
      </c>
      <c r="Z6" s="316">
        <v>0.59</v>
      </c>
      <c r="AA6" s="316">
        <v>1</v>
      </c>
    </row>
    <row r="7" spans="1:27">
      <c r="A7" s="257" t="s">
        <v>134</v>
      </c>
      <c r="B7" s="348">
        <f t="shared" ref="B7:L7" si="0">$M$7*$M$12*Q4</f>
        <v>139.90999999999997</v>
      </c>
      <c r="C7" s="348">
        <f t="shared" si="0"/>
        <v>167.89199999999997</v>
      </c>
      <c r="D7" s="348">
        <f t="shared" si="0"/>
        <v>195.87399999999997</v>
      </c>
      <c r="E7" s="348">
        <f t="shared" si="0"/>
        <v>223.85599999999997</v>
      </c>
      <c r="F7" s="348">
        <f t="shared" si="0"/>
        <v>251.83799999999999</v>
      </c>
      <c r="G7" s="348">
        <f t="shared" si="0"/>
        <v>279.81999999999994</v>
      </c>
      <c r="H7" s="348">
        <f t="shared" si="0"/>
        <v>307.80199999999996</v>
      </c>
      <c r="I7" s="348">
        <f t="shared" si="0"/>
        <v>363.76599999999996</v>
      </c>
      <c r="J7" s="348">
        <f t="shared" si="0"/>
        <v>429.0573333333333</v>
      </c>
      <c r="K7" s="348">
        <f t="shared" si="0"/>
        <v>550.31266666666659</v>
      </c>
      <c r="L7" s="348">
        <f t="shared" si="0"/>
        <v>932.73333333333323</v>
      </c>
      <c r="M7" s="315">
        <f>AVERAGE(M4:M6)</f>
        <v>1097.3333333333333</v>
      </c>
      <c r="P7" s="26" t="s">
        <v>135</v>
      </c>
      <c r="Q7" s="332">
        <v>0.15</v>
      </c>
      <c r="R7" s="332">
        <v>0.18</v>
      </c>
      <c r="S7" s="332">
        <v>0.21</v>
      </c>
      <c r="T7" s="332">
        <v>0.24</v>
      </c>
      <c r="U7" s="316">
        <v>0.27</v>
      </c>
      <c r="V7" s="316">
        <v>0.3</v>
      </c>
      <c r="W7" s="316">
        <v>0.33</v>
      </c>
      <c r="X7" s="316">
        <v>0.39</v>
      </c>
      <c r="Y7" s="317">
        <v>0.46</v>
      </c>
      <c r="Z7" s="316">
        <v>0.59</v>
      </c>
      <c r="AA7" s="316">
        <v>1</v>
      </c>
    </row>
    <row r="8" spans="1:27">
      <c r="A8" s="541" t="s">
        <v>146</v>
      </c>
      <c r="B8" s="541"/>
      <c r="C8" s="315">
        <f>C7-B7</f>
        <v>27.981999999999999</v>
      </c>
      <c r="D8" s="315">
        <f t="shared" ref="D8:L8" si="1">D7-C7</f>
        <v>27.981999999999999</v>
      </c>
      <c r="E8" s="315">
        <f t="shared" si="1"/>
        <v>27.981999999999999</v>
      </c>
      <c r="F8" s="315">
        <f t="shared" si="1"/>
        <v>27.982000000000028</v>
      </c>
      <c r="G8" s="315">
        <f t="shared" si="1"/>
        <v>27.981999999999942</v>
      </c>
      <c r="H8" s="315">
        <f t="shared" si="1"/>
        <v>27.982000000000028</v>
      </c>
      <c r="I8" s="315">
        <f t="shared" si="1"/>
        <v>55.963999999999999</v>
      </c>
      <c r="J8" s="315">
        <f t="shared" si="1"/>
        <v>65.291333333333341</v>
      </c>
      <c r="K8" s="315">
        <f t="shared" si="1"/>
        <v>121.25533333333328</v>
      </c>
      <c r="L8" s="315">
        <f t="shared" si="1"/>
        <v>382.42066666666665</v>
      </c>
      <c r="M8" s="315"/>
      <c r="P8" s="25"/>
      <c r="Q8" s="456"/>
      <c r="R8" s="456"/>
      <c r="S8" s="456"/>
      <c r="T8" s="456"/>
      <c r="U8" s="316"/>
      <c r="V8" s="316"/>
      <c r="W8" s="316"/>
      <c r="X8" s="316"/>
      <c r="Y8" s="316"/>
      <c r="Z8" s="316"/>
      <c r="AA8" s="316"/>
    </row>
    <row r="9" spans="1:27">
      <c r="A9" s="541" t="s">
        <v>147</v>
      </c>
      <c r="B9" s="541"/>
      <c r="C9" s="315">
        <f t="shared" ref="C9" si="2">IF(C4="","Too early",AVERAGE(C4:C7)-AVERAGE(B4:B7))</f>
        <v>13.495499999999993</v>
      </c>
      <c r="D9" s="315">
        <f>IF(D4="","Too early",AVERAGE(D4:D7)-AVERAGE(C4:C7))</f>
        <v>9.9955000000000069</v>
      </c>
      <c r="E9" s="315">
        <f t="shared" ref="E9:L9" si="3">IF(E4="","Too early",AVERAGE(E4:E7)-AVERAGE(D4:D7))</f>
        <v>18.995500000000007</v>
      </c>
      <c r="F9" s="315" t="str">
        <f t="shared" si="3"/>
        <v>Too early</v>
      </c>
      <c r="G9" s="315" t="str">
        <f t="shared" si="3"/>
        <v>Too early</v>
      </c>
      <c r="H9" s="315" t="str">
        <f t="shared" si="3"/>
        <v>Too early</v>
      </c>
      <c r="I9" s="315" t="str">
        <f t="shared" si="3"/>
        <v>Too early</v>
      </c>
      <c r="J9" s="315" t="str">
        <f t="shared" si="3"/>
        <v>Too early</v>
      </c>
      <c r="K9" s="315" t="str">
        <f t="shared" si="3"/>
        <v>Too early</v>
      </c>
      <c r="L9" s="315" t="str">
        <f t="shared" si="3"/>
        <v>Too early</v>
      </c>
      <c r="M9" s="315"/>
      <c r="P9" s="25"/>
      <c r="Q9" s="456"/>
      <c r="R9" s="456"/>
      <c r="S9" s="456"/>
      <c r="T9" s="456"/>
      <c r="U9" s="316"/>
      <c r="V9" s="316"/>
      <c r="W9" s="316"/>
      <c r="X9" s="316"/>
      <c r="Y9" s="316"/>
      <c r="Z9" s="316"/>
      <c r="AA9" s="316"/>
    </row>
    <row r="10" spans="1:27">
      <c r="A10" s="257" t="s">
        <v>136</v>
      </c>
      <c r="B10" s="315">
        <f>IF(B4&gt;0,AVERAGE(B4:B6)-B7,"TBD")</f>
        <v>-64.909999999999968</v>
      </c>
      <c r="C10" s="315">
        <f t="shared" ref="C10:L10" si="4">IF(C4&gt;0,AVERAGE(C4:C6)-C7,"TBD")</f>
        <v>-84.225333333333296</v>
      </c>
      <c r="D10" s="315">
        <f t="shared" si="4"/>
        <v>-108.2073333333333</v>
      </c>
      <c r="E10" s="315">
        <f t="shared" si="4"/>
        <v>-120.18933333333329</v>
      </c>
      <c r="F10" s="315" t="str">
        <f t="shared" si="4"/>
        <v>TBD</v>
      </c>
      <c r="G10" s="315" t="str">
        <f t="shared" si="4"/>
        <v>TBD</v>
      </c>
      <c r="H10" s="315" t="str">
        <f t="shared" si="4"/>
        <v>TBD</v>
      </c>
      <c r="I10" s="315" t="str">
        <f t="shared" si="4"/>
        <v>TBD</v>
      </c>
      <c r="J10" s="315" t="str">
        <f t="shared" si="4"/>
        <v>TBD</v>
      </c>
      <c r="K10" s="315" t="str">
        <f t="shared" si="4"/>
        <v>TBD</v>
      </c>
      <c r="L10" s="315" t="str">
        <f t="shared" si="4"/>
        <v>TBD</v>
      </c>
      <c r="P10" s="314"/>
      <c r="Q10" s="316"/>
      <c r="R10" s="316"/>
      <c r="S10" s="316"/>
      <c r="T10" s="316"/>
    </row>
    <row r="11" spans="1:27">
      <c r="A11" s="257"/>
      <c r="B11" s="257"/>
      <c r="C11" s="257"/>
      <c r="M11" t="s">
        <v>137</v>
      </c>
      <c r="P11" s="27"/>
      <c r="Q11" s="316"/>
      <c r="R11" s="316"/>
      <c r="S11" s="316"/>
      <c r="T11" s="316"/>
    </row>
    <row r="12" spans="1:27">
      <c r="A12" s="257"/>
      <c r="B12" s="257"/>
      <c r="C12" s="257"/>
      <c r="M12" s="126">
        <v>0.85</v>
      </c>
      <c r="P12" s="25"/>
      <c r="Q12" s="316"/>
      <c r="R12" s="316"/>
      <c r="S12" s="316"/>
      <c r="T12" s="316"/>
    </row>
    <row r="13" spans="1:27">
      <c r="A13" s="257"/>
      <c r="B13" s="257"/>
      <c r="C13" s="257"/>
      <c r="P13" s="25"/>
      <c r="Q13" s="316"/>
      <c r="R13" s="316"/>
      <c r="S13" s="316"/>
      <c r="T13" s="316"/>
    </row>
  </sheetData>
  <mergeCells count="5">
    <mergeCell ref="A8:B8"/>
    <mergeCell ref="A9:B9"/>
    <mergeCell ref="D1:L1"/>
    <mergeCell ref="Q2:T2"/>
    <mergeCell ref="U2:AA2"/>
  </mergeCells>
  <conditionalFormatting sqref="B10:L10">
    <cfRule type="cellIs" priority="1" stopIfTrue="1" operator="equal">
      <formula>"TBD"</formula>
    </cfRule>
    <cfRule type="cellIs" dxfId="6" priority="2" operator="greaterThan">
      <formula>0</formula>
    </cfRule>
    <cfRule type="cellIs" dxfId="5" priority="3" operator="lessThan">
      <formula>0</formula>
    </cfRule>
  </conditionalFormatting>
  <conditionalFormatting sqref="N4:N6">
    <cfRule type="cellIs" dxfId="4" priority="4" stopIfTrue="1" operator="equal">
      <formula>""</formula>
    </cfRule>
    <cfRule type="cellIs" dxfId="3" priority="5" operator="equal">
      <formula>"Too early"</formula>
    </cfRule>
    <cfRule type="cellIs" dxfId="2" priority="6" operator="lessThanOrEqual">
      <formula>0.4</formula>
    </cfRule>
    <cfRule type="cellIs" dxfId="1" priority="7" operator="between">
      <formula>0.5</formula>
      <formula>0.4</formula>
    </cfRule>
    <cfRule type="cellIs" dxfId="0" priority="8" operator="greaterThanOrEqual">
      <formula>0.5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/>
  <cp:revision/>
  <dcterms:created xsi:type="dcterms:W3CDTF">2025-06-06T18:30:38Z</dcterms:created>
  <dcterms:modified xsi:type="dcterms:W3CDTF">2025-10-27T20:26:30Z</dcterms:modified>
  <cp:category/>
  <cp:contentStatus/>
</cp:coreProperties>
</file>