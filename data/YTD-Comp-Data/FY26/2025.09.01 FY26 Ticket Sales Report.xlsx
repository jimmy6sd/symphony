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8_{99B5990B-6A5D-4BDB-9A60-F3C438F41E8D}" xr6:coauthVersionLast="47" xr6:coauthVersionMax="47" xr10:uidLastSave="{00000000-0000-0000-0000-000000000000}"/>
  <bookViews>
    <workbookView xWindow="-108" yWindow="-108" windowWidth="23256" windowHeight="12456" xr2:uid="{6F13B11E-A781-40B0-8A47-BC27C9B0E25C}"/>
  </bookViews>
  <sheets>
    <sheet name="Performances by Week" sheetId="1" r:id="rId1"/>
    <sheet name="PS1 Journey" sheetId="12" r:id="rId2"/>
    <sheet name="CS1 Appalachian" sheetId="13" r:id="rId3"/>
    <sheet name="Subscriptions" sheetId="2" r:id="rId4"/>
    <sheet name="Channels (Draft)" sheetId="5" r:id="rId5"/>
    <sheet name="Grassroots Flyer Locations" sheetId="11" r:id="rId6"/>
    <sheet name="Summary (Draft)" sheetId="4" state="hidden" r:id="rId7"/>
    <sheet name="Sales Pacing" sheetId="3" r:id="rId8"/>
    <sheet name="Social Reporting" sheetId="10" r:id="rId9"/>
    <sheet name="Email Reporting" sheetId="7" r:id="rId10"/>
    <sheet name="Website Reporting" sheetId="9" r:id="rId11"/>
  </sheets>
  <externalReferences>
    <externalReference r:id="rId12"/>
  </externalReferences>
  <definedNames>
    <definedName name="_xlnm._FilterDatabase" localSheetId="0" hidden="1">'Performances by Week'!$A$1:$AI$127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7" i="1" l="1"/>
  <c r="AC98" i="1"/>
  <c r="AC99" i="1"/>
  <c r="AC100" i="1"/>
  <c r="AC101" i="1"/>
  <c r="AC102" i="1"/>
  <c r="AC89" i="1"/>
  <c r="AC90" i="1"/>
  <c r="AC91" i="1"/>
  <c r="AC92" i="1"/>
  <c r="AC93" i="1"/>
  <c r="AC94" i="1"/>
  <c r="AC83" i="1"/>
  <c r="AC84" i="1"/>
  <c r="AC85" i="1"/>
  <c r="AC86" i="1"/>
  <c r="AC87" i="1"/>
  <c r="AC79" i="1"/>
  <c r="AC80" i="1"/>
  <c r="AC8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8" i="1"/>
  <c r="AC6" i="1"/>
  <c r="S115" i="1"/>
  <c r="S116" i="1"/>
  <c r="S117" i="1"/>
  <c r="S104" i="1"/>
  <c r="S105" i="1"/>
  <c r="S106" i="1"/>
  <c r="S107" i="1"/>
  <c r="S108" i="1"/>
  <c r="S109" i="1"/>
  <c r="S110" i="1"/>
  <c r="S111" i="1"/>
  <c r="S112" i="1"/>
  <c r="S113" i="1"/>
  <c r="S97" i="1"/>
  <c r="S98" i="1"/>
  <c r="S99" i="1"/>
  <c r="S100" i="1"/>
  <c r="S101" i="1"/>
  <c r="S102" i="1"/>
  <c r="S89" i="1"/>
  <c r="S90" i="1"/>
  <c r="S91" i="1"/>
  <c r="S92" i="1"/>
  <c r="S93" i="1"/>
  <c r="S94" i="1"/>
  <c r="S83" i="1"/>
  <c r="S84" i="1"/>
  <c r="S85" i="1"/>
  <c r="S86" i="1"/>
  <c r="S87" i="1"/>
  <c r="S79" i="1"/>
  <c r="S80" i="1"/>
  <c r="S8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21" i="1"/>
  <c r="S22" i="1"/>
  <c r="S23" i="1"/>
  <c r="S24" i="1"/>
  <c r="S25" i="1"/>
  <c r="S26" i="1"/>
  <c r="S27" i="1"/>
  <c r="S28" i="1"/>
  <c r="S29" i="1"/>
  <c r="S10" i="1"/>
  <c r="S11" i="1"/>
  <c r="S12" i="1"/>
  <c r="S13" i="1"/>
  <c r="S14" i="1"/>
  <c r="S15" i="1"/>
  <c r="S16" i="1"/>
  <c r="S17" i="1"/>
  <c r="S18" i="1"/>
  <c r="S19" i="1"/>
  <c r="S20" i="1"/>
  <c r="S6" i="1"/>
  <c r="S7" i="1"/>
  <c r="S8" i="1"/>
  <c r="Q115" i="1"/>
  <c r="Q116" i="1"/>
  <c r="Q117" i="1"/>
  <c r="Q104" i="1"/>
  <c r="Q105" i="1"/>
  <c r="Q106" i="1"/>
  <c r="Q107" i="1"/>
  <c r="Q108" i="1"/>
  <c r="Q109" i="1"/>
  <c r="Q110" i="1"/>
  <c r="Q111" i="1"/>
  <c r="Q112" i="1"/>
  <c r="Q113" i="1"/>
  <c r="Q97" i="1"/>
  <c r="Q98" i="1"/>
  <c r="Q99" i="1"/>
  <c r="Q100" i="1"/>
  <c r="Q101" i="1"/>
  <c r="Q102" i="1"/>
  <c r="Q89" i="1"/>
  <c r="Q90" i="1"/>
  <c r="Q91" i="1"/>
  <c r="Q92" i="1"/>
  <c r="Q93" i="1"/>
  <c r="Q94" i="1"/>
  <c r="Q83" i="1"/>
  <c r="Q84" i="1"/>
  <c r="Q85" i="1"/>
  <c r="Q86" i="1"/>
  <c r="Q87" i="1"/>
  <c r="Q79" i="1"/>
  <c r="Q80" i="1"/>
  <c r="Q8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13" i="1"/>
  <c r="Q12" i="1"/>
  <c r="Q11" i="1"/>
  <c r="Q10" i="1"/>
  <c r="Q8" i="1"/>
  <c r="Q7" i="1"/>
  <c r="Q6" i="1"/>
  <c r="L4" i="13"/>
  <c r="L5" i="13"/>
  <c r="L6" i="13"/>
  <c r="D7" i="13"/>
  <c r="E7" i="13"/>
  <c r="G7" i="13"/>
  <c r="H7" i="13"/>
  <c r="I7" i="13"/>
  <c r="J7" i="13"/>
  <c r="K7" i="13"/>
  <c r="D8" i="13"/>
  <c r="E8" i="13"/>
  <c r="F8" i="13"/>
  <c r="I4" i="12"/>
  <c r="I5" i="12"/>
  <c r="I6" i="12"/>
  <c r="B7" i="12"/>
  <c r="C7" i="12"/>
  <c r="D7" i="12"/>
  <c r="E7" i="12"/>
  <c r="G7" i="12"/>
  <c r="H7" i="12"/>
  <c r="B8" i="12"/>
  <c r="C8" i="12"/>
  <c r="D8" i="12"/>
  <c r="E8" i="12"/>
  <c r="F8" i="12"/>
  <c r="I6" i="1"/>
  <c r="I7" i="1"/>
  <c r="L6" i="1"/>
  <c r="L7" i="1"/>
  <c r="I8" i="1"/>
  <c r="L8" i="1"/>
  <c r="B106" i="1"/>
  <c r="R106" i="1"/>
  <c r="K43" i="2"/>
  <c r="K44" i="2"/>
  <c r="D43" i="2"/>
  <c r="G43" i="2"/>
  <c r="J43" i="2"/>
  <c r="J44" i="2"/>
  <c r="K21" i="2"/>
  <c r="K22" i="2"/>
  <c r="D21" i="2"/>
  <c r="L104" i="1"/>
  <c r="AI104" i="1"/>
  <c r="AI6" i="1"/>
  <c r="AI7" i="1"/>
  <c r="AI8" i="1"/>
  <c r="L10" i="1"/>
  <c r="AI10" i="1"/>
  <c r="L11" i="1"/>
  <c r="AI11" i="1"/>
  <c r="L12" i="1"/>
  <c r="AI12" i="1"/>
  <c r="L13" i="1"/>
  <c r="AI13" i="1"/>
  <c r="L14" i="1"/>
  <c r="AI14" i="1"/>
  <c r="L15" i="1"/>
  <c r="AI15" i="1"/>
  <c r="L16" i="1"/>
  <c r="AI16" i="1"/>
  <c r="L17" i="1"/>
  <c r="AI17" i="1"/>
  <c r="L18" i="1"/>
  <c r="AI18" i="1"/>
  <c r="L19" i="1"/>
  <c r="AI19" i="1"/>
  <c r="L20" i="1"/>
  <c r="AI20" i="1"/>
  <c r="L21" i="1"/>
  <c r="AI21" i="1"/>
  <c r="L22" i="1"/>
  <c r="AI22" i="1"/>
  <c r="L23" i="1"/>
  <c r="AI23" i="1"/>
  <c r="L24" i="1"/>
  <c r="AI24" i="1"/>
  <c r="L25" i="1"/>
  <c r="AI25" i="1"/>
  <c r="L26" i="1"/>
  <c r="AI26" i="1"/>
  <c r="L27" i="1"/>
  <c r="AI27" i="1"/>
  <c r="L28" i="1"/>
  <c r="AI28" i="1"/>
  <c r="L29" i="1"/>
  <c r="AI29" i="1"/>
  <c r="L31" i="1"/>
  <c r="AI31" i="1"/>
  <c r="L32" i="1"/>
  <c r="AI32" i="1"/>
  <c r="L33" i="1"/>
  <c r="AI33" i="1"/>
  <c r="L34" i="1"/>
  <c r="AI34" i="1"/>
  <c r="L35" i="1"/>
  <c r="AI35" i="1"/>
  <c r="L36" i="1"/>
  <c r="AI36" i="1"/>
  <c r="L37" i="1"/>
  <c r="AI37" i="1"/>
  <c r="L38" i="1"/>
  <c r="AI38" i="1"/>
  <c r="L39" i="1"/>
  <c r="AI39" i="1"/>
  <c r="L40" i="1"/>
  <c r="AI40" i="1"/>
  <c r="L41" i="1"/>
  <c r="AI41" i="1"/>
  <c r="L42" i="1"/>
  <c r="AI42" i="1"/>
  <c r="L43" i="1"/>
  <c r="AI43" i="1"/>
  <c r="L44" i="1"/>
  <c r="AI44" i="1"/>
  <c r="L45" i="1"/>
  <c r="AI45" i="1"/>
  <c r="L46" i="1"/>
  <c r="AI46" i="1"/>
  <c r="L47" i="1"/>
  <c r="AI47" i="1"/>
  <c r="L48" i="1"/>
  <c r="AI48" i="1"/>
  <c r="L49" i="1"/>
  <c r="AI49" i="1"/>
  <c r="L50" i="1"/>
  <c r="AI50" i="1"/>
  <c r="L52" i="1"/>
  <c r="AI52" i="1"/>
  <c r="L53" i="1"/>
  <c r="AI53" i="1"/>
  <c r="L54" i="1"/>
  <c r="AI54" i="1"/>
  <c r="L55" i="1"/>
  <c r="AI55" i="1"/>
  <c r="L56" i="1"/>
  <c r="AI56" i="1"/>
  <c r="L57" i="1"/>
  <c r="AI57" i="1"/>
  <c r="L58" i="1"/>
  <c r="AI58" i="1"/>
  <c r="L59" i="1"/>
  <c r="AI59" i="1"/>
  <c r="L60" i="1"/>
  <c r="AI60" i="1"/>
  <c r="L61" i="1"/>
  <c r="AI61" i="1"/>
  <c r="L62" i="1"/>
  <c r="AI62" i="1"/>
  <c r="L63" i="1"/>
  <c r="AI63" i="1"/>
  <c r="L64" i="1"/>
  <c r="AI64" i="1"/>
  <c r="L65" i="1"/>
  <c r="AI65" i="1"/>
  <c r="L66" i="1"/>
  <c r="AI66" i="1"/>
  <c r="L67" i="1"/>
  <c r="AI67" i="1"/>
  <c r="L68" i="1"/>
  <c r="AI68" i="1"/>
  <c r="L69" i="1"/>
  <c r="AI69" i="1"/>
  <c r="L70" i="1"/>
  <c r="AI70" i="1"/>
  <c r="L71" i="1"/>
  <c r="AI71" i="1"/>
  <c r="L72" i="1"/>
  <c r="AI72" i="1"/>
  <c r="L73" i="1"/>
  <c r="AI73" i="1"/>
  <c r="L74" i="1"/>
  <c r="AI74" i="1"/>
  <c r="L75" i="1"/>
  <c r="AI75" i="1"/>
  <c r="L76" i="1"/>
  <c r="AI76" i="1"/>
  <c r="L77" i="1"/>
  <c r="AI77" i="1"/>
  <c r="L79" i="1"/>
  <c r="AI79" i="1"/>
  <c r="L80" i="1"/>
  <c r="AI80" i="1"/>
  <c r="L81" i="1"/>
  <c r="AI81" i="1"/>
  <c r="L83" i="1"/>
  <c r="AI83" i="1"/>
  <c r="L84" i="1"/>
  <c r="AI84" i="1"/>
  <c r="L85" i="1"/>
  <c r="AI85" i="1"/>
  <c r="L86" i="1"/>
  <c r="AI86" i="1"/>
  <c r="L87" i="1"/>
  <c r="AI87" i="1"/>
  <c r="L89" i="1"/>
  <c r="AI89" i="1"/>
  <c r="L90" i="1"/>
  <c r="AI90" i="1"/>
  <c r="L91" i="1"/>
  <c r="AI91" i="1"/>
  <c r="L92" i="1"/>
  <c r="AI92" i="1"/>
  <c r="L93" i="1"/>
  <c r="AI93" i="1"/>
  <c r="L94" i="1"/>
  <c r="AI94" i="1"/>
  <c r="L97" i="1"/>
  <c r="AI97" i="1"/>
  <c r="L98" i="1"/>
  <c r="AI98" i="1"/>
  <c r="L99" i="1"/>
  <c r="AI99" i="1"/>
  <c r="L100" i="1"/>
  <c r="AI100" i="1"/>
  <c r="L101" i="1"/>
  <c r="AI101" i="1"/>
  <c r="L102" i="1"/>
  <c r="AI102" i="1"/>
  <c r="L105" i="1"/>
  <c r="AI105" i="1"/>
  <c r="L106" i="1"/>
  <c r="AI106" i="1"/>
  <c r="L107" i="1"/>
  <c r="AI107" i="1"/>
  <c r="L108" i="1"/>
  <c r="AI108" i="1"/>
  <c r="L109" i="1"/>
  <c r="AI109" i="1"/>
  <c r="L111" i="1"/>
  <c r="AI111" i="1"/>
  <c r="L112" i="1"/>
  <c r="AI112" i="1"/>
  <c r="L113" i="1"/>
  <c r="AI113" i="1"/>
  <c r="L115" i="1"/>
  <c r="AI115" i="1"/>
  <c r="L116" i="1"/>
  <c r="AI116" i="1"/>
  <c r="L117" i="1"/>
  <c r="AI117" i="1"/>
  <c r="I10" i="1"/>
  <c r="B25" i="1"/>
  <c r="R25" i="1"/>
  <c r="AA106" i="1"/>
  <c r="AA105" i="1"/>
  <c r="AA104" i="1"/>
  <c r="R104" i="1"/>
  <c r="W104" i="1"/>
  <c r="R105" i="1"/>
  <c r="W105" i="1"/>
  <c r="M105" i="1"/>
  <c r="M104" i="1"/>
  <c r="M84" i="1"/>
  <c r="M83" i="1"/>
  <c r="J105" i="1"/>
  <c r="J104" i="1"/>
  <c r="V105" i="1"/>
  <c r="V104" i="1"/>
  <c r="N105" i="1"/>
  <c r="N104" i="1"/>
  <c r="I105" i="1"/>
  <c r="AD105" i="1"/>
  <c r="I104" i="1"/>
  <c r="AD104" i="1"/>
  <c r="V84" i="1"/>
  <c r="V83" i="1"/>
  <c r="N84" i="1"/>
  <c r="N83" i="1"/>
  <c r="I84" i="1"/>
  <c r="I83" i="1"/>
  <c r="V8" i="1"/>
  <c r="B83" i="1"/>
  <c r="R83" i="1"/>
  <c r="W83" i="1"/>
  <c r="B84" i="1"/>
  <c r="R84" i="1"/>
  <c r="W84" i="1"/>
  <c r="AA14" i="1"/>
  <c r="U126" i="1"/>
  <c r="G21" i="2"/>
  <c r="J21" i="2" s="1"/>
  <c r="J22" i="2" s="1"/>
  <c r="L43" i="2"/>
  <c r="I43" i="2"/>
  <c r="J42" i="2"/>
  <c r="L21" i="2"/>
  <c r="I21" i="2"/>
  <c r="AA10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7" i="1"/>
  <c r="V6" i="1"/>
  <c r="N9" i="1"/>
  <c r="D20" i="2"/>
  <c r="AA117" i="1"/>
  <c r="AA116" i="1"/>
  <c r="AA115" i="1"/>
  <c r="AA113" i="1"/>
  <c r="AA112" i="1"/>
  <c r="AA111" i="1"/>
  <c r="AA110" i="1"/>
  <c r="AA109" i="1"/>
  <c r="AA108" i="1"/>
  <c r="AA107" i="1"/>
  <c r="AA102" i="1"/>
  <c r="AA101" i="1"/>
  <c r="AA100" i="1"/>
  <c r="AA99" i="1"/>
  <c r="AA98" i="1"/>
  <c r="AA97" i="1"/>
  <c r="AA94" i="1"/>
  <c r="AA93" i="1"/>
  <c r="AA92" i="1"/>
  <c r="AA91" i="1"/>
  <c r="AA90" i="1"/>
  <c r="AA89" i="1"/>
  <c r="AA87" i="1"/>
  <c r="AA86" i="1"/>
  <c r="AA85" i="1"/>
  <c r="AA81" i="1"/>
  <c r="AA80" i="1"/>
  <c r="AA79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8" i="1"/>
  <c r="AA7" i="1"/>
  <c r="AA6" i="1"/>
  <c r="M117" i="1"/>
  <c r="N117" i="1"/>
  <c r="I117" i="1"/>
  <c r="AC117" i="1"/>
  <c r="M116" i="1"/>
  <c r="I116" i="1"/>
  <c r="AC116" i="1"/>
  <c r="M115" i="1"/>
  <c r="N115" i="1"/>
  <c r="I115" i="1"/>
  <c r="AC115" i="1"/>
  <c r="M114" i="1"/>
  <c r="L114" i="1"/>
  <c r="N114" i="1"/>
  <c r="I114" i="1"/>
  <c r="AC114" i="1"/>
  <c r="M113" i="1"/>
  <c r="N113" i="1"/>
  <c r="I113" i="1"/>
  <c r="AC113" i="1"/>
  <c r="M112" i="1"/>
  <c r="I112" i="1"/>
  <c r="AC112" i="1"/>
  <c r="M111" i="1"/>
  <c r="N111" i="1"/>
  <c r="I111" i="1"/>
  <c r="AC111" i="1"/>
  <c r="L110" i="1"/>
  <c r="AI110" i="1" s="1"/>
  <c r="AI118" i="1" s="1"/>
  <c r="N110" i="1"/>
  <c r="I110" i="1"/>
  <c r="AC110" i="1"/>
  <c r="M109" i="1"/>
  <c r="I109" i="1"/>
  <c r="AC109" i="1"/>
  <c r="M108" i="1"/>
  <c r="I108" i="1"/>
  <c r="AC108" i="1"/>
  <c r="M107" i="1"/>
  <c r="I107" i="1"/>
  <c r="AC107" i="1"/>
  <c r="N106" i="1"/>
  <c r="I106" i="1"/>
  <c r="AC106" i="1"/>
  <c r="M103" i="1"/>
  <c r="L103" i="1"/>
  <c r="N103" i="1"/>
  <c r="I103" i="1"/>
  <c r="AC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L96" i="1"/>
  <c r="N96" i="1"/>
  <c r="I96" i="1"/>
  <c r="AC96" i="1"/>
  <c r="M95" i="1"/>
  <c r="L95" i="1"/>
  <c r="N95" i="1"/>
  <c r="I95" i="1"/>
  <c r="AC95" i="1"/>
  <c r="M94" i="1"/>
  <c r="N94" i="1"/>
  <c r="I94" i="1"/>
  <c r="M93" i="1"/>
  <c r="N93" i="1"/>
  <c r="I93" i="1"/>
  <c r="M92" i="1"/>
  <c r="N92" i="1"/>
  <c r="I92" i="1"/>
  <c r="M91" i="1"/>
  <c r="I91" i="1"/>
  <c r="M90" i="1"/>
  <c r="I90" i="1"/>
  <c r="M89" i="1"/>
  <c r="I89" i="1"/>
  <c r="M88" i="1"/>
  <c r="L88" i="1"/>
  <c r="N88" i="1"/>
  <c r="I88" i="1"/>
  <c r="AC88" i="1"/>
  <c r="M87" i="1"/>
  <c r="N87" i="1"/>
  <c r="I87" i="1"/>
  <c r="M86" i="1"/>
  <c r="N86" i="1"/>
  <c r="I86" i="1"/>
  <c r="M85" i="1"/>
  <c r="N85" i="1"/>
  <c r="I85" i="1"/>
  <c r="M82" i="1"/>
  <c r="L82" i="1"/>
  <c r="N82" i="1"/>
  <c r="I82" i="1"/>
  <c r="AC82" i="1"/>
  <c r="M81" i="1"/>
  <c r="I81" i="1"/>
  <c r="M80" i="1"/>
  <c r="I80" i="1"/>
  <c r="M79" i="1"/>
  <c r="I79" i="1"/>
  <c r="M78" i="1"/>
  <c r="L78" i="1"/>
  <c r="N78" i="1"/>
  <c r="I78" i="1"/>
  <c r="AC78" i="1"/>
  <c r="M77" i="1"/>
  <c r="N77" i="1"/>
  <c r="I77" i="1"/>
  <c r="M76" i="1"/>
  <c r="N76" i="1"/>
  <c r="I76" i="1"/>
  <c r="M75" i="1"/>
  <c r="N75" i="1"/>
  <c r="I75" i="1"/>
  <c r="M74" i="1"/>
  <c r="N74" i="1"/>
  <c r="I74" i="1"/>
  <c r="M73" i="1"/>
  <c r="N73" i="1"/>
  <c r="I73" i="1"/>
  <c r="M72" i="1"/>
  <c r="N72" i="1"/>
  <c r="I72" i="1"/>
  <c r="M71" i="1"/>
  <c r="N71" i="1"/>
  <c r="I71" i="1"/>
  <c r="M70" i="1"/>
  <c r="N70" i="1"/>
  <c r="I70" i="1"/>
  <c r="M69" i="1"/>
  <c r="N69" i="1"/>
  <c r="I69" i="1"/>
  <c r="M68" i="1"/>
  <c r="N68" i="1"/>
  <c r="I68" i="1"/>
  <c r="M67" i="1"/>
  <c r="N67" i="1"/>
  <c r="I67" i="1"/>
  <c r="M66" i="1"/>
  <c r="N66" i="1"/>
  <c r="I66" i="1"/>
  <c r="N65" i="1"/>
  <c r="I65" i="1"/>
  <c r="M64" i="1"/>
  <c r="I64" i="1"/>
  <c r="M63" i="1"/>
  <c r="I63" i="1"/>
  <c r="M62" i="1"/>
  <c r="I62" i="1"/>
  <c r="M61" i="1"/>
  <c r="I61" i="1"/>
  <c r="M60" i="1"/>
  <c r="N60" i="1"/>
  <c r="I60" i="1"/>
  <c r="M59" i="1"/>
  <c r="N59" i="1"/>
  <c r="I59" i="1"/>
  <c r="M58" i="1"/>
  <c r="N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L51" i="1"/>
  <c r="N51" i="1"/>
  <c r="I51" i="1"/>
  <c r="AC51" i="1"/>
  <c r="M50" i="1"/>
  <c r="N50" i="1"/>
  <c r="I50" i="1"/>
  <c r="M49" i="1"/>
  <c r="N49" i="1"/>
  <c r="I49" i="1"/>
  <c r="M48" i="1"/>
  <c r="N48" i="1"/>
  <c r="I48" i="1"/>
  <c r="M47" i="1"/>
  <c r="N47" i="1"/>
  <c r="I47" i="1"/>
  <c r="M46" i="1"/>
  <c r="N46" i="1"/>
  <c r="I46" i="1"/>
  <c r="M45" i="1"/>
  <c r="N45" i="1"/>
  <c r="I45" i="1"/>
  <c r="M44" i="1"/>
  <c r="N44" i="1"/>
  <c r="I44" i="1"/>
  <c r="M43" i="1"/>
  <c r="N43" i="1"/>
  <c r="I43" i="1"/>
  <c r="M42" i="1"/>
  <c r="N42" i="1"/>
  <c r="I42" i="1"/>
  <c r="M41" i="1"/>
  <c r="N41" i="1"/>
  <c r="I41" i="1"/>
  <c r="M40" i="1"/>
  <c r="N40" i="1"/>
  <c r="I40" i="1"/>
  <c r="M39" i="1"/>
  <c r="N39" i="1"/>
  <c r="I39" i="1"/>
  <c r="M38" i="1"/>
  <c r="N38" i="1"/>
  <c r="I38" i="1"/>
  <c r="M37" i="1"/>
  <c r="N37" i="1"/>
  <c r="I37" i="1"/>
  <c r="M36" i="1"/>
  <c r="N36" i="1"/>
  <c r="I36" i="1"/>
  <c r="M35" i="1"/>
  <c r="N35" i="1"/>
  <c r="I35" i="1"/>
  <c r="M34" i="1"/>
  <c r="N34" i="1"/>
  <c r="I34" i="1"/>
  <c r="M33" i="1"/>
  <c r="I33" i="1"/>
  <c r="M32" i="1"/>
  <c r="I32" i="1"/>
  <c r="M31" i="1"/>
  <c r="I31" i="1"/>
  <c r="M30" i="1"/>
  <c r="L30" i="1"/>
  <c r="N30" i="1"/>
  <c r="I30" i="1"/>
  <c r="AC30" i="1"/>
  <c r="M29" i="1"/>
  <c r="N29" i="1"/>
  <c r="I29" i="1"/>
  <c r="M28" i="1"/>
  <c r="N28" i="1"/>
  <c r="I28" i="1"/>
  <c r="M27" i="1"/>
  <c r="N27" i="1"/>
  <c r="I27" i="1"/>
  <c r="M26" i="1"/>
  <c r="N26" i="1"/>
  <c r="I26" i="1"/>
  <c r="N25" i="1"/>
  <c r="I25" i="1"/>
  <c r="M24" i="1"/>
  <c r="I24" i="1"/>
  <c r="M23" i="1"/>
  <c r="I23" i="1"/>
  <c r="M22" i="1"/>
  <c r="I22" i="1"/>
  <c r="M21" i="1"/>
  <c r="N21" i="1"/>
  <c r="I21" i="1"/>
  <c r="M20" i="1"/>
  <c r="N20" i="1"/>
  <c r="I20" i="1"/>
  <c r="M19" i="1"/>
  <c r="N19" i="1"/>
  <c r="I19" i="1"/>
  <c r="M18" i="1"/>
  <c r="N18" i="1"/>
  <c r="I18" i="1"/>
  <c r="N17" i="1"/>
  <c r="I17" i="1"/>
  <c r="N16" i="1"/>
  <c r="I16" i="1"/>
  <c r="N15" i="1"/>
  <c r="I15" i="1"/>
  <c r="M14" i="1"/>
  <c r="N14" i="1"/>
  <c r="I14" i="1"/>
  <c r="M13" i="1"/>
  <c r="N13" i="1"/>
  <c r="I13" i="1"/>
  <c r="M12" i="1"/>
  <c r="N12" i="1"/>
  <c r="I12" i="1"/>
  <c r="M11" i="1"/>
  <c r="N11" i="1"/>
  <c r="I11" i="1"/>
  <c r="M10" i="1"/>
  <c r="N10" i="1"/>
  <c r="I9" i="1"/>
  <c r="AC9" i="1"/>
  <c r="M8" i="1"/>
  <c r="N8" i="1"/>
  <c r="M7" i="1"/>
  <c r="N7" i="1"/>
  <c r="AC7" i="1"/>
  <c r="M6" i="1"/>
  <c r="N6" i="1"/>
  <c r="B117" i="1"/>
  <c r="R117" i="1"/>
  <c r="W117" i="1"/>
  <c r="B116" i="1"/>
  <c r="R116" i="1"/>
  <c r="W116" i="1"/>
  <c r="B115" i="1"/>
  <c r="R115" i="1"/>
  <c r="W115" i="1"/>
  <c r="B114" i="1"/>
  <c r="R114" i="1"/>
  <c r="B113" i="1"/>
  <c r="R113" i="1"/>
  <c r="W113" i="1"/>
  <c r="B112" i="1"/>
  <c r="R112" i="1"/>
  <c r="W112" i="1"/>
  <c r="B111" i="1"/>
  <c r="R111" i="1"/>
  <c r="W111" i="1"/>
  <c r="B110" i="1"/>
  <c r="R110" i="1"/>
  <c r="W110" i="1"/>
  <c r="B109" i="1"/>
  <c r="R109" i="1"/>
  <c r="W109" i="1"/>
  <c r="B108" i="1"/>
  <c r="R108" i="1"/>
  <c r="W108" i="1"/>
  <c r="B107" i="1"/>
  <c r="R107" i="1"/>
  <c r="W107" i="1"/>
  <c r="W106" i="1"/>
  <c r="B103" i="1"/>
  <c r="R103" i="1"/>
  <c r="B102" i="1"/>
  <c r="R102" i="1"/>
  <c r="W102" i="1"/>
  <c r="B101" i="1"/>
  <c r="R101" i="1"/>
  <c r="W101" i="1"/>
  <c r="B100" i="1"/>
  <c r="R100" i="1"/>
  <c r="W100" i="1"/>
  <c r="B99" i="1"/>
  <c r="R99" i="1"/>
  <c r="W99" i="1"/>
  <c r="B98" i="1"/>
  <c r="R98" i="1"/>
  <c r="W98" i="1"/>
  <c r="B97" i="1"/>
  <c r="R97" i="1"/>
  <c r="W97" i="1"/>
  <c r="B96" i="1"/>
  <c r="R96" i="1"/>
  <c r="B95" i="1"/>
  <c r="R95" i="1"/>
  <c r="B94" i="1"/>
  <c r="R94" i="1"/>
  <c r="W94" i="1"/>
  <c r="B93" i="1"/>
  <c r="R93" i="1"/>
  <c r="W93" i="1"/>
  <c r="B92" i="1"/>
  <c r="R92" i="1"/>
  <c r="W92" i="1"/>
  <c r="B91" i="1"/>
  <c r="R91" i="1"/>
  <c r="W91" i="1"/>
  <c r="B90" i="1"/>
  <c r="R90" i="1"/>
  <c r="W90" i="1"/>
  <c r="B89" i="1"/>
  <c r="R89" i="1"/>
  <c r="W89" i="1"/>
  <c r="B88" i="1"/>
  <c r="R88" i="1"/>
  <c r="B87" i="1"/>
  <c r="R87" i="1"/>
  <c r="W87" i="1"/>
  <c r="B86" i="1"/>
  <c r="R86" i="1"/>
  <c r="W86" i="1"/>
  <c r="B85" i="1"/>
  <c r="R85" i="1"/>
  <c r="W85" i="1"/>
  <c r="B82" i="1"/>
  <c r="R82" i="1"/>
  <c r="B81" i="1"/>
  <c r="R81" i="1"/>
  <c r="W81" i="1"/>
  <c r="B80" i="1"/>
  <c r="R80" i="1"/>
  <c r="W80" i="1"/>
  <c r="B79" i="1"/>
  <c r="R79" i="1"/>
  <c r="W79" i="1"/>
  <c r="B78" i="1"/>
  <c r="R78" i="1"/>
  <c r="B77" i="1"/>
  <c r="R77" i="1"/>
  <c r="W77" i="1"/>
  <c r="B76" i="1"/>
  <c r="R76" i="1"/>
  <c r="W76" i="1"/>
  <c r="B75" i="1"/>
  <c r="R75" i="1"/>
  <c r="W75" i="1"/>
  <c r="B74" i="1"/>
  <c r="R74" i="1"/>
  <c r="W74" i="1"/>
  <c r="B73" i="1"/>
  <c r="R73" i="1"/>
  <c r="W73" i="1"/>
  <c r="B72" i="1"/>
  <c r="R72" i="1"/>
  <c r="W72" i="1"/>
  <c r="B71" i="1"/>
  <c r="R71" i="1"/>
  <c r="W71" i="1"/>
  <c r="B70" i="1"/>
  <c r="R70" i="1"/>
  <c r="W70" i="1"/>
  <c r="B69" i="1"/>
  <c r="R69" i="1"/>
  <c r="W69" i="1"/>
  <c r="B68" i="1"/>
  <c r="R68" i="1"/>
  <c r="W68" i="1"/>
  <c r="B67" i="1"/>
  <c r="R67" i="1"/>
  <c r="W67" i="1"/>
  <c r="B66" i="1"/>
  <c r="R66" i="1"/>
  <c r="W66" i="1"/>
  <c r="B65" i="1"/>
  <c r="R65" i="1"/>
  <c r="W65" i="1"/>
  <c r="B64" i="1"/>
  <c r="R64" i="1"/>
  <c r="W64" i="1"/>
  <c r="B63" i="1"/>
  <c r="R63" i="1"/>
  <c r="W63" i="1"/>
  <c r="B62" i="1"/>
  <c r="R62" i="1"/>
  <c r="W62" i="1"/>
  <c r="B61" i="1"/>
  <c r="R61" i="1"/>
  <c r="W61" i="1"/>
  <c r="B60" i="1"/>
  <c r="R60" i="1"/>
  <c r="W60" i="1"/>
  <c r="B59" i="1"/>
  <c r="R59" i="1"/>
  <c r="W59" i="1"/>
  <c r="B58" i="1"/>
  <c r="R58" i="1"/>
  <c r="W58" i="1"/>
  <c r="B57" i="1"/>
  <c r="R57" i="1"/>
  <c r="W57" i="1"/>
  <c r="B56" i="1"/>
  <c r="R56" i="1"/>
  <c r="W56" i="1"/>
  <c r="B55" i="1"/>
  <c r="R55" i="1"/>
  <c r="W55" i="1"/>
  <c r="B54" i="1"/>
  <c r="R54" i="1"/>
  <c r="W54" i="1"/>
  <c r="B53" i="1"/>
  <c r="R53" i="1"/>
  <c r="W53" i="1"/>
  <c r="B52" i="1"/>
  <c r="R52" i="1"/>
  <c r="W52" i="1"/>
  <c r="B51" i="1"/>
  <c r="R51" i="1"/>
  <c r="B50" i="1"/>
  <c r="R50" i="1"/>
  <c r="W50" i="1"/>
  <c r="B49" i="1"/>
  <c r="R49" i="1"/>
  <c r="W49" i="1"/>
  <c r="B48" i="1"/>
  <c r="R48" i="1"/>
  <c r="W48" i="1"/>
  <c r="B47" i="1"/>
  <c r="R47" i="1"/>
  <c r="W47" i="1"/>
  <c r="B46" i="1"/>
  <c r="R46" i="1"/>
  <c r="W46" i="1"/>
  <c r="B45" i="1"/>
  <c r="R45" i="1"/>
  <c r="W45" i="1"/>
  <c r="B44" i="1"/>
  <c r="R44" i="1"/>
  <c r="W44" i="1"/>
  <c r="B43" i="1"/>
  <c r="R43" i="1"/>
  <c r="W43" i="1"/>
  <c r="B42" i="1"/>
  <c r="R42" i="1"/>
  <c r="W42" i="1"/>
  <c r="B41" i="1"/>
  <c r="R41" i="1"/>
  <c r="W41" i="1"/>
  <c r="B40" i="1"/>
  <c r="R40" i="1"/>
  <c r="W40" i="1"/>
  <c r="B39" i="1"/>
  <c r="R39" i="1"/>
  <c r="W39" i="1"/>
  <c r="B38" i="1"/>
  <c r="R38" i="1"/>
  <c r="W38" i="1"/>
  <c r="B37" i="1"/>
  <c r="R37" i="1"/>
  <c r="W37" i="1"/>
  <c r="B36" i="1"/>
  <c r="R36" i="1"/>
  <c r="W36" i="1"/>
  <c r="B35" i="1"/>
  <c r="R35" i="1"/>
  <c r="W35" i="1"/>
  <c r="B34" i="1"/>
  <c r="R34" i="1"/>
  <c r="W34" i="1"/>
  <c r="B33" i="1"/>
  <c r="R33" i="1"/>
  <c r="W33" i="1"/>
  <c r="B32" i="1"/>
  <c r="R32" i="1"/>
  <c r="W32" i="1"/>
  <c r="B31" i="1"/>
  <c r="R31" i="1"/>
  <c r="W31" i="1"/>
  <c r="B30" i="1"/>
  <c r="R30" i="1"/>
  <c r="B29" i="1"/>
  <c r="R29" i="1"/>
  <c r="W29" i="1"/>
  <c r="B28" i="1"/>
  <c r="R28" i="1"/>
  <c r="W28" i="1"/>
  <c r="B27" i="1"/>
  <c r="R27" i="1"/>
  <c r="W27" i="1"/>
  <c r="B26" i="1"/>
  <c r="R26" i="1"/>
  <c r="W26" i="1"/>
  <c r="W25" i="1"/>
  <c r="B24" i="1"/>
  <c r="R24" i="1"/>
  <c r="W24" i="1"/>
  <c r="B23" i="1"/>
  <c r="R23" i="1"/>
  <c r="W23" i="1"/>
  <c r="B22" i="1"/>
  <c r="R22" i="1"/>
  <c r="W22" i="1"/>
  <c r="B21" i="1"/>
  <c r="R21" i="1"/>
  <c r="W21" i="1"/>
  <c r="B20" i="1"/>
  <c r="R20" i="1"/>
  <c r="B19" i="1"/>
  <c r="R19" i="1"/>
  <c r="B18" i="1"/>
  <c r="R18" i="1"/>
  <c r="B17" i="1"/>
  <c r="R17" i="1"/>
  <c r="B16" i="1"/>
  <c r="R16" i="1"/>
  <c r="B15" i="1"/>
  <c r="R15" i="1"/>
  <c r="B14" i="1"/>
  <c r="R14" i="1"/>
  <c r="B13" i="1"/>
  <c r="R13" i="1"/>
  <c r="AD13" i="1"/>
  <c r="W13" i="1"/>
  <c r="B12" i="1"/>
  <c r="R12" i="1"/>
  <c r="AD12" i="1"/>
  <c r="W12" i="1"/>
  <c r="B11" i="1"/>
  <c r="R11" i="1"/>
  <c r="AD11" i="1"/>
  <c r="W11" i="1"/>
  <c r="B10" i="1"/>
  <c r="R10" i="1"/>
  <c r="AD10" i="1"/>
  <c r="W10" i="1"/>
  <c r="B9" i="1"/>
  <c r="B8" i="1"/>
  <c r="R8" i="1"/>
  <c r="B7" i="1"/>
  <c r="R7" i="1"/>
  <c r="B6" i="1"/>
  <c r="R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B46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B24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M126" i="1"/>
  <c r="K3" i="4"/>
  <c r="AB125" i="1"/>
  <c r="Y125" i="1"/>
  <c r="AA125" i="1"/>
  <c r="X125" i="1"/>
  <c r="T125" i="1"/>
  <c r="W125" i="1"/>
  <c r="P125" i="1"/>
  <c r="R125" i="1"/>
  <c r="L125" i="1"/>
  <c r="J16" i="4"/>
  <c r="I125" i="1"/>
  <c r="G16" i="4"/>
  <c r="AB124" i="1"/>
  <c r="Y124" i="1"/>
  <c r="AA124" i="1"/>
  <c r="X124" i="1"/>
  <c r="T124" i="1"/>
  <c r="W124" i="1"/>
  <c r="P124" i="1"/>
  <c r="R124" i="1"/>
  <c r="L124" i="1"/>
  <c r="J15" i="4"/>
  <c r="I124" i="1"/>
  <c r="G15" i="4"/>
  <c r="AB123" i="1"/>
  <c r="Y123" i="1"/>
  <c r="AA123" i="1"/>
  <c r="X123" i="1"/>
  <c r="T123" i="1"/>
  <c r="W123" i="1"/>
  <c r="P123" i="1"/>
  <c r="R123" i="1"/>
  <c r="AB122" i="1"/>
  <c r="Y122" i="1"/>
  <c r="AA122" i="1"/>
  <c r="X122" i="1"/>
  <c r="T122" i="1"/>
  <c r="W122" i="1"/>
  <c r="P122" i="1"/>
  <c r="R122" i="1"/>
  <c r="L122" i="1"/>
  <c r="J13" i="4"/>
  <c r="I122" i="1"/>
  <c r="G13" i="4"/>
  <c r="AB121" i="1"/>
  <c r="Y121" i="1"/>
  <c r="AA121" i="1"/>
  <c r="X121" i="1"/>
  <c r="T121" i="1"/>
  <c r="W121" i="1"/>
  <c r="P121" i="1"/>
  <c r="R121" i="1"/>
  <c r="AB120" i="1"/>
  <c r="Y120" i="1"/>
  <c r="AA120" i="1"/>
  <c r="X120" i="1"/>
  <c r="T120" i="1"/>
  <c r="W120" i="1"/>
  <c r="P120" i="1"/>
  <c r="R120" i="1"/>
  <c r="AB119" i="1"/>
  <c r="AB126" i="1"/>
  <c r="Y119" i="1"/>
  <c r="X119" i="1"/>
  <c r="X126" i="1"/>
  <c r="G6" i="4"/>
  <c r="T119" i="1"/>
  <c r="P119" i="1"/>
  <c r="L120" i="1"/>
  <c r="J11" i="4"/>
  <c r="L123" i="1"/>
  <c r="J14" i="4"/>
  <c r="L121" i="1"/>
  <c r="J12" i="4"/>
  <c r="L119" i="1"/>
  <c r="J10" i="4"/>
  <c r="N116" i="1"/>
  <c r="N112" i="1"/>
  <c r="N109" i="1"/>
  <c r="N108" i="1"/>
  <c r="N107" i="1"/>
  <c r="N102" i="1"/>
  <c r="N101" i="1"/>
  <c r="N100" i="1"/>
  <c r="N99" i="1"/>
  <c r="N98" i="1"/>
  <c r="N97" i="1"/>
  <c r="N91" i="1"/>
  <c r="N90" i="1"/>
  <c r="N89" i="1"/>
  <c r="N81" i="1"/>
  <c r="N80" i="1"/>
  <c r="N79" i="1"/>
  <c r="N64" i="1"/>
  <c r="N63" i="1"/>
  <c r="N62" i="1"/>
  <c r="N61" i="1"/>
  <c r="N57" i="1"/>
  <c r="N56" i="1"/>
  <c r="N55" i="1"/>
  <c r="N54" i="1"/>
  <c r="N53" i="1"/>
  <c r="N52" i="1"/>
  <c r="N33" i="1"/>
  <c r="N32" i="1"/>
  <c r="N31" i="1"/>
  <c r="N24" i="1"/>
  <c r="N23" i="1"/>
  <c r="N22" i="1"/>
  <c r="O104" i="1"/>
  <c r="K104" i="1"/>
  <c r="O105" i="1"/>
  <c r="K105" i="1"/>
  <c r="AD83" i="1"/>
  <c r="AD84" i="1"/>
  <c r="J84" i="1"/>
  <c r="J83" i="1"/>
  <c r="J14" i="1"/>
  <c r="AD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O10" i="1"/>
  <c r="K11" i="1"/>
  <c r="O11" i="1"/>
  <c r="K12" i="1"/>
  <c r="O12" i="1"/>
  <c r="K13" i="1"/>
  <c r="O13" i="1"/>
  <c r="K15" i="1"/>
  <c r="K16" i="1"/>
  <c r="K17" i="1"/>
  <c r="K18" i="1"/>
  <c r="K19" i="1"/>
  <c r="K20" i="1"/>
  <c r="K21" i="1"/>
  <c r="O21" i="1"/>
  <c r="K22" i="1"/>
  <c r="O22" i="1"/>
  <c r="K23" i="1"/>
  <c r="O23" i="1"/>
  <c r="K24" i="1"/>
  <c r="O24" i="1"/>
  <c r="K25" i="1"/>
  <c r="O25" i="1"/>
  <c r="K26" i="1"/>
  <c r="O26" i="1"/>
  <c r="K27" i="1"/>
  <c r="O27" i="1"/>
  <c r="K28" i="1"/>
  <c r="O28" i="1"/>
  <c r="K29" i="1"/>
  <c r="O29" i="1"/>
  <c r="K31" i="1"/>
  <c r="O31" i="1"/>
  <c r="K32" i="1"/>
  <c r="O32" i="1"/>
  <c r="K33" i="1"/>
  <c r="O33" i="1"/>
  <c r="K34" i="1"/>
  <c r="O34" i="1"/>
  <c r="K35" i="1"/>
  <c r="O35" i="1"/>
  <c r="K36" i="1"/>
  <c r="O36" i="1"/>
  <c r="K37" i="1"/>
  <c r="O37" i="1"/>
  <c r="K38" i="1"/>
  <c r="O38" i="1"/>
  <c r="K39" i="1"/>
  <c r="O39" i="1"/>
  <c r="K40" i="1"/>
  <c r="O40" i="1"/>
  <c r="K41" i="1"/>
  <c r="O41" i="1"/>
  <c r="K42" i="1"/>
  <c r="O42" i="1"/>
  <c r="K43" i="1"/>
  <c r="O43" i="1"/>
  <c r="K44" i="1"/>
  <c r="O44" i="1"/>
  <c r="K45" i="1"/>
  <c r="O45" i="1"/>
  <c r="K46" i="1"/>
  <c r="O46" i="1"/>
  <c r="K47" i="1"/>
  <c r="O47" i="1"/>
  <c r="K48" i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R9" i="1"/>
  <c r="J9" i="1"/>
  <c r="L42" i="2"/>
  <c r="AD6" i="1"/>
  <c r="AD7" i="1"/>
  <c r="AD8" i="1"/>
  <c r="AD14" i="1"/>
  <c r="W14" i="1" s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O49" i="1"/>
  <c r="AD50" i="1"/>
  <c r="O50" i="1"/>
  <c r="AD51" i="1"/>
  <c r="AD52" i="1"/>
  <c r="AD53" i="1"/>
  <c r="AD54" i="1"/>
  <c r="AD55" i="1"/>
  <c r="AD56" i="1"/>
  <c r="AD57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C119" i="1"/>
  <c r="J119" i="1"/>
  <c r="H10" i="4"/>
  <c r="L126" i="1"/>
  <c r="J3" i="4"/>
  <c r="AD119" i="1"/>
  <c r="O119" i="1"/>
  <c r="L10" i="4"/>
  <c r="P126" i="1"/>
  <c r="G7" i="4"/>
  <c r="R119" i="1"/>
  <c r="R126" i="1"/>
  <c r="H7" i="4"/>
  <c r="T126" i="1"/>
  <c r="J7" i="4"/>
  <c r="W119" i="1"/>
  <c r="Y126" i="1"/>
  <c r="J6" i="4"/>
  <c r="AA119" i="1"/>
  <c r="AC120" i="1"/>
  <c r="J120" i="1"/>
  <c r="AD120" i="1"/>
  <c r="O120" i="1"/>
  <c r="L11" i="4"/>
  <c r="AC121" i="1"/>
  <c r="J121" i="1"/>
  <c r="AD121" i="1"/>
  <c r="O121" i="1"/>
  <c r="L12" i="4"/>
  <c r="AC122" i="1"/>
  <c r="J122" i="1"/>
  <c r="AD122" i="1"/>
  <c r="O122" i="1"/>
  <c r="L13" i="4"/>
  <c r="AC123" i="1"/>
  <c r="J123" i="1"/>
  <c r="AD123" i="1"/>
  <c r="O123" i="1"/>
  <c r="L14" i="4"/>
  <c r="AC124" i="1"/>
  <c r="J124" i="1"/>
  <c r="AD124" i="1"/>
  <c r="O124" i="1"/>
  <c r="L15" i="4"/>
  <c r="AC125" i="1"/>
  <c r="J125" i="1"/>
  <c r="AD125" i="1"/>
  <c r="O125" i="1"/>
  <c r="L16" i="4"/>
  <c r="O8" i="1"/>
  <c r="W8" i="1"/>
  <c r="O7" i="1"/>
  <c r="W7" i="1"/>
  <c r="O6" i="1"/>
  <c r="W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C126" i="1"/>
  <c r="G3" i="4"/>
  <c r="AA127" i="1"/>
  <c r="AA126" i="1"/>
  <c r="L6" i="4"/>
  <c r="W126" i="1"/>
  <c r="L7" i="4"/>
  <c r="AD126" i="1"/>
  <c r="O126" i="1"/>
  <c r="L3" i="4"/>
  <c r="J126" i="1"/>
  <c r="H3" i="4"/>
  <c r="I3" i="4"/>
  <c r="I10" i="4"/>
  <c r="W20" i="1" l="1"/>
  <c r="O20" i="1"/>
  <c r="W19" i="1"/>
  <c r="O19" i="1"/>
  <c r="W18" i="1"/>
  <c r="O18" i="1"/>
  <c r="W17" i="1"/>
  <c r="O17" i="1"/>
  <c r="W16" i="1"/>
  <c r="O16" i="1"/>
  <c r="W15" i="1"/>
  <c r="O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tc={D12E88C0-5F11-4859-94F9-2082A8684976}</author>
  </authors>
  <commentList>
    <comment ref="M15" authorId="0" shapeId="0" xr:uid="{D12E88C0-5F11-4859-94F9-2082A868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Budget is $50k per performance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tc={61725B82-AD7D-44FD-B698-6A6C02CF8433}</author>
  </authors>
  <commentList>
    <comment ref="I7" authorId="0" shapeId="0" xr:uid="{61725B82-AD7D-44FD-B698-6A6C02CF843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is a round # across 3 performances</t>
      </text>
    </comment>
  </commentList>
</comments>
</file>

<file path=xl/sharedStrings.xml><?xml version="1.0" encoding="utf-8"?>
<sst xmlns="http://schemas.openxmlformats.org/spreadsheetml/2006/main" count="936" uniqueCount="461">
  <si>
    <t>Status:</t>
  </si>
  <si>
    <t>Updated 9/1</t>
  </si>
  <si>
    <t>Denotes Piazza</t>
  </si>
  <si>
    <t>Update all fields in Blue each week</t>
  </si>
  <si>
    <t>We expect 50% of Single Sales 1 Week Prior</t>
  </si>
  <si>
    <t>85%+ occupancy</t>
  </si>
  <si>
    <t>95%+ of Budget</t>
  </si>
  <si>
    <t>100%+ of Target</t>
  </si>
  <si>
    <t xml:space="preserve"> </t>
  </si>
  <si>
    <t>70-85% occupancy</t>
  </si>
  <si>
    <t>85-95% of Budget</t>
  </si>
  <si>
    <t>90-99% of Target</t>
  </si>
  <si>
    <t>Week #</t>
  </si>
  <si>
    <t>&lt;70% occupancy</t>
  </si>
  <si>
    <t>&lt;85% of Budget</t>
  </si>
  <si>
    <t>&lt;90% of Target</t>
  </si>
  <si>
    <t>TICKET SALES REPORT as of 9/1/2025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</si>
  <si>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</si>
  <si>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</si>
  <si>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</si>
  <si>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</si>
  <si>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</si>
  <si>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</si>
  <si>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</si>
  <si>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</si>
  <si>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</si>
  <si>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</si>
  <si>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</si>
  <si>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</si>
  <si>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</si>
  <si>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Total Tickets Sold</t>
  </si>
  <si>
    <t>Projected Single Tickets + Actual Subs</t>
  </si>
  <si>
    <t>Projected Total OCC at Performance</t>
  </si>
  <si>
    <t>Total Actual Revenue</t>
  </si>
  <si>
    <t>TOTAL BUDGET</t>
  </si>
  <si>
    <t>Actual/
Budget %</t>
  </si>
  <si>
    <t>Projected/ Budget %</t>
  </si>
  <si>
    <t>Actual Single Tickets Sold</t>
  </si>
  <si>
    <t>Target Single Tickets for 85% OCC</t>
  </si>
  <si>
    <t>Projected Tickets</t>
  </si>
  <si>
    <t>Projected Single Tickets vs 85% OCC Target</t>
  </si>
  <si>
    <t>Actual Revenue</t>
  </si>
  <si>
    <t>BUDGET</t>
  </si>
  <si>
    <t>Actual Sub Tickets Sold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</si>
  <si>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</si>
  <si>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</si>
  <si>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</si>
  <si>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</si>
  <si>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</si>
  <si>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</si>
  <si>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</si>
  <si>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</si>
  <si>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</si>
  <si>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</si>
  <si>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</si>
  <si>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</si>
  <si>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</si>
  <si>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</si>
  <si>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</si>
  <si>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</si>
  <si>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</si>
  <si>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</si>
  <si>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</si>
  <si>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</si>
  <si>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</si>
  <si>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</si>
  <si>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Night of Symphonic 90s</t>
  </si>
  <si>
    <t>26 On-Stage 1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</si>
  <si>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</si>
  <si>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</si>
  <si>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</si>
  <si>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</si>
  <si>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</si>
  <si>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</si>
  <si>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</si>
  <si>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</si>
  <si>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</si>
  <si>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</si>
  <si>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</si>
  <si>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</si>
  <si>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</si>
  <si>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</si>
  <si>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</si>
  <si>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</si>
  <si>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</si>
  <si>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</si>
  <si>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</si>
  <si>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</si>
  <si>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</si>
  <si>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</si>
  <si>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</si>
  <si>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</si>
  <si>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</si>
  <si>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</si>
  <si>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</si>
  <si>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</si>
  <si>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</si>
  <si>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</si>
  <si>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</si>
  <si>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</si>
  <si>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</si>
  <si>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</si>
  <si>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</si>
  <si>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</si>
  <si>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</si>
  <si>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</si>
  <si>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</si>
  <si>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</si>
  <si>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</si>
  <si>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</si>
  <si>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</si>
  <si>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</si>
  <si>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</si>
  <si>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</si>
  <si>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</si>
  <si>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</si>
  <si>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</si>
  <si>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</si>
  <si>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</si>
  <si>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</si>
  <si>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</si>
  <si>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Mon</t>
  </si>
  <si>
    <t>Wed</t>
  </si>
  <si>
    <t>Mon (Est)</t>
  </si>
  <si>
    <t>PS1 Journey</t>
  </si>
  <si>
    <t>Sellout Target</t>
  </si>
  <si>
    <t># Weeks Until Performance</t>
  </si>
  <si>
    <t>Other</t>
  </si>
  <si>
    <t>9/19/2025 Sales</t>
  </si>
  <si>
    <t>9/20/2025 Sales</t>
  </si>
  <si>
    <t>9/21/2025 Sales</t>
  </si>
  <si>
    <t>Pace for 85% OCC</t>
  </si>
  <si>
    <t>Avg/Show vs Target Pace: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</si>
  <si>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</si>
  <si>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</si>
  <si>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</si>
  <si>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</si>
  <si>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</si>
  <si>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</si>
  <si>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</si>
  <si>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</si>
  <si>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</si>
  <si>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</si>
  <si>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</si>
  <si>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</si>
  <si>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</si>
  <si>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</si>
  <si>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</si>
  <si>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</si>
  <si>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</si>
  <si>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</si>
  <si>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</si>
  <si>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</si>
  <si>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</si>
  <si>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</si>
  <si>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</si>
  <si>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</si>
  <si>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</si>
  <si>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</si>
  <si>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</si>
  <si>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</si>
  <si>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</si>
  <si>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</si>
  <si>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</si>
  <si>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</si>
  <si>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</si>
  <si>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</si>
  <si>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</si>
  <si>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</si>
  <si>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</si>
  <si>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</si>
  <si>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</si>
  <si>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</si>
  <si>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</si>
  <si>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</si>
  <si>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</si>
  <si>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</si>
  <si>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</si>
  <si>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</si>
  <si>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</si>
  <si>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</si>
  <si>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</si>
  <si>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</si>
  <si>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</si>
  <si>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</si>
  <si>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</si>
  <si>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</si>
  <si>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</si>
  <si>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</si>
  <si>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</si>
  <si>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</si>
  <si>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</si>
  <si>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</si>
  <si>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</si>
  <si>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</si>
  <si>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</si>
  <si>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</si>
  <si>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</si>
  <si>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</si>
  <si>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</si>
  <si>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</si>
  <si>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</si>
  <si>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</si>
  <si>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</si>
  <si>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</si>
  <si>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</si>
  <si>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</si>
  <si>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</si>
  <si>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</si>
  <si>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</si>
  <si>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</si>
  <si>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</si>
  <si>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</si>
  <si>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</si>
  <si>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</si>
  <si>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</si>
  <si>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</si>
  <si>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</si>
  <si>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</si>
  <si>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</si>
  <si>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</si>
  <si>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</si>
  <si>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</si>
  <si>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</si>
  <si>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</si>
  <si>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</si>
  <si>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</si>
  <si>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</si>
  <si>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</si>
  <si>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</si>
  <si>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</si>
  <si>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</si>
  <si>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</si>
  <si>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</si>
  <si>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</si>
  <si>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</si>
  <si>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</si>
  <si>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</si>
  <si>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</si>
  <si>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</si>
  <si>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</si>
  <si>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</si>
  <si>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</si>
  <si>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</si>
  <si>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</si>
  <si>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</si>
  <si>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</si>
  <si>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</si>
  <si>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</si>
  <si>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</si>
  <si>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</si>
  <si>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</si>
  <si>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</si>
  <si>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</si>
  <si>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</si>
  <si>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</si>
  <si>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</si>
  <si>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</si>
  <si>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</si>
  <si>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</si>
  <si>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</si>
  <si>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</si>
  <si>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</si>
  <si>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</si>
  <si>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</si>
  <si>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</si>
  <si>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</si>
  <si>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</si>
  <si>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</si>
  <si>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</si>
  <si>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</si>
  <si>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</si>
  <si>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</si>
  <si>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New Subs</t>
  </si>
  <si>
    <t>Renewal Subs</t>
  </si>
  <si>
    <t># Weeks On Sale</t>
  </si>
  <si>
    <t>Extend data for single ticket sales beyond 6 weeks</t>
  </si>
  <si>
    <t>Differentiate single ticket sales by performance type</t>
  </si>
  <si>
    <t>Improve pacing data (always)</t>
  </si>
  <si>
    <t>DATE</t>
  </si>
  <si>
    <t>Social Post</t>
  </si>
  <si>
    <t>Views</t>
  </si>
  <si>
    <t>Engagement</t>
  </si>
  <si>
    <t>Chicken Fried IG</t>
  </si>
  <si>
    <t>11 interactions</t>
  </si>
  <si>
    <t>Chicken Fried FB</t>
  </si>
  <si>
    <t>15 interactions, 6 link clicks</t>
  </si>
  <si>
    <t>Journey Reel IG</t>
  </si>
  <si>
    <t>16 interactions</t>
  </si>
  <si>
    <t>Journey Reel FB</t>
  </si>
  <si>
    <t>12 interactions</t>
  </si>
  <si>
    <t>KC Blues Society Video IG</t>
  </si>
  <si>
    <t>32 interactions</t>
  </si>
  <si>
    <t>KC Blues Society Video FB</t>
  </si>
  <si>
    <t>19 interactions, 61 link clicks</t>
  </si>
  <si>
    <t>CS1 Nora Video IG</t>
  </si>
  <si>
    <t>42 interactions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</si>
  <si>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</si>
  <si>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</si>
  <si>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</si>
  <si>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</si>
  <si>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</si>
  <si>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</si>
  <si>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</si>
  <si>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</si>
  <si>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65 interactions</t>
  </si>
  <si>
    <t>Nora Intro FB</t>
  </si>
  <si>
    <t>31 interactions</t>
  </si>
  <si>
    <t>Journey Graphic IG</t>
  </si>
  <si>
    <t>29 interactions</t>
  </si>
  <si>
    <t>Journey Graphic FB</t>
  </si>
  <si>
    <t>28 interactions, 22 link clicks</t>
  </si>
  <si>
    <t>Meta Ads</t>
  </si>
  <si>
    <t>7/30-8/13</t>
  </si>
  <si>
    <t>Morgan Freeman video</t>
  </si>
  <si>
    <t>88,119 impressions</t>
  </si>
  <si>
    <t>3,269 link clicks</t>
  </si>
  <si>
    <t>Ends 8/22</t>
  </si>
  <si>
    <t>Music of Journey</t>
  </si>
  <si>
    <t>56,165 impressions</t>
  </si>
  <si>
    <t>3,537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</si>
  <si>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</si>
  <si>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</si>
  <si>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</si>
  <si>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</si>
  <si>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</si>
  <si>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</si>
  <si>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</si>
  <si>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</si>
  <si>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</si>
  <si>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>13 interactions</t>
  </si>
  <si>
    <t xml:space="preserve"> Music is for Everyone IG Reel</t>
  </si>
  <si>
    <t>36 interactions</t>
  </si>
  <si>
    <t xml:space="preserve"> Music is for Everyone TikTok</t>
  </si>
  <si>
    <t>Are you single? FB Reel</t>
  </si>
  <si>
    <t>22 interactions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</si>
  <si>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</si>
  <si>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</si>
  <si>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</si>
  <si>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</si>
  <si>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</si>
  <si>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</si>
  <si>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</si>
  <si>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</si>
  <si>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</si>
  <si>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</si>
  <si>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</si>
  <si>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</si>
  <si>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</si>
  <si>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</si>
  <si>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</si>
  <si>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24 interactions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</si>
  <si>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</si>
  <si>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</si>
  <si>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</si>
  <si>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</si>
  <si>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</si>
  <si>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</si>
  <si>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</si>
  <si>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51 interactions</t>
  </si>
  <si>
    <t>Music is for Everyone YT</t>
  </si>
  <si>
    <t>Specials/Films ad</t>
  </si>
  <si>
    <t>1k impressions</t>
  </si>
  <si>
    <t xml:space="preserve">18 clicks </t>
  </si>
  <si>
    <t>22k impressions</t>
  </si>
  <si>
    <t>1234 link clicks</t>
  </si>
  <si>
    <t>Holiday concerts ad</t>
  </si>
  <si>
    <t>68k impressions</t>
  </si>
  <si>
    <t>1011 link clicks</t>
  </si>
  <si>
    <t>EMAILS SENT</t>
  </si>
  <si>
    <t>DELIVERIES</t>
  </si>
  <si>
    <t>OPENS</t>
  </si>
  <si>
    <t>CLICK RATE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</si>
  <si>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</si>
  <si>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</si>
  <si>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</si>
  <si>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</si>
  <si>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</si>
  <si>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</si>
  <si>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</si>
  <si>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</si>
  <si>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</si>
  <si>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</si>
  <si>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</si>
  <si>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</si>
  <si>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</si>
  <si>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</si>
  <si>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</si>
  <si>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</si>
  <si>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</si>
  <si>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</si>
  <si>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</si>
  <si>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</si>
  <si>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</si>
  <si>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</si>
  <si>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</si>
  <si>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</rPr>
      <t xml:space="preserve">Tuesday 7/1 </t>
    </r>
    <r>
      <rPr>
        <b/>
        <sz val="10"/>
        <color rgb="FF000000"/>
        <rFont val="Arial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</si>
  <si>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</si>
  <si>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</si>
  <si>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</si>
  <si>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</rPr>
      <t xml:space="preserve">Tuesday 6/25 </t>
    </r>
    <r>
      <rPr>
        <b/>
        <sz val="10"/>
        <color rgb="FF000000"/>
        <rFont val="Arial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</si>
  <si>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</si>
  <si>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</si>
  <si>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</si>
  <si>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</rPr>
      <t xml:space="preserve">Tuesday 6/17 </t>
    </r>
    <r>
      <rPr>
        <b/>
        <sz val="10"/>
        <color rgb="FF000000"/>
        <rFont val="Arial"/>
      </rPr>
      <t>Mark Your Calendar</t>
    </r>
  </si>
  <si>
    <t>37,343 (39%)</t>
  </si>
  <si>
    <t>1,999 (2%)</t>
  </si>
  <si>
    <r>
      <rPr>
        <sz val="10"/>
        <color rgb="FF000000"/>
        <rFont val="Arial"/>
      </rPr>
      <t xml:space="preserve">Monday 6/9 </t>
    </r>
    <r>
      <rPr>
        <b/>
        <sz val="10"/>
        <color rgb="FF000000"/>
        <rFont val="Arial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</si>
  <si>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</si>
  <si>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</si>
  <si>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</si>
  <si>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Rush Promo</t>
    </r>
  </si>
  <si>
    <t>77 (44%)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</si>
  <si>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Pass Promo</t>
    </r>
  </si>
  <si>
    <t>38 (47%)</t>
  </si>
  <si>
    <t>AVERAGE OPEN RATE: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</si>
  <si>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BOGO Promo</t>
    </r>
  </si>
  <si>
    <t>2,165 (44%)</t>
  </si>
  <si>
    <t>65 (1%)</t>
  </si>
  <si>
    <r>
      <rPr>
        <sz val="10"/>
        <color rgb="FF000000"/>
        <rFont val="Arial"/>
      </rPr>
      <t>Wednesday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6/4</t>
    </r>
    <r>
      <rPr>
        <b/>
        <sz val="10"/>
        <color rgb="FF000000"/>
        <rFont val="Arial"/>
      </rPr>
      <t xml:space="preserve"> Four Larks Subscriber Early Access</t>
    </r>
  </si>
  <si>
    <t>1,452 (66.5%)</t>
  </si>
  <si>
    <t>135 (6.2%)</t>
  </si>
  <si>
    <t>AVERAGE CLICK RATE:</t>
  </si>
  <si>
    <r>
      <rPr>
        <sz val="10"/>
        <color rgb="FF000000"/>
        <rFont val="Arial"/>
      </rPr>
      <t>Friday 6/6</t>
    </r>
    <r>
      <rPr>
        <b/>
        <sz val="10"/>
        <color rgb="FF000000"/>
        <rFont val="Arial"/>
      </rPr>
      <t xml:space="preserve"> Four Lark Public On-Sale</t>
    </r>
  </si>
  <si>
    <t>35,136 (36%)</t>
  </si>
  <si>
    <t>616 (0.6%)</t>
  </si>
  <si>
    <t>Timeframe: August 11-18</t>
  </si>
  <si>
    <t>ECOMMERCE PURCHASES: 877</t>
  </si>
  <si>
    <t>WEBSITE REVENUE: $74,429</t>
  </si>
  <si>
    <t># OF ITEMS</t>
  </si>
  <si>
    <t>Morgan Freeman</t>
  </si>
  <si>
    <t>Top Gun</t>
  </si>
  <si>
    <t>Leslie Odom Jr.</t>
  </si>
  <si>
    <t>Indiana Jones</t>
  </si>
  <si>
    <t>Elf in Concert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</si>
  <si>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</si>
  <si>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</si>
  <si>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</si>
  <si>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</si>
  <si>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</si>
  <si>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</si>
  <si>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Christmas Festival</t>
  </si>
  <si>
    <t>La nuit sombre</t>
  </si>
  <si>
    <t>Harry Potter 2</t>
  </si>
  <si>
    <t>ECOMMERCE PURCHASES: 1,718</t>
  </si>
  <si>
    <t>WEBSITE REVENUE: $115,644</t>
  </si>
  <si>
    <t>2025/26 Sunday Masterworks</t>
  </si>
  <si>
    <t>Handel's Messiah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</si>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</sst>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  <numFmt numFmtId="171" formatCode="0.0"/>
  </numFmts>
  <fonts count="43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charset val="1"/>
    </font>
    <font>
      <b/>
      <sz val="11"/>
      <color theme="1"/>
      <name val="Aptos Narrow"/>
      <family val="2"/>
      <scheme val="minor"/>
    </font>
    <font>
      <sz val="10"/>
      <name val="Arial Narrow"/>
    </font>
    <font>
      <sz val="10"/>
      <color theme="1"/>
      <name val="Arial Narrow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 Narrow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name val="Arial Narrow"/>
    </font>
    <font>
      <sz val="10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43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2" borderId="8" xfId="0" applyFont="1" applyFill="1" applyBorder="1"/>
    <xf numFmtId="0" fontId="18" fillId="12" borderId="9" xfId="0" applyFont="1" applyFill="1" applyBorder="1"/>
    <xf numFmtId="164" fontId="18" fillId="12" borderId="10" xfId="1" applyNumberFormat="1" applyFont="1" applyFill="1" applyBorder="1"/>
    <xf numFmtId="165" fontId="18" fillId="12" borderId="10" xfId="2" applyNumberFormat="1" applyFont="1" applyFill="1" applyBorder="1"/>
    <xf numFmtId="165" fontId="18" fillId="12" borderId="10" xfId="2" applyNumberFormat="1" applyFont="1" applyFill="1" applyBorder="1" applyAlignment="1">
      <alignment horizontal="center"/>
    </xf>
    <xf numFmtId="165" fontId="18" fillId="12" borderId="9" xfId="2" applyNumberFormat="1" applyFont="1" applyFill="1" applyBorder="1" applyAlignment="1">
      <alignment horizontal="right"/>
    </xf>
    <xf numFmtId="3" fontId="18" fillId="12" borderId="10" xfId="1" applyNumberFormat="1" applyFont="1" applyFill="1" applyBorder="1" applyAlignment="1">
      <alignment horizontal="center"/>
    </xf>
    <xf numFmtId="9" fontId="18" fillId="12" borderId="9" xfId="3" applyFont="1" applyFill="1" applyBorder="1" applyAlignment="1">
      <alignment horizontal="center"/>
    </xf>
    <xf numFmtId="165" fontId="18" fillId="12" borderId="9" xfId="2" applyNumberFormat="1" applyFont="1" applyFill="1" applyBorder="1"/>
    <xf numFmtId="1" fontId="18" fillId="12" borderId="10" xfId="1" applyNumberFormat="1" applyFont="1" applyFill="1" applyBorder="1" applyAlignment="1">
      <alignment horizontal="right"/>
    </xf>
    <xf numFmtId="1" fontId="18" fillId="12" borderId="9" xfId="1" applyNumberFormat="1" applyFont="1" applyFill="1" applyBorder="1" applyAlignment="1">
      <alignment horizontal="right"/>
    </xf>
    <xf numFmtId="1" fontId="18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9" borderId="0" xfId="4" applyFill="1"/>
    <xf numFmtId="9" fontId="19" fillId="8" borderId="0" xfId="4" applyNumberFormat="1" applyFill="1"/>
    <xf numFmtId="0" fontId="19" fillId="8" borderId="0" xfId="4" applyFill="1"/>
    <xf numFmtId="0" fontId="19" fillId="13" borderId="0" xfId="4" applyFill="1"/>
    <xf numFmtId="9" fontId="19" fillId="14" borderId="0" xfId="4" applyNumberFormat="1" applyFill="1"/>
    <xf numFmtId="0" fontId="19" fillId="14" borderId="0" xfId="4" applyFill="1"/>
    <xf numFmtId="0" fontId="19" fillId="15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9" borderId="0" xfId="4" applyNumberFormat="1" applyFill="1"/>
    <xf numFmtId="164" fontId="19" fillId="9" borderId="0" xfId="4" applyNumberFormat="1" applyFill="1"/>
    <xf numFmtId="164" fontId="0" fillId="14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7" borderId="30" xfId="0" applyFont="1" applyFill="1" applyBorder="1" applyAlignment="1">
      <alignment wrapText="1" readingOrder="1"/>
    </xf>
    <xf numFmtId="0" fontId="23" fillId="17" borderId="16" xfId="0" applyFont="1" applyFill="1" applyBorder="1" applyAlignment="1">
      <alignment wrapText="1" readingOrder="1"/>
    </xf>
    <xf numFmtId="0" fontId="23" fillId="17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8" borderId="0" xfId="0" applyNumberFormat="1" applyFont="1" applyFill="1"/>
    <xf numFmtId="0" fontId="22" fillId="18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19" borderId="7" xfId="0" applyFont="1" applyFill="1" applyBorder="1"/>
    <xf numFmtId="14" fontId="22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8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0" borderId="7" xfId="0" applyNumberFormat="1" applyFont="1" applyFill="1" applyBorder="1"/>
    <xf numFmtId="0" fontId="22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9" fontId="1" fillId="20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0" borderId="7" xfId="1" applyNumberFormat="1" applyFont="1" applyFill="1" applyBorder="1" applyAlignment="1">
      <alignment horizontal="center" vertical="center"/>
    </xf>
    <xf numFmtId="9" fontId="25" fillId="20" borderId="7" xfId="3" applyFont="1" applyFill="1" applyBorder="1"/>
    <xf numFmtId="165" fontId="25" fillId="20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6" borderId="0" xfId="0" applyFont="1" applyFill="1"/>
    <xf numFmtId="0" fontId="26" fillId="16" borderId="7" xfId="0" applyFont="1" applyFill="1" applyBorder="1"/>
    <xf numFmtId="0" fontId="26" fillId="20" borderId="7" xfId="0" applyFont="1" applyFill="1" applyBorder="1"/>
    <xf numFmtId="0" fontId="26" fillId="16" borderId="38" xfId="0" applyFont="1" applyFill="1" applyBorder="1"/>
    <xf numFmtId="164" fontId="26" fillId="16" borderId="0" xfId="0" applyNumberFormat="1" applyFont="1" applyFill="1"/>
    <xf numFmtId="164" fontId="26" fillId="16" borderId="7" xfId="0" applyNumberFormat="1" applyFont="1" applyFill="1" applyBorder="1"/>
    <xf numFmtId="164" fontId="26" fillId="20" borderId="7" xfId="0" applyNumberFormat="1" applyFont="1" applyFill="1" applyBorder="1"/>
    <xf numFmtId="164" fontId="26" fillId="16" borderId="38" xfId="0" applyNumberFormat="1" applyFont="1" applyFill="1" applyBorder="1"/>
    <xf numFmtId="168" fontId="26" fillId="16" borderId="0" xfId="0" applyNumberFormat="1" applyFont="1" applyFill="1"/>
    <xf numFmtId="168" fontId="26" fillId="16" borderId="7" xfId="0" applyNumberFormat="1" applyFont="1" applyFill="1" applyBorder="1"/>
    <xf numFmtId="168" fontId="26" fillId="20" borderId="7" xfId="0" applyNumberFormat="1" applyFont="1" applyFill="1" applyBorder="1"/>
    <xf numFmtId="168" fontId="26" fillId="16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2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0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164" fontId="26" fillId="16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6" borderId="7" xfId="0" applyNumberFormat="1" applyFont="1" applyFill="1" applyBorder="1" applyAlignment="1">
      <alignment horizontal="right"/>
    </xf>
    <xf numFmtId="0" fontId="0" fillId="25" borderId="41" xfId="0" applyFill="1" applyBorder="1" applyAlignment="1">
      <alignment horizontal="left"/>
    </xf>
    <xf numFmtId="0" fontId="29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29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29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8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29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8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9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8" fontId="31" fillId="16" borderId="0" xfId="0" applyNumberFormat="1" applyFont="1" applyFill="1"/>
    <xf numFmtId="164" fontId="32" fillId="0" borderId="0" xfId="4" applyNumberFormat="1" applyFont="1"/>
    <xf numFmtId="168" fontId="32" fillId="0" borderId="0" xfId="4" applyNumberFormat="1" applyFont="1"/>
    <xf numFmtId="0" fontId="32" fillId="0" borderId="0" xfId="4" applyFont="1"/>
    <xf numFmtId="0" fontId="28" fillId="22" borderId="44" xfId="0" applyFont="1" applyFill="1" applyBorder="1" applyAlignment="1">
      <alignment horizontal="center" vertical="center"/>
    </xf>
    <xf numFmtId="0" fontId="28" fillId="22" borderId="43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27" fillId="22" borderId="44" xfId="0" applyFont="1" applyFill="1" applyBorder="1" applyAlignment="1">
      <alignment horizontal="left" vertical="center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0" fontId="28" fillId="23" borderId="44" xfId="0" applyFont="1" applyFill="1" applyBorder="1" applyAlignment="1">
      <alignment horizontal="center" vertical="center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8" fillId="22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8" fillId="22" borderId="49" xfId="0" applyFont="1" applyFill="1" applyBorder="1" applyAlignment="1">
      <alignment horizontal="center" vertical="center"/>
    </xf>
    <xf numFmtId="0" fontId="22" fillId="19" borderId="0" xfId="0" applyFont="1" applyFill="1"/>
    <xf numFmtId="0" fontId="28" fillId="22" borderId="38" xfId="0" applyFont="1" applyFill="1" applyBorder="1" applyAlignment="1">
      <alignment horizontal="center" vertical="center"/>
    </xf>
    <xf numFmtId="165" fontId="25" fillId="0" borderId="7" xfId="2" applyNumberFormat="1" applyFont="1" applyBorder="1" applyAlignment="1">
      <alignment horizontal="center"/>
    </xf>
    <xf numFmtId="0" fontId="33" fillId="0" borderId="0" xfId="0" applyFont="1"/>
    <xf numFmtId="0" fontId="0" fillId="29" borderId="0" xfId="0" applyFill="1"/>
    <xf numFmtId="0" fontId="28" fillId="29" borderId="52" xfId="0" applyFont="1" applyFill="1" applyBorder="1" applyAlignment="1">
      <alignment horizontal="center" vertical="center"/>
    </xf>
    <xf numFmtId="0" fontId="28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6" borderId="38" xfId="0" applyNumberFormat="1" applyFont="1" applyFill="1" applyBorder="1" applyAlignment="1">
      <alignment horizontal="right"/>
    </xf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5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8" fillId="12" borderId="50" xfId="0" applyFont="1" applyFill="1" applyBorder="1"/>
    <xf numFmtId="0" fontId="18" fillId="12" borderId="55" xfId="0" applyFont="1" applyFill="1" applyBorder="1"/>
    <xf numFmtId="164" fontId="18" fillId="12" borderId="56" xfId="1" applyNumberFormat="1" applyFont="1" applyFill="1" applyBorder="1"/>
    <xf numFmtId="164" fontId="18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36" fillId="0" borderId="0" xfId="0" applyFont="1"/>
    <xf numFmtId="0" fontId="24" fillId="30" borderId="50" xfId="0" applyFont="1" applyFill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4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19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19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6" borderId="0" xfId="0" applyNumberFormat="1" applyFont="1" applyFill="1" applyAlignment="1">
      <alignment horizontal="right"/>
    </xf>
    <xf numFmtId="168" fontId="26" fillId="16" borderId="7" xfId="0" applyNumberFormat="1" applyFont="1" applyFill="1" applyBorder="1" applyAlignment="1">
      <alignment horizontal="right"/>
    </xf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1" fillId="20" borderId="0" xfId="2" applyNumberFormat="1" applyFont="1" applyFill="1" applyBorder="1" applyAlignment="1">
      <alignment horizontal="center"/>
    </xf>
    <xf numFmtId="164" fontId="26" fillId="20" borderId="0" xfId="0" applyNumberFormat="1" applyFont="1" applyFill="1"/>
    <xf numFmtId="164" fontId="25" fillId="20" borderId="0" xfId="1" applyNumberFormat="1" applyFont="1" applyFill="1" applyBorder="1" applyAlignment="1">
      <alignment horizontal="center" vertical="center"/>
    </xf>
    <xf numFmtId="168" fontId="26" fillId="20" borderId="0" xfId="0" applyNumberFormat="1" applyFont="1" applyFill="1"/>
    <xf numFmtId="9" fontId="26" fillId="20" borderId="0" xfId="0" applyNumberFormat="1" applyFont="1" applyFill="1" applyAlignment="1">
      <alignment horizontal="center"/>
    </xf>
    <xf numFmtId="9" fontId="25" fillId="20" borderId="0" xfId="3" applyFont="1" applyFill="1" applyBorder="1"/>
    <xf numFmtId="165" fontId="25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6" borderId="0" xfId="4" applyNumberFormat="1" applyFill="1"/>
    <xf numFmtId="168" fontId="31" fillId="16" borderId="0" xfId="0" applyNumberFormat="1" applyFont="1" applyFill="1" applyAlignment="1">
      <alignment horizontal="right"/>
    </xf>
    <xf numFmtId="165" fontId="0" fillId="13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29" fillId="23" borderId="52" xfId="0" applyFont="1" applyFill="1" applyBorder="1" applyAlignment="1">
      <alignment vertical="center" wrapText="1"/>
    </xf>
    <xf numFmtId="0" fontId="37" fillId="0" borderId="0" xfId="8" applyAlignment="1">
      <alignment wrapText="1"/>
    </xf>
    <xf numFmtId="3" fontId="38" fillId="0" borderId="0" xfId="0" applyNumberFormat="1" applyFont="1"/>
    <xf numFmtId="165" fontId="1" fillId="13" borderId="0" xfId="2" applyNumberFormat="1" applyFont="1" applyFill="1" applyBorder="1" applyAlignment="1">
      <alignment horizontal="center"/>
    </xf>
    <xf numFmtId="165" fontId="1" fillId="13" borderId="7" xfId="2" applyNumberFormat="1" applyFont="1" applyFill="1" applyBorder="1" applyAlignment="1">
      <alignment horizontal="center"/>
    </xf>
    <xf numFmtId="16" fontId="29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4" fillId="0" borderId="7" xfId="0" applyFont="1" applyBorder="1"/>
    <xf numFmtId="0" fontId="39" fillId="0" borderId="0" xfId="0" applyFont="1"/>
    <xf numFmtId="0" fontId="3" fillId="32" borderId="0" xfId="0" applyFont="1" applyFill="1"/>
    <xf numFmtId="0" fontId="40" fillId="0" borderId="0" xfId="0" applyFont="1"/>
    <xf numFmtId="0" fontId="15" fillId="0" borderId="0" xfId="0" applyFont="1" applyAlignment="1">
      <alignment wrapText="1"/>
    </xf>
    <xf numFmtId="0" fontId="15" fillId="0" borderId="16" xfId="0" applyFont="1" applyBorder="1"/>
    <xf numFmtId="1" fontId="0" fillId="0" borderId="0" xfId="0" applyNumberFormat="1"/>
    <xf numFmtId="171" fontId="0" fillId="0" borderId="0" xfId="0" applyNumberFormat="1"/>
    <xf numFmtId="9" fontId="40" fillId="0" borderId="0" xfId="0" applyNumberFormat="1" applyFont="1"/>
    <xf numFmtId="9" fontId="40" fillId="33" borderId="0" xfId="0" applyNumberFormat="1" applyFont="1" applyFill="1"/>
    <xf numFmtId="9" fontId="25" fillId="0" borderId="0" xfId="1" applyNumberFormat="1" applyFont="1" applyFill="1" applyBorder="1" applyAlignment="1">
      <alignment horizontal="center" vertical="center"/>
    </xf>
    <xf numFmtId="0" fontId="41" fillId="18" borderId="0" xfId="0" applyFont="1" applyFill="1" applyAlignment="1">
      <alignment wrapText="1"/>
    </xf>
    <xf numFmtId="0" fontId="42" fillId="32" borderId="0" xfId="0" applyFont="1" applyFill="1"/>
    <xf numFmtId="0" fontId="42" fillId="3" borderId="0" xfId="0" applyFont="1" applyFill="1"/>
    <xf numFmtId="0" fontId="42" fillId="4" borderId="0" xfId="0" applyFont="1" applyFill="1"/>
    <xf numFmtId="164" fontId="26" fillId="0" borderId="0" xfId="0" applyNumberFormat="1" applyFont="1" applyAlignment="1">
      <alignment horizontal="right"/>
    </xf>
    <xf numFmtId="9" fontId="25" fillId="0" borderId="0" xfId="1" applyNumberFormat="1" applyFont="1" applyAlignment="1">
      <alignment horizontal="center" vertical="center"/>
    </xf>
    <xf numFmtId="9" fontId="25" fillId="0" borderId="0" xfId="3" applyFont="1"/>
    <xf numFmtId="0" fontId="1" fillId="0" borderId="0" xfId="0" applyFont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1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'[1]PS1 Journey'!$A$4</c:f>
              <c:strCache>
                <c:ptCount val="1"/>
                <c:pt idx="0">
                  <c:v>9/19/2025 Sales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'[1]PS1 Journey'!$B$2:$H$2</c:f>
              <c:numCache>
                <c:formatCode>General</c:formatCode>
                <c:ptCount val="7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</c:numCache>
            </c:numRef>
          </c:cat>
          <c:val>
            <c:numRef>
              <c:f>'[1]PS1 Journey'!$B$4:$H$4</c:f>
              <c:numCache>
                <c:formatCode>General</c:formatCode>
                <c:ptCount val="7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'[1]PS1 Journey'!$A$5</c:f>
              <c:strCache>
                <c:ptCount val="1"/>
                <c:pt idx="0">
                  <c:v>9/20/2025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'[1]PS1 Journey'!$B$2:$H$2</c:f>
              <c:numCache>
                <c:formatCode>General</c:formatCode>
                <c:ptCount val="7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</c:numCache>
            </c:numRef>
          </c:cat>
          <c:val>
            <c:numRef>
              <c:f>'[1]PS1 Journey'!$B$5:$H$5</c:f>
              <c:numCache>
                <c:formatCode>General</c:formatCode>
                <c:ptCount val="7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'[1]PS1 Journey'!$A$6</c:f>
              <c:strCache>
                <c:ptCount val="1"/>
                <c:pt idx="0">
                  <c:v>9/21/2025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'[1]PS1 Journey'!$B$2:$H$2</c:f>
              <c:numCache>
                <c:formatCode>General</c:formatCode>
                <c:ptCount val="7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</c:numCache>
            </c:numRef>
          </c:cat>
          <c:val>
            <c:numRef>
              <c:f>'[1]PS1 Journey'!$B$6:$H$6</c:f>
              <c:numCache>
                <c:formatCode>General</c:formatCode>
                <c:ptCount val="7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'[1]PS1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'[1]PS1 Journey'!$B$2:$H$2</c:f>
              <c:numCache>
                <c:formatCode>General</c:formatCode>
                <c:ptCount val="7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</c:numCache>
            </c:numRef>
          </c:cat>
          <c:val>
            <c:numRef>
              <c:f>'[1]PS1 Journey'!$B$7:$H$7</c:f>
              <c:numCache>
                <c:formatCode>General</c:formatCode>
                <c:ptCount val="7"/>
                <c:pt idx="0">
                  <c:v>255</c:v>
                </c:pt>
                <c:pt idx="1">
                  <c:v>280.5</c:v>
                </c:pt>
                <c:pt idx="2">
                  <c:v>331.5</c:v>
                </c:pt>
                <c:pt idx="3">
                  <c:v>391</c:v>
                </c:pt>
                <c:pt idx="4">
                  <c:v>410</c:v>
                </c:pt>
                <c:pt idx="5">
                  <c:v>501.5</c:v>
                </c:pt>
                <c:pt idx="6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catAx>
        <c:axId val="12571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Algn val="ctr"/>
        <c:lblOffset val="100"/>
        <c:tickLblSkip val="7"/>
        <c:noMultiLvlLbl val="0"/>
      </c:cat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'[1]CS1 Appalachian'!$A$4</c:f>
              <c:strCache>
                <c:ptCount val="1"/>
                <c:pt idx="0">
                  <c:v>9/19/2025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'[1]CS1 Appalachian'!$B$2:$K$2</c:f>
              <c:numCache>
                <c:formatCode>General</c:formatCode>
                <c:ptCount val="10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  <c:pt idx="7">
                  <c:v>45922</c:v>
                </c:pt>
                <c:pt idx="8">
                  <c:v>45929</c:v>
                </c:pt>
                <c:pt idx="9">
                  <c:v>45936</c:v>
                </c:pt>
              </c:numCache>
            </c:numRef>
          </c:cat>
          <c:val>
            <c:numRef>
              <c:f>'[1]CS1 Appalachian'!$B$4:$K$4</c:f>
              <c:numCache>
                <c:formatCode>General</c:formatCode>
                <c:ptCount val="10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'[1]CS1 Appalachian'!$A$5</c:f>
              <c:strCache>
                <c:ptCount val="1"/>
                <c:pt idx="0">
                  <c:v>9/20/2025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'[1]CS1 Appalachian'!$B$2:$K$2</c:f>
              <c:numCache>
                <c:formatCode>General</c:formatCode>
                <c:ptCount val="10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  <c:pt idx="7">
                  <c:v>45922</c:v>
                </c:pt>
                <c:pt idx="8">
                  <c:v>45929</c:v>
                </c:pt>
                <c:pt idx="9">
                  <c:v>45936</c:v>
                </c:pt>
              </c:numCache>
            </c:numRef>
          </c:cat>
          <c:val>
            <c:numRef>
              <c:f>'[1]CS1 Appalachian'!$B$5:$K$5</c:f>
              <c:numCache>
                <c:formatCode>General</c:formatCode>
                <c:ptCount val="10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'[1]CS1 Appalachian'!$A$6</c:f>
              <c:strCache>
                <c:ptCount val="1"/>
                <c:pt idx="0">
                  <c:v>9/21/2025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'[1]CS1 Appalachian'!$B$2:$K$2</c:f>
              <c:numCache>
                <c:formatCode>General</c:formatCode>
                <c:ptCount val="10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  <c:pt idx="7">
                  <c:v>45922</c:v>
                </c:pt>
                <c:pt idx="8">
                  <c:v>45929</c:v>
                </c:pt>
                <c:pt idx="9">
                  <c:v>45936</c:v>
                </c:pt>
              </c:numCache>
            </c:numRef>
          </c:cat>
          <c:val>
            <c:numRef>
              <c:f>'[1]CS1 Appalachian'!$B$6:$K$6</c:f>
              <c:numCache>
                <c:formatCode>General</c:formatCode>
                <c:ptCount val="10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'[1]CS1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'[1]CS1 Appalachian'!$B$2:$K$2</c:f>
              <c:numCache>
                <c:formatCode>General</c:formatCode>
                <c:ptCount val="10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45903</c:v>
                </c:pt>
                <c:pt idx="5">
                  <c:v>45908</c:v>
                </c:pt>
                <c:pt idx="6">
                  <c:v>45915</c:v>
                </c:pt>
                <c:pt idx="7">
                  <c:v>45922</c:v>
                </c:pt>
                <c:pt idx="8">
                  <c:v>45929</c:v>
                </c:pt>
                <c:pt idx="9">
                  <c:v>45936</c:v>
                </c:pt>
              </c:numCache>
            </c:numRef>
          </c:cat>
          <c:val>
            <c:numRef>
              <c:f>'[1]CS1 Appalachian'!$B$7:$K$7</c:f>
              <c:numCache>
                <c:formatCode>General</c:formatCode>
                <c:ptCount val="10"/>
                <c:pt idx="2">
                  <c:v>195.07500000000002</c:v>
                </c:pt>
                <c:pt idx="3">
                  <c:v>216.75</c:v>
                </c:pt>
                <c:pt idx="4">
                  <c:v>225</c:v>
                </c:pt>
                <c:pt idx="5">
                  <c:v>238.42500000000001</c:v>
                </c:pt>
                <c:pt idx="6">
                  <c:v>281.77500000000003</c:v>
                </c:pt>
                <c:pt idx="7">
                  <c:v>332.35</c:v>
                </c:pt>
                <c:pt idx="8">
                  <c:v>426.27499999999998</c:v>
                </c:pt>
                <c:pt idx="9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catAx>
        <c:axId val="12571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Algn val="ctr"/>
        <c:lblOffset val="100"/>
        <c:tickLblSkip val="7"/>
        <c:noMultiLvlLbl val="0"/>
      </c:cat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228600</xdr:colOff>
      <xdr:row>12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390525</xdr:colOff>
      <xdr:row>12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csymphony-my.sharepoint.com/personal/jlai_kcsymphony_org/Documents/25-26%20Performance%20Tracking%20(Weeks%201-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1 Journey"/>
      <sheetName val="CS1 Appalachian"/>
      <sheetName val="MFSB"/>
      <sheetName val="La Nuit"/>
    </sheetNames>
    <sheetDataSet>
      <sheetData sheetId="0">
        <row r="2">
          <cell r="B2">
            <v>45880</v>
          </cell>
          <cell r="C2">
            <v>45887</v>
          </cell>
          <cell r="D2">
            <v>45894</v>
          </cell>
          <cell r="E2">
            <v>45901</v>
          </cell>
          <cell r="F2">
            <v>45903</v>
          </cell>
          <cell r="G2">
            <v>45908</v>
          </cell>
          <cell r="H2">
            <v>45915</v>
          </cell>
        </row>
        <row r="4">
          <cell r="A4" t="str">
            <v>9/19/2025 Sales</v>
          </cell>
          <cell r="B4">
            <v>60</v>
          </cell>
          <cell r="C4">
            <v>160</v>
          </cell>
          <cell r="D4">
            <v>205</v>
          </cell>
          <cell r="E4">
            <v>262</v>
          </cell>
          <cell r="F4">
            <v>280</v>
          </cell>
        </row>
        <row r="5">
          <cell r="A5" t="str">
            <v>9/20/2025 Sales</v>
          </cell>
          <cell r="B5">
            <v>63</v>
          </cell>
          <cell r="C5">
            <v>206</v>
          </cell>
          <cell r="D5">
            <v>250</v>
          </cell>
          <cell r="E5">
            <v>294</v>
          </cell>
          <cell r="F5">
            <v>309</v>
          </cell>
        </row>
        <row r="6">
          <cell r="A6" t="str">
            <v>9/21/2025 Sales</v>
          </cell>
          <cell r="B6">
            <v>57</v>
          </cell>
          <cell r="C6">
            <v>219</v>
          </cell>
          <cell r="D6">
            <v>296</v>
          </cell>
          <cell r="E6">
            <v>322</v>
          </cell>
          <cell r="F6">
            <v>338</v>
          </cell>
        </row>
        <row r="7">
          <cell r="A7" t="str">
            <v>Pace for 85% OCC</v>
          </cell>
          <cell r="B7">
            <v>255</v>
          </cell>
          <cell r="C7">
            <v>280.5</v>
          </cell>
          <cell r="D7">
            <v>331.5</v>
          </cell>
          <cell r="E7">
            <v>391</v>
          </cell>
          <cell r="F7">
            <v>410</v>
          </cell>
          <cell r="G7">
            <v>501.5</v>
          </cell>
          <cell r="H7">
            <v>850</v>
          </cell>
        </row>
      </sheetData>
      <sheetData sheetId="1">
        <row r="2">
          <cell r="B2">
            <v>45880</v>
          </cell>
          <cell r="C2">
            <v>45887</v>
          </cell>
          <cell r="D2">
            <v>45894</v>
          </cell>
          <cell r="E2">
            <v>45901</v>
          </cell>
          <cell r="F2">
            <v>45903</v>
          </cell>
          <cell r="G2">
            <v>45908</v>
          </cell>
          <cell r="H2">
            <v>45915</v>
          </cell>
          <cell r="I2">
            <v>45922</v>
          </cell>
          <cell r="J2">
            <v>45929</v>
          </cell>
          <cell r="K2">
            <v>45936</v>
          </cell>
        </row>
        <row r="4">
          <cell r="A4" t="str">
            <v>9/19/2025 Sales</v>
          </cell>
          <cell r="B4">
            <v>60</v>
          </cell>
          <cell r="C4">
            <v>100</v>
          </cell>
          <cell r="D4">
            <v>106</v>
          </cell>
          <cell r="E4">
            <v>135</v>
          </cell>
          <cell r="F4">
            <v>136</v>
          </cell>
        </row>
        <row r="5">
          <cell r="A5" t="str">
            <v>9/20/2025 Sales</v>
          </cell>
          <cell r="B5">
            <v>63</v>
          </cell>
          <cell r="C5">
            <v>98</v>
          </cell>
          <cell r="D5">
            <v>115</v>
          </cell>
          <cell r="E5">
            <v>130</v>
          </cell>
          <cell r="F5">
            <v>136</v>
          </cell>
        </row>
        <row r="6">
          <cell r="A6" t="str">
            <v>9/21/2025 Sales</v>
          </cell>
          <cell r="B6">
            <v>57</v>
          </cell>
          <cell r="C6">
            <v>137</v>
          </cell>
          <cell r="D6">
            <v>154</v>
          </cell>
          <cell r="E6">
            <v>174</v>
          </cell>
          <cell r="F6">
            <v>184</v>
          </cell>
        </row>
        <row r="7">
          <cell r="A7" t="str">
            <v>Pace for 85% OCC</v>
          </cell>
          <cell r="B7"/>
          <cell r="C7"/>
          <cell r="D7">
            <v>195.07500000000002</v>
          </cell>
          <cell r="E7">
            <v>216.75</v>
          </cell>
          <cell r="F7">
            <v>225</v>
          </cell>
          <cell r="G7">
            <v>238.42500000000001</v>
          </cell>
          <cell r="H7">
            <v>281.77500000000003</v>
          </cell>
          <cell r="I7">
            <v>332.35</v>
          </cell>
          <cell r="J7">
            <v>426.27499999999998</v>
          </cell>
          <cell r="K7">
            <v>722.5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EB458C61-CFA2-1140-9739-03681FA1DE31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18T18:28:46.69" personId="{EB458C61-CFA2-1140-9739-03681FA1DE31}" id="{D12E88C0-5F11-4859-94F9-2082A8684976}">
    <text>Actual Budget is $50k per performance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7" dT="2025-09-03T17:55:41.51" personId="{EB458C61-CFA2-1140-9739-03681FA1DE31}" id="{61725B82-AD7D-44FD-B698-6A6C02CF8433}">
    <text>1000 is a round # across 3 performances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T136"/>
  <sheetViews>
    <sheetView tabSelected="1" workbookViewId="0">
      <pane xSplit="8" ySplit="5" topLeftCell="I6" activePane="bottomRight" state="frozen"/>
      <selection pane="topRight"/>
      <selection pane="bottomLeft"/>
      <selection pane="bottomRight" activeCell="F8" sqref="F8"/>
    </sheetView>
  </sheetViews>
  <sheetFormatPr defaultRowHeight="15" customHeight="1" x14ac:dyDescent="0.3"/>
  <cols>
    <col min="3" max="3" width="12.6640625" bestFit="1" customWidth="1"/>
    <col min="6" max="6" width="20.109375" customWidth="1"/>
    <col min="7" max="7" width="12.5546875" bestFit="1" customWidth="1"/>
    <col min="8" max="8" width="11" customWidth="1"/>
    <col min="11" max="11" width="9.88671875" customWidth="1"/>
    <col min="13" max="13" width="11.5546875" customWidth="1"/>
    <col min="14" max="14" width="9" customWidth="1"/>
    <col min="20" max="20" width="9.44140625" customWidth="1"/>
    <col min="21" max="21" width="10.6640625" customWidth="1"/>
    <col min="22" max="22" width="9.109375" customWidth="1"/>
    <col min="25" max="25" width="9.33203125" customWidth="1"/>
    <col min="26" max="26" width="11.88671875" bestFit="1" customWidth="1"/>
    <col min="34" max="34" width="15.109375" customWidth="1"/>
    <col min="35" max="35" width="16" customWidth="1"/>
  </cols>
  <sheetData>
    <row r="1" spans="1:36" ht="54" customHeight="1" x14ac:dyDescent="0.3">
      <c r="A1" s="403"/>
      <c r="B1" s="403"/>
      <c r="C1" s="403"/>
      <c r="D1" s="403"/>
      <c r="E1" s="2" t="s">
        <v>0</v>
      </c>
      <c r="F1" s="2" t="s">
        <v>1</v>
      </c>
      <c r="G1" s="1"/>
      <c r="H1" s="396" t="s">
        <v>2</v>
      </c>
      <c r="I1" s="409" t="s">
        <v>3</v>
      </c>
      <c r="J1" s="410" t="s">
        <v>4</v>
      </c>
      <c r="K1" s="387" t="s">
        <v>5</v>
      </c>
      <c r="L1" s="387"/>
      <c r="M1" s="1"/>
      <c r="N1" s="1"/>
      <c r="O1" s="387" t="s">
        <v>6</v>
      </c>
      <c r="P1" s="387"/>
      <c r="Q1" s="387"/>
      <c r="R1" s="1"/>
      <c r="S1" s="397" t="s">
        <v>7</v>
      </c>
      <c r="T1" s="397"/>
      <c r="U1" s="3" t="s">
        <v>8</v>
      </c>
      <c r="V1" s="3"/>
      <c r="W1" s="1"/>
      <c r="X1" s="4"/>
      <c r="Y1" s="1"/>
      <c r="Z1" s="1"/>
      <c r="AA1" s="1"/>
      <c r="AB1" s="411"/>
      <c r="AC1" s="411"/>
      <c r="AD1" s="411"/>
      <c r="AE1" s="411"/>
      <c r="AF1" s="411"/>
      <c r="AG1" s="411"/>
    </row>
    <row r="2" spans="1:36" ht="14.4" x14ac:dyDescent="0.3">
      <c r="A2" s="403"/>
      <c r="B2" s="403"/>
      <c r="C2" s="403"/>
      <c r="D2" s="403"/>
      <c r="E2" s="1"/>
      <c r="F2" s="1"/>
      <c r="G2" s="1"/>
      <c r="H2" s="1"/>
      <c r="I2" s="409"/>
      <c r="J2" s="410"/>
      <c r="K2" s="5" t="s">
        <v>9</v>
      </c>
      <c r="L2" s="5"/>
      <c r="M2" s="6"/>
      <c r="N2" s="6"/>
      <c r="O2" s="5" t="s">
        <v>10</v>
      </c>
      <c r="P2" s="5"/>
      <c r="Q2" s="5"/>
      <c r="R2" s="1"/>
      <c r="S2" s="398" t="s">
        <v>11</v>
      </c>
      <c r="T2" s="398"/>
      <c r="U2" s="7"/>
      <c r="V2" s="7"/>
      <c r="W2" s="1"/>
      <c r="X2" s="4"/>
      <c r="Y2" s="1"/>
      <c r="Z2" s="1"/>
      <c r="AA2" s="1"/>
      <c r="AB2" s="4"/>
      <c r="AC2" s="403"/>
      <c r="AD2" s="403"/>
      <c r="AE2" s="403"/>
      <c r="AF2" s="403"/>
      <c r="AG2" s="1"/>
    </row>
    <row r="3" spans="1:36" ht="14.4" x14ac:dyDescent="0.3">
      <c r="A3" s="403"/>
      <c r="B3" s="403"/>
      <c r="C3" s="403"/>
      <c r="D3" s="403"/>
      <c r="E3" s="1"/>
      <c r="F3" s="1"/>
      <c r="G3" s="8" t="s">
        <v>12</v>
      </c>
      <c r="H3" s="1"/>
      <c r="I3" s="409"/>
      <c r="J3" s="410"/>
      <c r="K3" s="9" t="s">
        <v>13</v>
      </c>
      <c r="L3" s="9"/>
      <c r="M3" s="6"/>
      <c r="N3" s="6"/>
      <c r="O3" s="9" t="s">
        <v>14</v>
      </c>
      <c r="P3" s="9"/>
      <c r="Q3" s="9"/>
      <c r="R3" s="1"/>
      <c r="S3" s="399" t="s">
        <v>15</v>
      </c>
      <c r="T3" s="399"/>
      <c r="U3" s="7"/>
      <c r="V3" s="7"/>
      <c r="W3" s="1"/>
      <c r="X3" s="4"/>
      <c r="Y3" s="1"/>
      <c r="Z3" s="1"/>
      <c r="AA3" s="1"/>
      <c r="AB3" s="4"/>
      <c r="AC3" s="403"/>
      <c r="AD3" s="403"/>
      <c r="AE3" s="403"/>
      <c r="AF3" s="403"/>
      <c r="AG3" s="1"/>
    </row>
    <row r="4" spans="1:36" ht="14.4" x14ac:dyDescent="0.3">
      <c r="A4" s="403"/>
      <c r="B4" s="403"/>
      <c r="C4" s="1"/>
      <c r="D4" s="146" t="s">
        <v>16</v>
      </c>
      <c r="E4" s="146"/>
      <c r="F4" s="145"/>
      <c r="G4" s="10">
        <v>1</v>
      </c>
      <c r="H4" s="1"/>
      <c r="I4" s="404" t="s">
        <v>17</v>
      </c>
      <c r="J4" s="404"/>
      <c r="K4" s="404"/>
      <c r="L4" s="404"/>
      <c r="M4" s="404"/>
      <c r="N4" s="404"/>
      <c r="O4" s="404"/>
      <c r="P4" s="405" t="s">
        <v>18</v>
      </c>
      <c r="Q4" s="405"/>
      <c r="R4" s="405"/>
      <c r="S4" s="405"/>
      <c r="T4" s="405"/>
      <c r="U4" s="405"/>
      <c r="V4" s="405"/>
      <c r="W4" s="405"/>
      <c r="X4" s="406" t="s">
        <v>19</v>
      </c>
      <c r="Y4" s="406"/>
      <c r="Z4" s="406"/>
      <c r="AA4" s="406"/>
      <c r="AB4" s="405" t="s">
        <v>20</v>
      </c>
      <c r="AC4" s="405"/>
      <c r="AD4" s="405"/>
      <c r="AE4" s="407" t="s">
        <v>21</v>
      </c>
      <c r="AF4" s="407"/>
      <c r="AG4" s="407"/>
      <c r="AH4" s="348" t="s">
        <v>22</v>
      </c>
      <c r="AI4" s="348" t="s">
        <v>23</v>
      </c>
      <c r="AJ4" s="349"/>
    </row>
    <row r="5" spans="1:36" ht="70.8" x14ac:dyDescent="0.45">
      <c r="A5" s="7" t="s">
        <v>24</v>
      </c>
      <c r="B5" s="7" t="s">
        <v>25</v>
      </c>
      <c r="C5" s="11" t="s">
        <v>26</v>
      </c>
      <c r="D5" s="408" t="s">
        <v>27</v>
      </c>
      <c r="E5" s="408"/>
      <c r="F5" s="408"/>
      <c r="G5" s="189" t="s">
        <v>28</v>
      </c>
      <c r="H5" s="189" t="s">
        <v>29</v>
      </c>
      <c r="I5" s="188" t="s">
        <v>30</v>
      </c>
      <c r="J5" s="190" t="s">
        <v>31</v>
      </c>
      <c r="K5" s="190" t="s">
        <v>32</v>
      </c>
      <c r="L5" s="190" t="s">
        <v>33</v>
      </c>
      <c r="M5" s="188" t="s">
        <v>34</v>
      </c>
      <c r="N5" s="190" t="s">
        <v>35</v>
      </c>
      <c r="O5" s="190" t="s">
        <v>36</v>
      </c>
      <c r="P5" s="188" t="s">
        <v>37</v>
      </c>
      <c r="Q5" s="190" t="s">
        <v>38</v>
      </c>
      <c r="R5" s="190" t="s">
        <v>39</v>
      </c>
      <c r="S5" s="190" t="s">
        <v>40</v>
      </c>
      <c r="T5" s="190" t="s">
        <v>41</v>
      </c>
      <c r="U5" s="188" t="s">
        <v>42</v>
      </c>
      <c r="V5" s="190" t="s">
        <v>35</v>
      </c>
      <c r="W5" s="190" t="s">
        <v>36</v>
      </c>
      <c r="X5" s="188" t="s">
        <v>43</v>
      </c>
      <c r="Y5" s="190" t="s">
        <v>41</v>
      </c>
      <c r="Z5" s="188" t="s">
        <v>42</v>
      </c>
      <c r="AA5" s="190" t="s">
        <v>44</v>
      </c>
      <c r="AB5" s="188" t="s">
        <v>45</v>
      </c>
      <c r="AC5" s="191" t="s">
        <v>46</v>
      </c>
      <c r="AD5" s="190" t="s">
        <v>47</v>
      </c>
      <c r="AE5" s="15" t="s">
        <v>48</v>
      </c>
      <c r="AF5" s="14" t="s">
        <v>49</v>
      </c>
      <c r="AG5" s="16" t="s">
        <v>50</v>
      </c>
      <c r="AH5" s="269"/>
    </row>
    <row r="6" spans="1:36" s="143" customFormat="1" ht="14.25" customHeight="1" x14ac:dyDescent="0.35">
      <c r="A6" s="143">
        <v>1</v>
      </c>
      <c r="B6" s="143">
        <f>A6-$G$4</f>
        <v>0</v>
      </c>
      <c r="C6" s="144">
        <v>45901</v>
      </c>
      <c r="D6" s="143" t="s">
        <v>51</v>
      </c>
      <c r="G6" s="144">
        <v>45902.833333333336</v>
      </c>
      <c r="H6" s="143" t="s">
        <v>52</v>
      </c>
      <c r="I6" s="37">
        <f t="shared" ref="I6" si="0">P6+X6</f>
        <v>1153</v>
      </c>
      <c r="J6" s="38">
        <f>IF(R6="Too early",R6,R6+X6)</f>
        <v>1153</v>
      </c>
      <c r="K6" s="31">
        <f>IF(J6="Too early",J6,J6/AB6)</f>
        <v>0.88556067588325649</v>
      </c>
      <c r="L6" s="39">
        <f>T6+Y6</f>
        <v>130808</v>
      </c>
      <c r="M6" s="32">
        <f>U6+Z6</f>
        <v>153473</v>
      </c>
      <c r="N6" s="195">
        <f>L6/M6</f>
        <v>0.85231930046327364</v>
      </c>
      <c r="O6" s="31">
        <f>IF($J6="Too early",J6,J6*AD6/M6)</f>
        <v>0.85231930046327364</v>
      </c>
      <c r="P6" s="241">
        <v>1153</v>
      </c>
      <c r="Q6" s="400">
        <f>AB6-X6</f>
        <v>1302</v>
      </c>
      <c r="R6" s="206">
        <f>IF(B6&lt;7,(P6/VLOOKUP(B6,'Sales Pacing'!$A$23:$E$36,2)),"Too early")</f>
        <v>1153</v>
      </c>
      <c r="S6" s="395">
        <f>IF(R6="Too early","Too early",R6/Q6)</f>
        <v>0.88556067588325649</v>
      </c>
      <c r="T6" s="358">
        <v>130808</v>
      </c>
      <c r="U6" s="230">
        <v>153473</v>
      </c>
      <c r="V6" s="195">
        <f>IF(T6&gt;0,T6/U6,"")</f>
        <v>0.85231930046327364</v>
      </c>
      <c r="W6" s="31">
        <f t="shared" ref="W6:W8" si="1">IF($R6="Too early",R6,R6*AD6/U6)</f>
        <v>0.85231930046327364</v>
      </c>
      <c r="X6" s="222"/>
      <c r="Y6" s="226"/>
      <c r="Z6" s="230">
        <v>0</v>
      </c>
      <c r="AA6" s="207" t="str">
        <f>IF(Y6&gt;0,Y6/Z6,"")</f>
        <v/>
      </c>
      <c r="AB6" s="233">
        <v>1302</v>
      </c>
      <c r="AC6" s="207">
        <f>I6/AB6</f>
        <v>0.88556067588325649</v>
      </c>
      <c r="AD6" s="208">
        <f t="shared" ref="AD6" si="2">L6/I6</f>
        <v>113.4501300954033</v>
      </c>
      <c r="AE6" s="218">
        <v>209</v>
      </c>
      <c r="AF6" s="218">
        <v>280</v>
      </c>
      <c r="AG6" s="218">
        <v>489</v>
      </c>
      <c r="AH6" s="350">
        <v>121597</v>
      </c>
      <c r="AI6" s="354">
        <f>L6-AH6</f>
        <v>9211</v>
      </c>
    </row>
    <row r="7" spans="1:36" s="143" customFormat="1" ht="14.25" customHeight="1" x14ac:dyDescent="0.35">
      <c r="A7" s="143">
        <v>1</v>
      </c>
      <c r="B7" s="143">
        <f t="shared" ref="B7:B70" si="3">A7-$G$4</f>
        <v>0</v>
      </c>
      <c r="C7" s="144">
        <v>45901</v>
      </c>
      <c r="D7" s="143" t="s">
        <v>51</v>
      </c>
      <c r="G7" s="144">
        <v>45903.833333333336</v>
      </c>
      <c r="H7" s="143" t="s">
        <v>52</v>
      </c>
      <c r="I7" s="37">
        <f t="shared" ref="I7:I70" si="4">P7+X7</f>
        <v>1084</v>
      </c>
      <c r="J7" s="38">
        <f t="shared" ref="J7:J70" si="5">IF(R7="Too early",R7,R7+X7)</f>
        <v>1084</v>
      </c>
      <c r="K7" s="31">
        <f>IF(J7="Too early",J7,J7/AB7)</f>
        <v>0.83256528417818743</v>
      </c>
      <c r="L7" s="39">
        <f t="shared" ref="L7:L70" si="6">T7+Y7</f>
        <v>123301</v>
      </c>
      <c r="M7" s="32">
        <f t="shared" ref="M7:M70" si="7">U7+Z7</f>
        <v>153473</v>
      </c>
      <c r="N7" s="195">
        <f t="shared" ref="N7:N70" si="8">L7/M7</f>
        <v>0.80340515921367273</v>
      </c>
      <c r="O7" s="31">
        <f t="shared" ref="O7:O70" si="9">IF($J7="Too early",J7,J7*AD7/M7)</f>
        <v>0.80340515921367273</v>
      </c>
      <c r="P7" s="241">
        <v>1084</v>
      </c>
      <c r="Q7" s="400">
        <f>AB7-X7</f>
        <v>1302</v>
      </c>
      <c r="R7" s="206">
        <f>IF(B7&lt;7,(P7/VLOOKUP(B7,'Sales Pacing'!$A$23:$E$36,2)),"Too early")</f>
        <v>1084</v>
      </c>
      <c r="S7" s="401">
        <f>IF(R7="Too early","Too early",R7/Q7)</f>
        <v>0.83256528417818743</v>
      </c>
      <c r="T7" s="374">
        <v>123301</v>
      </c>
      <c r="U7" s="230">
        <v>153473</v>
      </c>
      <c r="V7" s="237">
        <f t="shared" ref="V7:V70" si="10">IF(T7&gt;0,T7/U7,"")</f>
        <v>0.80340515921367273</v>
      </c>
      <c r="W7" s="207">
        <f t="shared" si="1"/>
        <v>0.80340515921367273</v>
      </c>
      <c r="X7" s="222"/>
      <c r="Y7" s="226"/>
      <c r="Z7" s="230">
        <v>0</v>
      </c>
      <c r="AA7" s="207" t="str">
        <f t="shared" ref="AA7:AA70" si="11">IF(Y7&gt;0,Y7/Z7,"")</f>
        <v/>
      </c>
      <c r="AB7" s="233">
        <v>1302</v>
      </c>
      <c r="AC7" s="207">
        <f t="shared" ref="AC7:AC9" si="12">I7/AB7</f>
        <v>0.83256528417818743</v>
      </c>
      <c r="AD7" s="208">
        <f t="shared" ref="AD7:AD70" si="13">L7/I7</f>
        <v>113.74630996309963</v>
      </c>
      <c r="AE7" s="218">
        <v>186</v>
      </c>
      <c r="AF7" s="218">
        <v>268</v>
      </c>
      <c r="AG7" s="218">
        <v>454</v>
      </c>
      <c r="AH7" s="350">
        <v>111049</v>
      </c>
      <c r="AI7" s="354">
        <f t="shared" ref="AI7:AI70" si="14">L7-AH7</f>
        <v>12252</v>
      </c>
    </row>
    <row r="8" spans="1:36" s="147" customFormat="1" ht="14.25" customHeight="1" x14ac:dyDescent="0.35">
      <c r="A8" s="147">
        <v>1</v>
      </c>
      <c r="B8" s="147">
        <f t="shared" si="3"/>
        <v>0</v>
      </c>
      <c r="C8" s="148">
        <v>45901</v>
      </c>
      <c r="D8" s="147" t="s">
        <v>53</v>
      </c>
      <c r="G8" s="148">
        <v>45905.833333333336</v>
      </c>
      <c r="H8" s="147" t="s">
        <v>52</v>
      </c>
      <c r="I8" s="149">
        <f t="shared" si="4"/>
        <v>662</v>
      </c>
      <c r="J8" s="33">
        <f t="shared" si="5"/>
        <v>662</v>
      </c>
      <c r="K8" s="34">
        <f>IF(J8="Too early",J8,J8/AB8)</f>
        <v>1.1033333333333333</v>
      </c>
      <c r="L8" s="35">
        <f t="shared" si="6"/>
        <v>18755</v>
      </c>
      <c r="M8" s="36">
        <f t="shared" si="7"/>
        <v>15000</v>
      </c>
      <c r="N8" s="196">
        <f t="shared" si="8"/>
        <v>1.2503333333333333</v>
      </c>
      <c r="O8" s="34">
        <f t="shared" si="9"/>
        <v>1.2503333333333333</v>
      </c>
      <c r="P8" s="243">
        <v>662</v>
      </c>
      <c r="Q8" s="400">
        <f>AB8-X8</f>
        <v>600</v>
      </c>
      <c r="R8" s="209">
        <f>IF(B8&lt;7,(P8/VLOOKUP(B8,'Sales Pacing'!$A$23:$E$36,2)),"Too early")</f>
        <v>662</v>
      </c>
      <c r="S8" s="401">
        <f>IF(R8="Too early","Too early",R8/Q8)</f>
        <v>1.1033333333333333</v>
      </c>
      <c r="T8" s="359">
        <v>18755</v>
      </c>
      <c r="U8" s="231">
        <v>15000</v>
      </c>
      <c r="V8" s="238">
        <f t="shared" si="10"/>
        <v>1.2503333333333333</v>
      </c>
      <c r="W8" s="210">
        <f t="shared" si="1"/>
        <v>1.2503333333333333</v>
      </c>
      <c r="X8" s="223"/>
      <c r="Y8" s="227"/>
      <c r="Z8" s="231">
        <v>0</v>
      </c>
      <c r="AA8" s="210" t="str">
        <f t="shared" si="11"/>
        <v/>
      </c>
      <c r="AB8" s="234">
        <v>600</v>
      </c>
      <c r="AC8" s="402">
        <f>I8/AB8</f>
        <v>1.1033333333333333</v>
      </c>
      <c r="AD8" s="211">
        <f t="shared" si="13"/>
        <v>28.330815709969787</v>
      </c>
      <c r="AE8" s="219">
        <v>77</v>
      </c>
      <c r="AF8" s="219">
        <v>203</v>
      </c>
      <c r="AG8" s="219">
        <v>280</v>
      </c>
      <c r="AH8" s="350">
        <v>17555</v>
      </c>
      <c r="AI8" s="354">
        <f t="shared" si="14"/>
        <v>1200</v>
      </c>
    </row>
    <row r="9" spans="1:36" s="186" customFormat="1" ht="14.25" customHeight="1" x14ac:dyDescent="0.35">
      <c r="A9" s="186">
        <v>2</v>
      </c>
      <c r="B9" s="186">
        <f t="shared" si="3"/>
        <v>1</v>
      </c>
      <c r="C9" s="187">
        <v>45908</v>
      </c>
      <c r="D9" s="186" t="s">
        <v>54</v>
      </c>
      <c r="G9" s="198"/>
      <c r="H9" s="199"/>
      <c r="I9" s="200">
        <f t="shared" si="4"/>
        <v>0</v>
      </c>
      <c r="J9" s="201">
        <f t="shared" si="5"/>
        <v>0</v>
      </c>
      <c r="K9" s="202"/>
      <c r="L9" s="203"/>
      <c r="M9" s="204"/>
      <c r="N9" s="205" t="e">
        <f t="shared" si="8"/>
        <v>#DIV/0!</v>
      </c>
      <c r="O9" s="202"/>
      <c r="P9" s="224"/>
      <c r="Q9" s="224"/>
      <c r="R9" s="212">
        <f>IF(B9&lt;7,(P9/VLOOKUP(B9,'Sales Pacing'!$A$23:$E$36,2)),"Too early")</f>
        <v>0</v>
      </c>
      <c r="S9" s="212"/>
      <c r="T9" s="228"/>
      <c r="U9" s="228"/>
      <c r="V9" s="239" t="str">
        <f t="shared" si="10"/>
        <v/>
      </c>
      <c r="W9" s="213"/>
      <c r="X9" s="224"/>
      <c r="Y9" s="228"/>
      <c r="Z9" s="228"/>
      <c r="AA9" s="213" t="s">
        <v>55</v>
      </c>
      <c r="AB9" s="224"/>
      <c r="AC9" s="213" t="e">
        <f t="shared" si="12"/>
        <v>#DIV/0!</v>
      </c>
      <c r="AD9" s="214"/>
      <c r="AE9" s="220"/>
      <c r="AF9" s="220"/>
      <c r="AG9" s="220"/>
      <c r="AH9" s="351"/>
      <c r="AI9" s="355"/>
    </row>
    <row r="10" spans="1:36" s="143" customFormat="1" ht="14.25" customHeight="1" x14ac:dyDescent="0.35">
      <c r="A10" s="143">
        <v>3</v>
      </c>
      <c r="B10" s="143">
        <f t="shared" si="3"/>
        <v>2</v>
      </c>
      <c r="C10" s="144">
        <v>45915</v>
      </c>
      <c r="D10" s="143" t="s">
        <v>56</v>
      </c>
      <c r="G10" s="144">
        <v>45919.833333333336</v>
      </c>
      <c r="H10" s="143" t="s">
        <v>57</v>
      </c>
      <c r="I10" s="315">
        <f>P10+X10</f>
        <v>960</v>
      </c>
      <c r="J10" s="38">
        <f t="shared" si="5"/>
        <v>1278.1304347826085</v>
      </c>
      <c r="K10" s="31">
        <f>IF(J10="Too early",J10,J10/AB10)</f>
        <v>0.80385561936013117</v>
      </c>
      <c r="L10" s="39">
        <f t="shared" si="6"/>
        <v>66728.100000000006</v>
      </c>
      <c r="M10" s="32">
        <f t="shared" si="7"/>
        <v>100666</v>
      </c>
      <c r="N10" s="195">
        <f t="shared" si="8"/>
        <v>0.66286631037291643</v>
      </c>
      <c r="O10" s="31">
        <f t="shared" si="9"/>
        <v>0.88253083904133234</v>
      </c>
      <c r="P10" s="222">
        <v>271</v>
      </c>
      <c r="Q10" s="400">
        <f t="shared" ref="Q10:Q29" si="15">AB10-X10</f>
        <v>901</v>
      </c>
      <c r="R10" s="206">
        <f>IF(B10&lt;7,(P10/VLOOKUP(B10,'Sales Pacing'!$A$23:$E$36,2)),"Too early")</f>
        <v>589.13043478260863</v>
      </c>
      <c r="S10" s="401">
        <f t="shared" ref="S10:S29" si="16">IF(R10="Too early","Too early",R10/Q10)</f>
        <v>0.65386285769434915</v>
      </c>
      <c r="T10" s="226">
        <v>17322</v>
      </c>
      <c r="U10" s="230">
        <v>59333</v>
      </c>
      <c r="V10" s="237">
        <f t="shared" si="10"/>
        <v>0.29194546036775487</v>
      </c>
      <c r="W10" s="207">
        <f>IF($R10="Too early",R10,R10*AD10/U10)</f>
        <v>0.69016459652191486</v>
      </c>
      <c r="X10" s="222">
        <v>689</v>
      </c>
      <c r="Y10" s="226">
        <v>49406.1</v>
      </c>
      <c r="Z10" s="230">
        <v>41333</v>
      </c>
      <c r="AA10" s="207">
        <f t="shared" si="11"/>
        <v>1.1953185106331503</v>
      </c>
      <c r="AB10" s="233">
        <v>1590</v>
      </c>
      <c r="AC10" s="207">
        <f t="shared" ref="AC10:AC29" si="17">I10/AB10</f>
        <v>0.60377358490566035</v>
      </c>
      <c r="AD10" s="208">
        <f t="shared" si="13"/>
        <v>69.508437499999999</v>
      </c>
      <c r="AE10" s="218">
        <v>38</v>
      </c>
      <c r="AF10" s="218">
        <v>402</v>
      </c>
      <c r="AG10" s="218">
        <v>440</v>
      </c>
      <c r="AH10" s="350">
        <v>63589.3</v>
      </c>
      <c r="AI10" s="354">
        <f t="shared" si="14"/>
        <v>3138.8000000000029</v>
      </c>
    </row>
    <row r="11" spans="1:36" s="143" customFormat="1" ht="14.25" customHeight="1" x14ac:dyDescent="0.35">
      <c r="A11" s="143">
        <v>3</v>
      </c>
      <c r="B11" s="143">
        <f t="shared" si="3"/>
        <v>2</v>
      </c>
      <c r="C11" s="144">
        <v>45915</v>
      </c>
      <c r="D11" s="143" t="s">
        <v>56</v>
      </c>
      <c r="G11" s="144">
        <v>45920.833333333336</v>
      </c>
      <c r="H11" s="143" t="s">
        <v>57</v>
      </c>
      <c r="I11" s="315">
        <f t="shared" si="4"/>
        <v>911</v>
      </c>
      <c r="J11" s="38">
        <f t="shared" si="5"/>
        <v>1260.8260869565217</v>
      </c>
      <c r="K11" s="31">
        <f>IF(J11="Too early",J11,J11/AB11)</f>
        <v>0.79297238173366147</v>
      </c>
      <c r="L11" s="39">
        <f t="shared" si="6"/>
        <v>64763.8</v>
      </c>
      <c r="M11" s="32">
        <f t="shared" si="7"/>
        <v>100667</v>
      </c>
      <c r="N11" s="195">
        <f t="shared" si="8"/>
        <v>0.64334687633484655</v>
      </c>
      <c r="O11" s="31">
        <f t="shared" si="9"/>
        <v>0.89039355065309111</v>
      </c>
      <c r="P11" s="222">
        <v>298</v>
      </c>
      <c r="Q11" s="400">
        <f t="shared" si="15"/>
        <v>977</v>
      </c>
      <c r="R11" s="206">
        <f>IF(B11&lt;7,(P11/VLOOKUP(B11,'Sales Pacing'!$A$23:$E$36,2)),"Too early")</f>
        <v>647.82608695652175</v>
      </c>
      <c r="S11" s="401">
        <f t="shared" si="16"/>
        <v>0.66307685461261179</v>
      </c>
      <c r="T11" s="226">
        <v>20387</v>
      </c>
      <c r="U11" s="230">
        <v>59333</v>
      </c>
      <c r="V11" s="237">
        <f t="shared" si="10"/>
        <v>0.34360305394974128</v>
      </c>
      <c r="W11" s="207">
        <f t="shared" ref="W11:W74" si="18">IF($R11="Too early",R11,R11*AD11/U11)</f>
        <v>0.77620434707793973</v>
      </c>
      <c r="X11" s="222">
        <v>613</v>
      </c>
      <c r="Y11" s="226">
        <v>44376.800000000003</v>
      </c>
      <c r="Z11" s="230">
        <v>41334</v>
      </c>
      <c r="AA11" s="207">
        <f t="shared" si="11"/>
        <v>1.0736149416944889</v>
      </c>
      <c r="AB11" s="233">
        <v>1590</v>
      </c>
      <c r="AC11" s="207">
        <f t="shared" si="17"/>
        <v>0.57295597484276728</v>
      </c>
      <c r="AD11" s="208">
        <f t="shared" si="13"/>
        <v>71.090889132821076</v>
      </c>
      <c r="AE11" s="218">
        <v>51</v>
      </c>
      <c r="AF11" s="218">
        <v>354</v>
      </c>
      <c r="AG11" s="218">
        <v>405</v>
      </c>
      <c r="AH11" s="350">
        <v>62401.3</v>
      </c>
      <c r="AI11" s="354">
        <f t="shared" si="14"/>
        <v>2362.5</v>
      </c>
    </row>
    <row r="12" spans="1:36" s="147" customFormat="1" ht="14.25" customHeight="1" x14ac:dyDescent="0.35">
      <c r="A12" s="147">
        <v>3</v>
      </c>
      <c r="B12" s="147">
        <f t="shared" si="3"/>
        <v>2</v>
      </c>
      <c r="C12" s="148">
        <v>45915</v>
      </c>
      <c r="D12" s="147" t="s">
        <v>56</v>
      </c>
      <c r="G12" s="148">
        <v>45921.583333333336</v>
      </c>
      <c r="H12" s="147" t="s">
        <v>57</v>
      </c>
      <c r="I12" s="316">
        <f t="shared" si="4"/>
        <v>706</v>
      </c>
      <c r="J12" s="33">
        <f t="shared" si="5"/>
        <v>1095.7391304347825</v>
      </c>
      <c r="K12" s="34">
        <f>IF(J12="Too early",J12,J12/AB12)</f>
        <v>0.68914410719168706</v>
      </c>
      <c r="L12" s="35">
        <f t="shared" si="6"/>
        <v>47103.8</v>
      </c>
      <c r="M12" s="36">
        <f t="shared" si="7"/>
        <v>100666</v>
      </c>
      <c r="N12" s="196">
        <f t="shared" si="8"/>
        <v>0.46792164186517793</v>
      </c>
      <c r="O12" s="34">
        <f t="shared" si="9"/>
        <v>0.7262323696444275</v>
      </c>
      <c r="P12" s="223">
        <v>332</v>
      </c>
      <c r="Q12" s="400">
        <f t="shared" si="15"/>
        <v>1216</v>
      </c>
      <c r="R12" s="209">
        <f>IF(B12&lt;7,(P12/VLOOKUP(B12,'Sales Pacing'!$A$23:$E$36,2)),"Too early")</f>
        <v>721.73913043478262</v>
      </c>
      <c r="S12" s="401">
        <f t="shared" si="16"/>
        <v>0.59353546910755151</v>
      </c>
      <c r="T12" s="227">
        <v>21628</v>
      </c>
      <c r="U12" s="231">
        <v>59333</v>
      </c>
      <c r="V12" s="238">
        <f t="shared" si="10"/>
        <v>0.36451890179158308</v>
      </c>
      <c r="W12" s="210">
        <f t="shared" si="18"/>
        <v>0.81158719751315522</v>
      </c>
      <c r="X12" s="223">
        <v>374</v>
      </c>
      <c r="Y12" s="227">
        <v>25475.8</v>
      </c>
      <c r="Z12" s="231">
        <v>41333</v>
      </c>
      <c r="AA12" s="210">
        <f t="shared" si="11"/>
        <v>0.61635497060460165</v>
      </c>
      <c r="AB12" s="234">
        <v>1590</v>
      </c>
      <c r="AC12" s="402">
        <f t="shared" si="17"/>
        <v>0.44402515723270441</v>
      </c>
      <c r="AD12" s="211">
        <f t="shared" si="13"/>
        <v>66.719263456090658</v>
      </c>
      <c r="AE12" s="219">
        <v>53</v>
      </c>
      <c r="AF12" s="219">
        <v>253</v>
      </c>
      <c r="AG12" s="219">
        <v>306</v>
      </c>
      <c r="AH12" s="352">
        <v>45027.8</v>
      </c>
      <c r="AI12" s="354">
        <f t="shared" si="14"/>
        <v>2076</v>
      </c>
    </row>
    <row r="13" spans="1:36" s="147" customFormat="1" ht="14.25" customHeight="1" x14ac:dyDescent="0.35">
      <c r="A13" s="147">
        <v>4</v>
      </c>
      <c r="B13" s="147">
        <f t="shared" si="3"/>
        <v>3</v>
      </c>
      <c r="C13" s="148">
        <v>45922</v>
      </c>
      <c r="D13" s="147" t="s">
        <v>58</v>
      </c>
      <c r="G13" s="148">
        <v>45928.583333333336</v>
      </c>
      <c r="H13" s="147" t="s">
        <v>59</v>
      </c>
      <c r="I13" s="149">
        <f t="shared" si="4"/>
        <v>444</v>
      </c>
      <c r="J13" s="33">
        <f t="shared" si="5"/>
        <v>677.05128205128199</v>
      </c>
      <c r="K13" s="34">
        <f>IF(J13="Too early",J13,J13/AB13)</f>
        <v>0.52000866516995548</v>
      </c>
      <c r="L13" s="35">
        <f t="shared" si="6"/>
        <v>11640</v>
      </c>
      <c r="M13" s="36">
        <f t="shared" si="7"/>
        <v>19500</v>
      </c>
      <c r="N13" s="196">
        <f t="shared" si="8"/>
        <v>0.59692307692307689</v>
      </c>
      <c r="O13" s="34">
        <f t="shared" si="9"/>
        <v>0.91024219485757951</v>
      </c>
      <c r="P13" s="243">
        <v>149</v>
      </c>
      <c r="Q13" s="400">
        <f t="shared" si="15"/>
        <v>1007</v>
      </c>
      <c r="R13" s="209">
        <f>IF(B13&lt;7,(P13/VLOOKUP(B13,'Sales Pacing'!$A$23:$E$36,2)),"Too early")</f>
        <v>382.05128205128204</v>
      </c>
      <c r="S13" s="401">
        <f t="shared" si="16"/>
        <v>0.37939551345708245</v>
      </c>
      <c r="T13" s="227">
        <v>5057</v>
      </c>
      <c r="U13" s="231">
        <v>10000</v>
      </c>
      <c r="V13" s="238">
        <f t="shared" si="10"/>
        <v>0.50570000000000004</v>
      </c>
      <c r="W13" s="210">
        <f t="shared" si="18"/>
        <v>1.0015939015939017</v>
      </c>
      <c r="X13" s="223">
        <v>295</v>
      </c>
      <c r="Y13" s="227">
        <v>6583</v>
      </c>
      <c r="Z13" s="231">
        <v>9500</v>
      </c>
      <c r="AA13" s="210">
        <f t="shared" si="11"/>
        <v>0.69294736842105265</v>
      </c>
      <c r="AB13" s="234">
        <v>1302</v>
      </c>
      <c r="AC13" s="402">
        <f t="shared" si="17"/>
        <v>0.34101382488479265</v>
      </c>
      <c r="AD13" s="211">
        <f t="shared" si="13"/>
        <v>26.216216216216218</v>
      </c>
      <c r="AE13" s="219">
        <v>15</v>
      </c>
      <c r="AF13" s="219">
        <v>88</v>
      </c>
      <c r="AG13" s="219">
        <v>103</v>
      </c>
      <c r="AH13" s="352">
        <v>11177</v>
      </c>
      <c r="AI13" s="354">
        <f t="shared" si="14"/>
        <v>463</v>
      </c>
    </row>
    <row r="14" spans="1:36" s="147" customFormat="1" ht="14.25" customHeight="1" x14ac:dyDescent="0.35">
      <c r="A14" s="147">
        <v>5</v>
      </c>
      <c r="B14" s="147">
        <f t="shared" si="3"/>
        <v>4</v>
      </c>
      <c r="C14" s="148">
        <v>45929</v>
      </c>
      <c r="D14" s="147" t="s">
        <v>60</v>
      </c>
      <c r="G14" s="148">
        <v>45934</v>
      </c>
      <c r="H14" s="147" t="s">
        <v>52</v>
      </c>
      <c r="I14" s="149">
        <f t="shared" si="4"/>
        <v>171</v>
      </c>
      <c r="J14" s="33">
        <f t="shared" si="5"/>
        <v>518.18181818181813</v>
      </c>
      <c r="K14" s="34">
        <f>IF(J14="Too early",J14,J14/AB14)</f>
        <v>0.32590051457975983</v>
      </c>
      <c r="L14" s="35">
        <f t="shared" si="6"/>
        <v>12321</v>
      </c>
      <c r="M14" s="36">
        <f t="shared" si="7"/>
        <v>58000</v>
      </c>
      <c r="N14" s="196">
        <f t="shared" si="8"/>
        <v>0.21243103448275863</v>
      </c>
      <c r="O14" s="34">
        <f t="shared" si="9"/>
        <v>0.64373040752351085</v>
      </c>
      <c r="P14" s="223">
        <v>171</v>
      </c>
      <c r="Q14" s="400">
        <f t="shared" si="15"/>
        <v>1590</v>
      </c>
      <c r="R14" s="209">
        <f>IF(B14&lt;7,(P14/VLOOKUP(B14,'Sales Pacing'!$A$23:$E$36,2)),"Too early")</f>
        <v>518.18181818181813</v>
      </c>
      <c r="S14" s="401">
        <f t="shared" si="16"/>
        <v>0.32590051457975983</v>
      </c>
      <c r="T14" s="227">
        <v>12321</v>
      </c>
      <c r="U14" s="231">
        <v>58000</v>
      </c>
      <c r="V14" s="238">
        <f t="shared" si="10"/>
        <v>0.21243103448275863</v>
      </c>
      <c r="W14" s="210">
        <f t="shared" si="18"/>
        <v>0.64373040752351085</v>
      </c>
      <c r="X14" s="223"/>
      <c r="Y14" s="227"/>
      <c r="Z14" s="231"/>
      <c r="AA14" s="210" t="str">
        <f t="shared" si="11"/>
        <v/>
      </c>
      <c r="AB14" s="234">
        <v>1590</v>
      </c>
      <c r="AC14" s="402">
        <f t="shared" si="17"/>
        <v>0.10754716981132076</v>
      </c>
      <c r="AD14" s="211">
        <f t="shared" si="13"/>
        <v>72.05263157894737</v>
      </c>
      <c r="AE14" s="219">
        <v>6</v>
      </c>
      <c r="AF14" s="219">
        <v>62</v>
      </c>
      <c r="AG14" s="219">
        <v>68</v>
      </c>
      <c r="AH14" s="352">
        <v>10596</v>
      </c>
      <c r="AI14" s="354">
        <f t="shared" si="14"/>
        <v>1725</v>
      </c>
    </row>
    <row r="15" spans="1:36" s="143" customFormat="1" ht="14.25" customHeight="1" x14ac:dyDescent="0.35">
      <c r="A15" s="143">
        <v>6</v>
      </c>
      <c r="B15" s="143">
        <f t="shared" si="3"/>
        <v>5</v>
      </c>
      <c r="C15" s="144">
        <v>45936</v>
      </c>
      <c r="D15" s="143" t="s">
        <v>61</v>
      </c>
      <c r="G15" s="144">
        <v>45940.833333333336</v>
      </c>
      <c r="H15" s="143" t="s">
        <v>62</v>
      </c>
      <c r="I15" s="37">
        <f t="shared" si="4"/>
        <v>692</v>
      </c>
      <c r="J15" s="38">
        <f t="shared" si="5"/>
        <v>1037.3333333333335</v>
      </c>
      <c r="K15" s="31">
        <f t="shared" ref="K15:K29" si="19">IF(J15="Too early",J15,J15/AB15)</f>
        <v>0.72388927657594804</v>
      </c>
      <c r="L15" s="39">
        <f t="shared" si="6"/>
        <v>45390</v>
      </c>
      <c r="M15" s="381">
        <v>100000</v>
      </c>
      <c r="N15" s="195">
        <f t="shared" si="8"/>
        <v>0.45390000000000003</v>
      </c>
      <c r="O15" s="31">
        <f t="shared" si="9"/>
        <v>0.68041271676300585</v>
      </c>
      <c r="P15" s="222">
        <v>148</v>
      </c>
      <c r="Q15" s="400">
        <f t="shared" si="15"/>
        <v>889</v>
      </c>
      <c r="R15" s="206">
        <f>IF(B15&lt;7,(P15/VLOOKUP(B15,'Sales Pacing'!$A$23:$E$36,2)),"Too early")</f>
        <v>493.33333333333337</v>
      </c>
      <c r="S15" s="401">
        <f t="shared" si="16"/>
        <v>0.55493063367079121</v>
      </c>
      <c r="T15" s="226">
        <v>8956</v>
      </c>
      <c r="U15" s="230">
        <v>16666</v>
      </c>
      <c r="V15" s="237">
        <f t="shared" si="10"/>
        <v>0.53738149525981038</v>
      </c>
      <c r="W15" s="207">
        <f t="shared" si="18"/>
        <v>1.94161523686381</v>
      </c>
      <c r="X15" s="222">
        <v>544</v>
      </c>
      <c r="Y15" s="226">
        <v>36434</v>
      </c>
      <c r="Z15" s="230">
        <v>33333</v>
      </c>
      <c r="AA15" s="207">
        <f t="shared" si="11"/>
        <v>1.0930309303093031</v>
      </c>
      <c r="AB15" s="233">
        <v>1433</v>
      </c>
      <c r="AC15" s="207">
        <f t="shared" si="17"/>
        <v>0.4829030006978367</v>
      </c>
      <c r="AD15" s="208">
        <f t="shared" si="13"/>
        <v>65.592485549132945</v>
      </c>
      <c r="AE15" s="218">
        <v>11</v>
      </c>
      <c r="AF15" s="218">
        <v>343</v>
      </c>
      <c r="AG15" s="218">
        <v>354</v>
      </c>
      <c r="AH15" s="350">
        <v>43762.3</v>
      </c>
      <c r="AI15" s="354">
        <f t="shared" si="14"/>
        <v>1627.6999999999971</v>
      </c>
    </row>
    <row r="16" spans="1:36" s="143" customFormat="1" ht="14.25" customHeight="1" x14ac:dyDescent="0.35">
      <c r="A16" s="143">
        <v>6</v>
      </c>
      <c r="B16" s="143">
        <f t="shared" si="3"/>
        <v>5</v>
      </c>
      <c r="C16" s="144">
        <v>45936</v>
      </c>
      <c r="D16" s="143" t="s">
        <v>61</v>
      </c>
      <c r="G16" s="144">
        <v>45941.833333333336</v>
      </c>
      <c r="H16" s="143" t="s">
        <v>62</v>
      </c>
      <c r="I16" s="37">
        <f t="shared" si="4"/>
        <v>746</v>
      </c>
      <c r="J16" s="38">
        <f t="shared" si="5"/>
        <v>1121.6666666666667</v>
      </c>
      <c r="K16" s="31">
        <f t="shared" si="19"/>
        <v>0.78274017213305425</v>
      </c>
      <c r="L16" s="39">
        <f t="shared" si="6"/>
        <v>49773.1</v>
      </c>
      <c r="M16" s="381">
        <v>100000</v>
      </c>
      <c r="N16" s="195">
        <f t="shared" si="8"/>
        <v>0.49773099999999998</v>
      </c>
      <c r="O16" s="31">
        <f t="shared" si="9"/>
        <v>0.74837569928507597</v>
      </c>
      <c r="P16" s="222">
        <v>161</v>
      </c>
      <c r="Q16" s="400">
        <f t="shared" si="15"/>
        <v>848</v>
      </c>
      <c r="R16" s="206">
        <f>IF(B16&lt;7,(P16/VLOOKUP(B16,'Sales Pacing'!$A$23:$E$36,2)),"Too early")</f>
        <v>536.66666666666674</v>
      </c>
      <c r="S16" s="401">
        <f t="shared" si="16"/>
        <v>0.63286163522012584</v>
      </c>
      <c r="T16" s="226">
        <v>10192</v>
      </c>
      <c r="U16" s="230">
        <v>16666</v>
      </c>
      <c r="V16" s="237">
        <f t="shared" si="10"/>
        <v>0.6115444617784711</v>
      </c>
      <c r="W16" s="207">
        <f t="shared" si="18"/>
        <v>2.1484690754922426</v>
      </c>
      <c r="X16" s="222">
        <v>585</v>
      </c>
      <c r="Y16" s="226">
        <v>39581.1</v>
      </c>
      <c r="Z16" s="230">
        <v>33333</v>
      </c>
      <c r="AA16" s="207">
        <f t="shared" si="11"/>
        <v>1.1874448744487445</v>
      </c>
      <c r="AB16" s="233">
        <v>1433</v>
      </c>
      <c r="AC16" s="207">
        <f t="shared" si="17"/>
        <v>0.520586182833217</v>
      </c>
      <c r="AD16" s="208">
        <f t="shared" si="13"/>
        <v>66.719973190348526</v>
      </c>
      <c r="AE16" s="218">
        <v>16</v>
      </c>
      <c r="AF16" s="218">
        <v>366</v>
      </c>
      <c r="AG16" s="218">
        <v>382</v>
      </c>
      <c r="AH16" s="350">
        <v>48541.1</v>
      </c>
      <c r="AI16" s="354">
        <f t="shared" si="14"/>
        <v>1232</v>
      </c>
    </row>
    <row r="17" spans="1:35" s="147" customFormat="1" ht="14.25" customHeight="1" x14ac:dyDescent="0.35">
      <c r="A17" s="147">
        <v>6</v>
      </c>
      <c r="B17" s="147">
        <f t="shared" si="3"/>
        <v>5</v>
      </c>
      <c r="C17" s="148">
        <v>45936</v>
      </c>
      <c r="D17" s="147" t="s">
        <v>61</v>
      </c>
      <c r="G17" s="148">
        <v>45942.583333333336</v>
      </c>
      <c r="H17" s="147" t="s">
        <v>62</v>
      </c>
      <c r="I17" s="149">
        <f t="shared" si="4"/>
        <v>804</v>
      </c>
      <c r="J17" s="33">
        <f t="shared" si="5"/>
        <v>1266</v>
      </c>
      <c r="K17" s="34">
        <f t="shared" si="19"/>
        <v>0.88346127006280528</v>
      </c>
      <c r="L17" s="35">
        <f t="shared" si="6"/>
        <v>52146.6</v>
      </c>
      <c r="M17" s="382">
        <v>100000</v>
      </c>
      <c r="N17" s="196">
        <f t="shared" si="8"/>
        <v>0.52146599999999999</v>
      </c>
      <c r="O17" s="34">
        <f t="shared" si="9"/>
        <v>0.82111437313432833</v>
      </c>
      <c r="P17" s="223">
        <v>198</v>
      </c>
      <c r="Q17" s="400">
        <f t="shared" si="15"/>
        <v>827</v>
      </c>
      <c r="R17" s="209">
        <f>IF(B17&lt;7,(P17/VLOOKUP(B17,'Sales Pacing'!$A$23:$E$36,2)),"Too early")</f>
        <v>660</v>
      </c>
      <c r="S17" s="401">
        <f t="shared" si="16"/>
        <v>0.79806529625151146</v>
      </c>
      <c r="T17" s="227">
        <v>12884</v>
      </c>
      <c r="U17" s="231">
        <v>16666</v>
      </c>
      <c r="V17" s="238">
        <f t="shared" si="10"/>
        <v>0.77307092283691348</v>
      </c>
      <c r="W17" s="210">
        <f t="shared" si="18"/>
        <v>2.5685173675603745</v>
      </c>
      <c r="X17" s="223">
        <v>606</v>
      </c>
      <c r="Y17" s="227">
        <v>39262.6</v>
      </c>
      <c r="Z17" s="231">
        <v>33334</v>
      </c>
      <c r="AA17" s="210">
        <f t="shared" si="11"/>
        <v>1.1778544429111417</v>
      </c>
      <c r="AB17" s="234">
        <v>1433</v>
      </c>
      <c r="AC17" s="402">
        <f t="shared" si="17"/>
        <v>0.5610607117934403</v>
      </c>
      <c r="AD17" s="211">
        <f t="shared" si="13"/>
        <v>64.858955223880599</v>
      </c>
      <c r="AE17" s="219">
        <v>16</v>
      </c>
      <c r="AF17" s="219">
        <v>424</v>
      </c>
      <c r="AG17" s="219">
        <v>440</v>
      </c>
      <c r="AH17" s="352">
        <v>51198.6</v>
      </c>
      <c r="AI17" s="354">
        <f t="shared" si="14"/>
        <v>948</v>
      </c>
    </row>
    <row r="18" spans="1:35" s="143" customFormat="1" ht="14.25" customHeight="1" x14ac:dyDescent="0.35">
      <c r="A18" s="143">
        <v>7</v>
      </c>
      <c r="B18" s="143">
        <f t="shared" si="3"/>
        <v>6</v>
      </c>
      <c r="C18" s="144">
        <v>45943</v>
      </c>
      <c r="D18" s="143" t="s">
        <v>63</v>
      </c>
      <c r="G18" s="144">
        <v>45947.791666666664</v>
      </c>
      <c r="H18" s="143" t="s">
        <v>64</v>
      </c>
      <c r="I18" s="315">
        <f t="shared" si="4"/>
        <v>592</v>
      </c>
      <c r="J18" s="38">
        <f t="shared" si="5"/>
        <v>2192.5925925925926</v>
      </c>
      <c r="K18" s="31">
        <f t="shared" si="19"/>
        <v>1.6840188883199636</v>
      </c>
      <c r="L18" s="39">
        <f t="shared" si="6"/>
        <v>44890</v>
      </c>
      <c r="M18" s="32">
        <f t="shared" si="7"/>
        <v>103497</v>
      </c>
      <c r="N18" s="195">
        <f t="shared" si="8"/>
        <v>0.43373237871629128</v>
      </c>
      <c r="O18" s="31">
        <f t="shared" si="9"/>
        <v>1.6064162174677457</v>
      </c>
      <c r="P18" s="241">
        <v>592</v>
      </c>
      <c r="Q18" s="400">
        <f t="shared" si="15"/>
        <v>1302</v>
      </c>
      <c r="R18" s="206">
        <f>IF(B18&lt;7,(P18/VLOOKUP(B18,'Sales Pacing'!$A$23:$E$36,2)),"Too early")</f>
        <v>2192.5925925925926</v>
      </c>
      <c r="S18" s="401">
        <f t="shared" si="16"/>
        <v>1.6840188883199636</v>
      </c>
      <c r="T18" s="226">
        <v>44890</v>
      </c>
      <c r="U18" s="230">
        <v>103497</v>
      </c>
      <c r="V18" s="237">
        <f t="shared" si="10"/>
        <v>0.43373237871629128</v>
      </c>
      <c r="W18" s="207">
        <f t="shared" si="18"/>
        <v>1.6064162174677457</v>
      </c>
      <c r="X18" s="222"/>
      <c r="Y18" s="226"/>
      <c r="Z18" s="230"/>
      <c r="AA18" s="207" t="str">
        <f t="shared" si="11"/>
        <v/>
      </c>
      <c r="AB18" s="233">
        <v>1302</v>
      </c>
      <c r="AC18" s="207">
        <f t="shared" si="17"/>
        <v>0.45468509984639016</v>
      </c>
      <c r="AD18" s="208">
        <f t="shared" si="13"/>
        <v>75.827702702702709</v>
      </c>
      <c r="AE18" s="218">
        <v>47</v>
      </c>
      <c r="AF18" s="218">
        <v>175</v>
      </c>
      <c r="AG18" s="218">
        <v>222</v>
      </c>
      <c r="AH18" s="350">
        <v>41731.5</v>
      </c>
      <c r="AI18" s="354">
        <f t="shared" si="14"/>
        <v>3158.5</v>
      </c>
    </row>
    <row r="19" spans="1:35" s="143" customFormat="1" ht="14.25" customHeight="1" x14ac:dyDescent="0.35">
      <c r="A19" s="143">
        <v>7</v>
      </c>
      <c r="B19" s="143">
        <f t="shared" si="3"/>
        <v>6</v>
      </c>
      <c r="C19" s="144">
        <v>45943</v>
      </c>
      <c r="D19" s="143" t="s">
        <v>63</v>
      </c>
      <c r="G19" s="144">
        <v>45948.791666666664</v>
      </c>
      <c r="H19" s="143" t="s">
        <v>64</v>
      </c>
      <c r="I19" s="315">
        <f t="shared" si="4"/>
        <v>707</v>
      </c>
      <c r="J19" s="38">
        <f t="shared" si="5"/>
        <v>2618.5185185185182</v>
      </c>
      <c r="K19" s="31">
        <f t="shared" si="19"/>
        <v>2.0111509358821187</v>
      </c>
      <c r="L19" s="39">
        <f t="shared" si="6"/>
        <v>53528</v>
      </c>
      <c r="M19" s="32">
        <f t="shared" si="7"/>
        <v>103497</v>
      </c>
      <c r="N19" s="195">
        <f t="shared" si="8"/>
        <v>0.51719373508410871</v>
      </c>
      <c r="O19" s="31">
        <f t="shared" si="9"/>
        <v>1.9155323521633654</v>
      </c>
      <c r="P19" s="241">
        <v>707</v>
      </c>
      <c r="Q19" s="400">
        <f t="shared" si="15"/>
        <v>1302</v>
      </c>
      <c r="R19" s="206">
        <f>IF(B19&lt;7,(P19/VLOOKUP(B19,'Sales Pacing'!$A$23:$E$36,2)),"Too early")</f>
        <v>2618.5185185185182</v>
      </c>
      <c r="S19" s="401">
        <f t="shared" si="16"/>
        <v>2.0111509358821187</v>
      </c>
      <c r="T19" s="226">
        <v>53528</v>
      </c>
      <c r="U19" s="230">
        <v>103497</v>
      </c>
      <c r="V19" s="237">
        <f t="shared" si="10"/>
        <v>0.51719373508410871</v>
      </c>
      <c r="W19" s="207">
        <f t="shared" si="18"/>
        <v>1.9155323521633654</v>
      </c>
      <c r="X19" s="222"/>
      <c r="Y19" s="226"/>
      <c r="Z19" s="230"/>
      <c r="AA19" s="207" t="str">
        <f t="shared" si="11"/>
        <v/>
      </c>
      <c r="AB19" s="233">
        <v>1302</v>
      </c>
      <c r="AC19" s="207">
        <f t="shared" si="17"/>
        <v>0.543010752688172</v>
      </c>
      <c r="AD19" s="208">
        <f t="shared" si="13"/>
        <v>75.711456859971705</v>
      </c>
      <c r="AE19" s="218"/>
      <c r="AF19" s="218"/>
      <c r="AG19" s="218"/>
      <c r="AH19" s="350">
        <v>50068</v>
      </c>
      <c r="AI19" s="354">
        <f t="shared" si="14"/>
        <v>3460</v>
      </c>
    </row>
    <row r="20" spans="1:35" s="147" customFormat="1" ht="14.25" customHeight="1" x14ac:dyDescent="0.35">
      <c r="A20" s="147">
        <v>7</v>
      </c>
      <c r="B20" s="147">
        <f t="shared" si="3"/>
        <v>6</v>
      </c>
      <c r="C20" s="148">
        <v>45943</v>
      </c>
      <c r="D20" s="147" t="s">
        <v>63</v>
      </c>
      <c r="G20" s="148">
        <v>45949.583333333336</v>
      </c>
      <c r="H20" s="147" t="s">
        <v>64</v>
      </c>
      <c r="I20" s="316">
        <f t="shared" si="4"/>
        <v>492</v>
      </c>
      <c r="J20" s="33">
        <f t="shared" si="5"/>
        <v>1822.2222222222222</v>
      </c>
      <c r="K20" s="34">
        <f t="shared" si="19"/>
        <v>1.3995562382659157</v>
      </c>
      <c r="L20" s="35">
        <f t="shared" si="6"/>
        <v>37634</v>
      </c>
      <c r="M20" s="36">
        <f t="shared" si="7"/>
        <v>103496</v>
      </c>
      <c r="N20" s="196">
        <f t="shared" si="8"/>
        <v>0.36362757980984772</v>
      </c>
      <c r="O20" s="34">
        <f t="shared" si="9"/>
        <v>1.3467688141105469</v>
      </c>
      <c r="P20" s="243">
        <v>492</v>
      </c>
      <c r="Q20" s="400">
        <f t="shared" si="15"/>
        <v>1302</v>
      </c>
      <c r="R20" s="209">
        <f>IF(B20&lt;7,(P20/VLOOKUP(B20,'Sales Pacing'!$A$23:$E$36,2)),"Too early")</f>
        <v>1822.2222222222222</v>
      </c>
      <c r="S20" s="401">
        <f t="shared" si="16"/>
        <v>1.3995562382659157</v>
      </c>
      <c r="T20" s="227">
        <v>37634</v>
      </c>
      <c r="U20" s="231">
        <v>103496</v>
      </c>
      <c r="V20" s="238">
        <f t="shared" si="10"/>
        <v>0.36362757980984772</v>
      </c>
      <c r="W20" s="210">
        <f t="shared" si="18"/>
        <v>1.3467688141105469</v>
      </c>
      <c r="X20" s="223"/>
      <c r="Y20" s="227"/>
      <c r="Z20" s="231"/>
      <c r="AA20" s="210" t="str">
        <f t="shared" si="11"/>
        <v/>
      </c>
      <c r="AB20" s="234">
        <v>1302</v>
      </c>
      <c r="AC20" s="402">
        <f t="shared" si="17"/>
        <v>0.37788018433179721</v>
      </c>
      <c r="AD20" s="211">
        <f t="shared" si="13"/>
        <v>76.49186991869918</v>
      </c>
      <c r="AE20" s="219"/>
      <c r="AF20" s="219"/>
      <c r="AG20" s="219"/>
      <c r="AH20" s="352">
        <v>36255</v>
      </c>
      <c r="AI20" s="354">
        <f t="shared" si="14"/>
        <v>1379</v>
      </c>
    </row>
    <row r="21" spans="1:35" s="143" customFormat="1" ht="14.25" customHeight="1" x14ac:dyDescent="0.35">
      <c r="A21" s="143">
        <v>8</v>
      </c>
      <c r="B21" s="143">
        <f t="shared" si="3"/>
        <v>7</v>
      </c>
      <c r="C21" s="144">
        <v>45950</v>
      </c>
      <c r="D21" s="143" t="s">
        <v>65</v>
      </c>
      <c r="G21" s="144">
        <v>45952.791666666664</v>
      </c>
      <c r="H21" s="143" t="s">
        <v>64</v>
      </c>
      <c r="I21" s="37">
        <f t="shared" si="4"/>
        <v>193</v>
      </c>
      <c r="J21" s="38" t="str">
        <f t="shared" si="5"/>
        <v>Too early</v>
      </c>
      <c r="K21" s="31" t="str">
        <f t="shared" si="19"/>
        <v>Too early</v>
      </c>
      <c r="L21" s="39">
        <f t="shared" si="6"/>
        <v>9678</v>
      </c>
      <c r="M21" s="32">
        <f t="shared" si="7"/>
        <v>50000</v>
      </c>
      <c r="N21" s="195">
        <f t="shared" si="8"/>
        <v>0.19356000000000001</v>
      </c>
      <c r="O21" s="31" t="str">
        <f t="shared" si="9"/>
        <v>Too early</v>
      </c>
      <c r="P21" s="222">
        <v>193</v>
      </c>
      <c r="Q21" s="400">
        <f t="shared" si="15"/>
        <v>1302</v>
      </c>
      <c r="R21" s="206" t="str">
        <f>IF(B21&lt;7,(P21/VLOOKUP(B21,'Sales Pacing'!$A$23:$E$36,2)),"Too early")</f>
        <v>Too early</v>
      </c>
      <c r="S21" s="401" t="str">
        <f t="shared" si="16"/>
        <v>Too early</v>
      </c>
      <c r="T21" s="226">
        <v>9678</v>
      </c>
      <c r="U21" s="230">
        <v>50000</v>
      </c>
      <c r="V21" s="237">
        <f t="shared" si="10"/>
        <v>0.19356000000000001</v>
      </c>
      <c r="W21" s="207" t="str">
        <f t="shared" si="18"/>
        <v>Too early</v>
      </c>
      <c r="X21" s="222"/>
      <c r="Y21" s="226"/>
      <c r="Z21" s="230"/>
      <c r="AA21" s="207" t="str">
        <f t="shared" si="11"/>
        <v/>
      </c>
      <c r="AB21" s="233">
        <v>1302</v>
      </c>
      <c r="AC21" s="207">
        <f t="shared" si="17"/>
        <v>0.14823348694316435</v>
      </c>
      <c r="AD21" s="208">
        <f t="shared" si="13"/>
        <v>50.145077720207254</v>
      </c>
      <c r="AE21" s="218"/>
      <c r="AF21" s="218"/>
      <c r="AG21" s="218"/>
      <c r="AH21" s="350">
        <v>9513</v>
      </c>
      <c r="AI21" s="354">
        <f t="shared" si="14"/>
        <v>165</v>
      </c>
    </row>
    <row r="22" spans="1:35" s="179" customFormat="1" ht="14.25" customHeight="1" x14ac:dyDescent="0.35">
      <c r="A22" s="179">
        <v>8</v>
      </c>
      <c r="B22" s="179">
        <f t="shared" si="3"/>
        <v>7</v>
      </c>
      <c r="C22" s="180">
        <v>45950</v>
      </c>
      <c r="D22" s="179" t="s">
        <v>66</v>
      </c>
      <c r="G22" s="180">
        <v>45954.833333333336</v>
      </c>
      <c r="H22" s="179" t="s">
        <v>57</v>
      </c>
      <c r="I22" s="181">
        <f t="shared" si="4"/>
        <v>797</v>
      </c>
      <c r="J22" s="182" t="str">
        <f t="shared" si="5"/>
        <v>Too early</v>
      </c>
      <c r="K22" s="183" t="str">
        <f t="shared" si="19"/>
        <v>Too early</v>
      </c>
      <c r="L22" s="184">
        <f t="shared" si="6"/>
        <v>56620.1</v>
      </c>
      <c r="M22" s="185">
        <f t="shared" si="7"/>
        <v>92333</v>
      </c>
      <c r="N22" s="197">
        <f t="shared" si="8"/>
        <v>0.61321629319961446</v>
      </c>
      <c r="O22" s="183" t="str">
        <f t="shared" si="9"/>
        <v>Too early</v>
      </c>
      <c r="P22" s="310">
        <v>80</v>
      </c>
      <c r="Q22" s="400">
        <f t="shared" si="15"/>
        <v>873</v>
      </c>
      <c r="R22" s="215" t="str">
        <f>IF(B22&lt;7,(P22/VLOOKUP(B22,'Sales Pacing'!$A$23:$E$36,2)),"Too early")</f>
        <v>Too early</v>
      </c>
      <c r="S22" s="401" t="str">
        <f t="shared" si="16"/>
        <v>Too early</v>
      </c>
      <c r="T22" s="229">
        <v>4847</v>
      </c>
      <c r="U22" s="232">
        <v>53333</v>
      </c>
      <c r="V22" s="240">
        <f t="shared" si="10"/>
        <v>9.0881818011362567E-2</v>
      </c>
      <c r="W22" s="216" t="str">
        <f t="shared" si="18"/>
        <v>Too early</v>
      </c>
      <c r="X22" s="225">
        <v>717</v>
      </c>
      <c r="Y22" s="229">
        <v>51773.1</v>
      </c>
      <c r="Z22" s="232">
        <v>39000</v>
      </c>
      <c r="AA22" s="216">
        <f t="shared" si="11"/>
        <v>1.3275153846153847</v>
      </c>
      <c r="AB22" s="235">
        <v>1590</v>
      </c>
      <c r="AC22" s="402">
        <f t="shared" si="17"/>
        <v>0.50125786163522013</v>
      </c>
      <c r="AD22" s="217">
        <f t="shared" si="13"/>
        <v>71.041530740276031</v>
      </c>
      <c r="AE22" s="221">
        <v>7</v>
      </c>
      <c r="AF22" s="221">
        <v>348</v>
      </c>
      <c r="AG22" s="221">
        <v>355</v>
      </c>
      <c r="AH22" s="353">
        <v>55866.3</v>
      </c>
      <c r="AI22" s="354">
        <f t="shared" si="14"/>
        <v>753.79999999999563</v>
      </c>
    </row>
    <row r="23" spans="1:35" s="143" customFormat="1" ht="14.25" customHeight="1" x14ac:dyDescent="0.35">
      <c r="A23" s="143">
        <v>8</v>
      </c>
      <c r="B23" s="143">
        <f t="shared" si="3"/>
        <v>7</v>
      </c>
      <c r="C23" s="144">
        <v>45950</v>
      </c>
      <c r="D23" s="143" t="s">
        <v>66</v>
      </c>
      <c r="G23" s="144">
        <v>45955.833333333336</v>
      </c>
      <c r="H23" s="143" t="s">
        <v>57</v>
      </c>
      <c r="I23" s="37">
        <f t="shared" si="4"/>
        <v>738</v>
      </c>
      <c r="J23" s="38" t="str">
        <f t="shared" si="5"/>
        <v>Too early</v>
      </c>
      <c r="K23" s="31" t="str">
        <f t="shared" si="19"/>
        <v>Too early</v>
      </c>
      <c r="L23" s="39">
        <f t="shared" si="6"/>
        <v>51872.800000000003</v>
      </c>
      <c r="M23" s="32">
        <f t="shared" si="7"/>
        <v>92333</v>
      </c>
      <c r="N23" s="195">
        <f t="shared" si="8"/>
        <v>0.56180130614189949</v>
      </c>
      <c r="O23" s="31" t="str">
        <f t="shared" si="9"/>
        <v>Too early</v>
      </c>
      <c r="P23" s="241">
        <v>96</v>
      </c>
      <c r="Q23" s="400">
        <f t="shared" si="15"/>
        <v>948</v>
      </c>
      <c r="R23" s="206" t="str">
        <f>IF(B23&lt;7,(P23/VLOOKUP(B23,'Sales Pacing'!$A$23:$E$36,2)),"Too early")</f>
        <v>Too early</v>
      </c>
      <c r="S23" s="401" t="str">
        <f t="shared" si="16"/>
        <v>Too early</v>
      </c>
      <c r="T23" s="226">
        <v>5373</v>
      </c>
      <c r="U23" s="230">
        <v>53333</v>
      </c>
      <c r="V23" s="237">
        <f t="shared" si="10"/>
        <v>0.10074437965237283</v>
      </c>
      <c r="W23" s="207" t="str">
        <f t="shared" si="18"/>
        <v>Too early</v>
      </c>
      <c r="X23" s="222">
        <v>642</v>
      </c>
      <c r="Y23" s="226">
        <v>46499.8</v>
      </c>
      <c r="Z23" s="230">
        <v>39000</v>
      </c>
      <c r="AA23" s="207">
        <f t="shared" si="11"/>
        <v>1.1923025641025642</v>
      </c>
      <c r="AB23" s="233">
        <v>1590</v>
      </c>
      <c r="AC23" s="207">
        <f t="shared" si="17"/>
        <v>0.46415094339622642</v>
      </c>
      <c r="AD23" s="208">
        <f t="shared" si="13"/>
        <v>70.288346883468833</v>
      </c>
      <c r="AE23" s="218">
        <v>9</v>
      </c>
      <c r="AF23" s="218">
        <v>315</v>
      </c>
      <c r="AG23" s="218">
        <v>324</v>
      </c>
      <c r="AH23" s="350">
        <v>50141.3</v>
      </c>
      <c r="AI23" s="354">
        <f t="shared" si="14"/>
        <v>1731.5</v>
      </c>
    </row>
    <row r="24" spans="1:35" s="147" customFormat="1" ht="14.25" customHeight="1" x14ac:dyDescent="0.35">
      <c r="A24" s="147">
        <v>8</v>
      </c>
      <c r="B24" s="147">
        <f t="shared" si="3"/>
        <v>7</v>
      </c>
      <c r="C24" s="148">
        <v>45950</v>
      </c>
      <c r="D24" s="147" t="s">
        <v>66</v>
      </c>
      <c r="G24" s="148">
        <v>45956.583333333336</v>
      </c>
      <c r="H24" s="147" t="s">
        <v>57</v>
      </c>
      <c r="I24" s="149">
        <f t="shared" si="4"/>
        <v>465</v>
      </c>
      <c r="J24" s="33" t="str">
        <f t="shared" si="5"/>
        <v>Too early</v>
      </c>
      <c r="K24" s="34" t="str">
        <f t="shared" si="19"/>
        <v>Too early</v>
      </c>
      <c r="L24" s="35">
        <f t="shared" si="6"/>
        <v>31093.5</v>
      </c>
      <c r="M24" s="36">
        <f t="shared" si="7"/>
        <v>92333</v>
      </c>
      <c r="N24" s="196">
        <f t="shared" si="8"/>
        <v>0.3367539232993621</v>
      </c>
      <c r="O24" s="34" t="str">
        <f t="shared" si="9"/>
        <v>Too early</v>
      </c>
      <c r="P24" s="243">
        <v>83</v>
      </c>
      <c r="Q24" s="400">
        <f t="shared" si="15"/>
        <v>1208</v>
      </c>
      <c r="R24" s="209" t="str">
        <f>IF(B24&lt;7,(P24/VLOOKUP(B24,'Sales Pacing'!$A$23:$E$36,2)),"Too early")</f>
        <v>Too early</v>
      </c>
      <c r="S24" s="401" t="str">
        <f t="shared" si="16"/>
        <v>Too early</v>
      </c>
      <c r="T24" s="227">
        <v>5064</v>
      </c>
      <c r="U24" s="231">
        <v>53333</v>
      </c>
      <c r="V24" s="238">
        <f t="shared" si="10"/>
        <v>9.4950593441209014E-2</v>
      </c>
      <c r="W24" s="210" t="str">
        <f t="shared" si="18"/>
        <v>Too early</v>
      </c>
      <c r="X24" s="223">
        <v>382</v>
      </c>
      <c r="Y24" s="227">
        <v>26029.5</v>
      </c>
      <c r="Z24" s="231">
        <v>39000</v>
      </c>
      <c r="AA24" s="210">
        <f t="shared" si="11"/>
        <v>0.6674230769230769</v>
      </c>
      <c r="AB24" s="234">
        <v>1590</v>
      </c>
      <c r="AC24" s="402">
        <f t="shared" si="17"/>
        <v>0.29245283018867924</v>
      </c>
      <c r="AD24" s="211">
        <f t="shared" si="13"/>
        <v>66.867741935483878</v>
      </c>
      <c r="AE24" s="219">
        <v>6</v>
      </c>
      <c r="AF24" s="219">
        <v>207</v>
      </c>
      <c r="AG24" s="219">
        <v>213</v>
      </c>
      <c r="AH24" s="352">
        <v>30489</v>
      </c>
      <c r="AI24" s="354">
        <f t="shared" si="14"/>
        <v>604.5</v>
      </c>
    </row>
    <row r="25" spans="1:35" s="143" customFormat="1" ht="14.25" customHeight="1" x14ac:dyDescent="0.35">
      <c r="A25" s="143">
        <v>9</v>
      </c>
      <c r="B25" s="143">
        <f t="shared" si="3"/>
        <v>8</v>
      </c>
      <c r="C25" s="144">
        <v>45957</v>
      </c>
      <c r="D25" s="143" t="s">
        <v>67</v>
      </c>
      <c r="G25" s="144">
        <v>45959.833333333336</v>
      </c>
      <c r="H25" s="143" t="s">
        <v>68</v>
      </c>
      <c r="I25" s="37">
        <f t="shared" si="4"/>
        <v>23</v>
      </c>
      <c r="J25" s="38" t="str">
        <f t="shared" si="5"/>
        <v>Too early</v>
      </c>
      <c r="K25" s="31" t="str">
        <f t="shared" si="19"/>
        <v>Too early</v>
      </c>
      <c r="L25" s="39">
        <f t="shared" si="6"/>
        <v>2520</v>
      </c>
      <c r="M25" s="32">
        <v>11200</v>
      </c>
      <c r="N25" s="195">
        <f t="shared" si="8"/>
        <v>0.22500000000000001</v>
      </c>
      <c r="O25" s="31" t="str">
        <f t="shared" si="9"/>
        <v>Too early</v>
      </c>
      <c r="P25" s="222">
        <v>23</v>
      </c>
      <c r="Q25" s="400">
        <f t="shared" si="15"/>
        <v>100</v>
      </c>
      <c r="R25" s="206" t="str">
        <f>IF(B25&lt;7,(P25/VLOOKUP(B25,'Sales Pacing'!$A$23:$E$36,2)),"Too early")</f>
        <v>Too early</v>
      </c>
      <c r="S25" s="401" t="str">
        <f t="shared" si="16"/>
        <v>Too early</v>
      </c>
      <c r="T25" s="226">
        <v>2520</v>
      </c>
      <c r="U25" s="230">
        <v>11200</v>
      </c>
      <c r="V25" s="237">
        <f t="shared" si="10"/>
        <v>0.22500000000000001</v>
      </c>
      <c r="W25" s="207" t="str">
        <f t="shared" si="18"/>
        <v>Too early</v>
      </c>
      <c r="X25" s="222"/>
      <c r="Y25" s="226"/>
      <c r="Z25" s="230"/>
      <c r="AA25" s="207" t="str">
        <f t="shared" si="11"/>
        <v/>
      </c>
      <c r="AB25" s="233">
        <v>100</v>
      </c>
      <c r="AC25" s="207">
        <f t="shared" si="17"/>
        <v>0.23</v>
      </c>
      <c r="AD25" s="208">
        <f t="shared" si="13"/>
        <v>109.56521739130434</v>
      </c>
      <c r="AE25" s="218">
        <v>0</v>
      </c>
      <c r="AF25" s="218">
        <v>10</v>
      </c>
      <c r="AG25" s="218">
        <v>10</v>
      </c>
      <c r="AH25" s="350">
        <v>2520</v>
      </c>
      <c r="AI25" s="354">
        <f t="shared" si="14"/>
        <v>0</v>
      </c>
    </row>
    <row r="26" spans="1:35" s="143" customFormat="1" ht="14.25" customHeight="1" x14ac:dyDescent="0.35">
      <c r="A26" s="143">
        <v>9</v>
      </c>
      <c r="B26" s="143">
        <f t="shared" si="3"/>
        <v>8</v>
      </c>
      <c r="C26" s="177">
        <v>45957</v>
      </c>
      <c r="D26" s="178" t="s">
        <v>69</v>
      </c>
      <c r="E26" s="178"/>
      <c r="F26" s="178"/>
      <c r="G26" s="177">
        <v>45961.833333333336</v>
      </c>
      <c r="H26" s="178" t="s">
        <v>62</v>
      </c>
      <c r="I26" s="37">
        <f t="shared" si="4"/>
        <v>467</v>
      </c>
      <c r="J26" s="38" t="str">
        <f t="shared" si="5"/>
        <v>Too early</v>
      </c>
      <c r="K26" s="31" t="str">
        <f t="shared" si="19"/>
        <v>Too early</v>
      </c>
      <c r="L26" s="39">
        <f t="shared" si="6"/>
        <v>30782</v>
      </c>
      <c r="M26" s="32">
        <f t="shared" si="7"/>
        <v>52000</v>
      </c>
      <c r="N26" s="195">
        <f t="shared" si="8"/>
        <v>0.59196153846153843</v>
      </c>
      <c r="O26" s="31" t="str">
        <f t="shared" si="9"/>
        <v>Too early</v>
      </c>
      <c r="P26" s="222">
        <v>111</v>
      </c>
      <c r="Q26" s="400">
        <f t="shared" si="15"/>
        <v>1077</v>
      </c>
      <c r="R26" s="206" t="str">
        <f>IF(B26&lt;7,(P26/VLOOKUP(B26,'Sales Pacing'!$A$23:$E$36,2)),"Too early")</f>
        <v>Too early</v>
      </c>
      <c r="S26" s="401" t="str">
        <f t="shared" si="16"/>
        <v>Too early</v>
      </c>
      <c r="T26" s="226">
        <v>5865</v>
      </c>
      <c r="U26" s="230">
        <v>22000</v>
      </c>
      <c r="V26" s="237">
        <f t="shared" si="10"/>
        <v>0.2665909090909091</v>
      </c>
      <c r="W26" s="207" t="str">
        <f t="shared" si="18"/>
        <v>Too early</v>
      </c>
      <c r="X26" s="222">
        <v>356</v>
      </c>
      <c r="Y26" s="226">
        <v>24917</v>
      </c>
      <c r="Z26" s="230">
        <v>30000</v>
      </c>
      <c r="AA26" s="207">
        <f t="shared" si="11"/>
        <v>0.83056666666666668</v>
      </c>
      <c r="AB26" s="233">
        <v>1433</v>
      </c>
      <c r="AC26" s="207">
        <f t="shared" si="17"/>
        <v>0.32588974180041869</v>
      </c>
      <c r="AD26" s="208">
        <f t="shared" si="13"/>
        <v>65.914346895074942</v>
      </c>
      <c r="AE26" s="218"/>
      <c r="AF26" s="218"/>
      <c r="AG26" s="218"/>
      <c r="AH26" s="350">
        <v>30054</v>
      </c>
      <c r="AI26" s="354">
        <f t="shared" si="14"/>
        <v>728</v>
      </c>
    </row>
    <row r="27" spans="1:35" s="143" customFormat="1" ht="14.25" customHeight="1" x14ac:dyDescent="0.35">
      <c r="A27" s="143">
        <v>9</v>
      </c>
      <c r="B27" s="143">
        <f t="shared" si="3"/>
        <v>8</v>
      </c>
      <c r="C27" s="144">
        <v>45957</v>
      </c>
      <c r="D27" s="143" t="s">
        <v>69</v>
      </c>
      <c r="G27" s="144">
        <v>45962.833333333336</v>
      </c>
      <c r="H27" s="143" t="s">
        <v>62</v>
      </c>
      <c r="I27" s="37">
        <f t="shared" si="4"/>
        <v>846</v>
      </c>
      <c r="J27" s="38" t="str">
        <f t="shared" si="5"/>
        <v>Too early</v>
      </c>
      <c r="K27" s="31" t="str">
        <f t="shared" si="19"/>
        <v>Too early</v>
      </c>
      <c r="L27" s="39">
        <f t="shared" si="6"/>
        <v>53777</v>
      </c>
      <c r="M27" s="32">
        <f t="shared" si="7"/>
        <v>86500</v>
      </c>
      <c r="N27" s="195">
        <f t="shared" si="8"/>
        <v>0.62169942196531791</v>
      </c>
      <c r="O27" s="31" t="str">
        <f t="shared" si="9"/>
        <v>Too early</v>
      </c>
      <c r="P27" s="222">
        <v>280</v>
      </c>
      <c r="Q27" s="400">
        <f t="shared" si="15"/>
        <v>867</v>
      </c>
      <c r="R27" s="206" t="str">
        <f>IF(B27&lt;7,(P27/VLOOKUP(B27,'Sales Pacing'!$A$23:$E$36,2)),"Too early")</f>
        <v>Too early</v>
      </c>
      <c r="S27" s="401" t="str">
        <f t="shared" si="16"/>
        <v>Too early</v>
      </c>
      <c r="T27" s="226">
        <v>16828</v>
      </c>
      <c r="U27" s="230">
        <v>31500</v>
      </c>
      <c r="V27" s="237">
        <f t="shared" si="10"/>
        <v>0.53422222222222226</v>
      </c>
      <c r="W27" s="207" t="str">
        <f t="shared" si="18"/>
        <v>Too early</v>
      </c>
      <c r="X27" s="222">
        <v>566</v>
      </c>
      <c r="Y27" s="226">
        <v>36949</v>
      </c>
      <c r="Z27" s="230">
        <v>55000</v>
      </c>
      <c r="AA27" s="207">
        <f t="shared" si="11"/>
        <v>0.67179999999999995</v>
      </c>
      <c r="AB27" s="233">
        <v>1433</v>
      </c>
      <c r="AC27" s="207">
        <f t="shared" si="17"/>
        <v>0.59036985345429172</v>
      </c>
      <c r="AD27" s="208">
        <f t="shared" si="13"/>
        <v>63.566193853427897</v>
      </c>
      <c r="AE27" s="218"/>
      <c r="AF27" s="218"/>
      <c r="AG27" s="218"/>
      <c r="AH27" s="350">
        <v>52200</v>
      </c>
      <c r="AI27" s="354">
        <f t="shared" si="14"/>
        <v>1577</v>
      </c>
    </row>
    <row r="28" spans="1:35" s="147" customFormat="1" ht="14.25" customHeight="1" x14ac:dyDescent="0.35">
      <c r="A28" s="147">
        <v>9</v>
      </c>
      <c r="B28" s="147">
        <f t="shared" si="3"/>
        <v>8</v>
      </c>
      <c r="C28" s="148">
        <v>45957</v>
      </c>
      <c r="D28" s="147" t="s">
        <v>69</v>
      </c>
      <c r="G28" s="148">
        <v>45963.583333333336</v>
      </c>
      <c r="H28" s="147" t="s">
        <v>62</v>
      </c>
      <c r="I28" s="149">
        <f t="shared" si="4"/>
        <v>757</v>
      </c>
      <c r="J28" s="33" t="str">
        <f t="shared" si="5"/>
        <v>Too early</v>
      </c>
      <c r="K28" s="34" t="str">
        <f t="shared" si="19"/>
        <v>Too early</v>
      </c>
      <c r="L28" s="35">
        <f t="shared" si="6"/>
        <v>47931.1</v>
      </c>
      <c r="M28" s="36">
        <f t="shared" si="7"/>
        <v>86500</v>
      </c>
      <c r="N28" s="196">
        <f t="shared" si="8"/>
        <v>0.55411676300578028</v>
      </c>
      <c r="O28" s="34" t="str">
        <f t="shared" si="9"/>
        <v>Too early</v>
      </c>
      <c r="P28" s="223">
        <v>207</v>
      </c>
      <c r="Q28" s="400">
        <f t="shared" si="15"/>
        <v>883</v>
      </c>
      <c r="R28" s="209" t="str">
        <f>IF(B28&lt;7,(P28/VLOOKUP(B28,'Sales Pacing'!$A$23:$E$36,2)),"Too early")</f>
        <v>Too early</v>
      </c>
      <c r="S28" s="401" t="str">
        <f t="shared" si="16"/>
        <v>Too early</v>
      </c>
      <c r="T28" s="227">
        <v>12164</v>
      </c>
      <c r="U28" s="231">
        <v>31500</v>
      </c>
      <c r="V28" s="238">
        <f t="shared" si="10"/>
        <v>0.38615873015873015</v>
      </c>
      <c r="W28" s="210" t="str">
        <f t="shared" si="18"/>
        <v>Too early</v>
      </c>
      <c r="X28" s="223">
        <v>550</v>
      </c>
      <c r="Y28" s="227">
        <v>35767.1</v>
      </c>
      <c r="Z28" s="231">
        <v>55000</v>
      </c>
      <c r="AA28" s="210">
        <f t="shared" si="11"/>
        <v>0.65031090909090905</v>
      </c>
      <c r="AB28" s="234">
        <v>1433</v>
      </c>
      <c r="AC28" s="402">
        <f t="shared" si="17"/>
        <v>0.52826238660153524</v>
      </c>
      <c r="AD28" s="211">
        <f t="shared" si="13"/>
        <v>63.317173051519156</v>
      </c>
      <c r="AE28" s="219"/>
      <c r="AF28" s="219"/>
      <c r="AG28" s="219"/>
      <c r="AH28" s="352">
        <v>46474.1</v>
      </c>
      <c r="AI28" s="354">
        <f t="shared" si="14"/>
        <v>1457</v>
      </c>
    </row>
    <row r="29" spans="1:35" s="147" customFormat="1" ht="14.25" customHeight="1" x14ac:dyDescent="0.35">
      <c r="A29" s="147">
        <v>10</v>
      </c>
      <c r="B29" s="147">
        <f t="shared" si="3"/>
        <v>9</v>
      </c>
      <c r="C29" s="148">
        <v>45964</v>
      </c>
      <c r="D29" s="147" t="s">
        <v>70</v>
      </c>
      <c r="G29" s="148">
        <v>45970.583333333336</v>
      </c>
      <c r="H29" s="147" t="s">
        <v>59</v>
      </c>
      <c r="I29" s="149">
        <f t="shared" si="4"/>
        <v>415</v>
      </c>
      <c r="J29" s="33" t="str">
        <f t="shared" si="5"/>
        <v>Too early</v>
      </c>
      <c r="K29" s="34" t="str">
        <f t="shared" si="19"/>
        <v>Too early</v>
      </c>
      <c r="L29" s="35">
        <f t="shared" si="6"/>
        <v>10198</v>
      </c>
      <c r="M29" s="36">
        <f t="shared" si="7"/>
        <v>19500</v>
      </c>
      <c r="N29" s="196">
        <f t="shared" si="8"/>
        <v>0.52297435897435895</v>
      </c>
      <c r="O29" s="34" t="str">
        <f t="shared" si="9"/>
        <v>Too early</v>
      </c>
      <c r="P29" s="223">
        <v>116</v>
      </c>
      <c r="Q29" s="400">
        <f t="shared" si="15"/>
        <v>1001</v>
      </c>
      <c r="R29" s="209" t="str">
        <f>IF(B29&lt;7,(P29/VLOOKUP(B29,'Sales Pacing'!$A$23:$E$36,2)),"Too early")</f>
        <v>Too early</v>
      </c>
      <c r="S29" s="401" t="str">
        <f t="shared" si="16"/>
        <v>Too early</v>
      </c>
      <c r="T29" s="227">
        <v>3559</v>
      </c>
      <c r="U29" s="231">
        <v>10000</v>
      </c>
      <c r="V29" s="238">
        <f t="shared" si="10"/>
        <v>0.35589999999999999</v>
      </c>
      <c r="W29" s="210" t="str">
        <f t="shared" si="18"/>
        <v>Too early</v>
      </c>
      <c r="X29" s="223">
        <v>299</v>
      </c>
      <c r="Y29" s="227">
        <v>6639</v>
      </c>
      <c r="Z29" s="231">
        <v>9500</v>
      </c>
      <c r="AA29" s="210">
        <f t="shared" si="11"/>
        <v>0.69884210526315793</v>
      </c>
      <c r="AB29" s="234">
        <v>1300</v>
      </c>
      <c r="AC29" s="402">
        <f t="shared" si="17"/>
        <v>0.31923076923076921</v>
      </c>
      <c r="AD29" s="211">
        <f t="shared" si="13"/>
        <v>24.573493975903613</v>
      </c>
      <c r="AE29" s="219"/>
      <c r="AF29" s="219"/>
      <c r="AG29" s="219"/>
      <c r="AH29" s="352">
        <v>9815</v>
      </c>
      <c r="AI29" s="354">
        <f t="shared" si="14"/>
        <v>383</v>
      </c>
    </row>
    <row r="30" spans="1:35" s="186" customFormat="1" ht="14.25" customHeight="1" x14ac:dyDescent="0.35">
      <c r="A30" s="186">
        <v>11</v>
      </c>
      <c r="B30" s="186">
        <f t="shared" si="3"/>
        <v>10</v>
      </c>
      <c r="C30" s="187">
        <v>45971</v>
      </c>
      <c r="D30" s="186" t="s">
        <v>71</v>
      </c>
      <c r="G30" s="198"/>
      <c r="H30" s="199"/>
      <c r="I30" s="200">
        <f t="shared" si="4"/>
        <v>0</v>
      </c>
      <c r="J30" s="201" t="str">
        <f t="shared" si="5"/>
        <v>Too early</v>
      </c>
      <c r="K30" s="202"/>
      <c r="L30" s="203">
        <f t="shared" si="6"/>
        <v>0</v>
      </c>
      <c r="M30" s="204">
        <f t="shared" si="7"/>
        <v>0</v>
      </c>
      <c r="N30" s="205" t="e">
        <f t="shared" si="8"/>
        <v>#DIV/0!</v>
      </c>
      <c r="O30" s="202"/>
      <c r="P30" s="224"/>
      <c r="Q30" s="224"/>
      <c r="R30" s="212" t="str">
        <f>IF(B30&lt;7,(P30/VLOOKUP(B30,'Sales Pacing'!$A$23:$E$36,2)),"Too early")</f>
        <v>Too early</v>
      </c>
      <c r="S30" s="212"/>
      <c r="T30" s="228"/>
      <c r="U30" s="228"/>
      <c r="V30" s="239" t="str">
        <f t="shared" si="10"/>
        <v/>
      </c>
      <c r="W30" s="213"/>
      <c r="X30" s="224"/>
      <c r="Y30" s="228"/>
      <c r="Z30" s="228"/>
      <c r="AA30" s="213" t="s">
        <v>55</v>
      </c>
      <c r="AB30" s="224"/>
      <c r="AC30" s="213" t="e">
        <f t="shared" ref="AC30" si="20">I30/AB30</f>
        <v>#DIV/0!</v>
      </c>
      <c r="AD30" s="214" t="e">
        <f t="shared" si="13"/>
        <v>#DIV/0!</v>
      </c>
      <c r="AE30" s="220"/>
      <c r="AF30" s="220"/>
      <c r="AG30" s="220"/>
      <c r="AH30" s="351">
        <v>0</v>
      </c>
      <c r="AI30" s="355"/>
    </row>
    <row r="31" spans="1:35" s="143" customFormat="1" ht="14.25" customHeight="1" x14ac:dyDescent="0.35">
      <c r="A31" s="143">
        <v>12</v>
      </c>
      <c r="B31" s="143">
        <f t="shared" si="3"/>
        <v>11</v>
      </c>
      <c r="C31" s="177">
        <v>45978</v>
      </c>
      <c r="D31" s="178" t="s">
        <v>72</v>
      </c>
      <c r="E31" s="178"/>
      <c r="F31" s="178"/>
      <c r="G31" s="177">
        <v>45982.833333333336</v>
      </c>
      <c r="H31" s="178" t="s">
        <v>62</v>
      </c>
      <c r="I31" s="37">
        <f t="shared" si="4"/>
        <v>430</v>
      </c>
      <c r="J31" s="38" t="str">
        <f t="shared" si="5"/>
        <v>Too early</v>
      </c>
      <c r="K31" s="31" t="str">
        <f t="shared" ref="K31:K50" si="21">IF(J31="Too early",J31,J31/AB31)</f>
        <v>Too early</v>
      </c>
      <c r="L31" s="39">
        <f t="shared" si="6"/>
        <v>28847</v>
      </c>
      <c r="M31" s="32">
        <f t="shared" si="7"/>
        <v>40000</v>
      </c>
      <c r="N31" s="195">
        <f t="shared" si="8"/>
        <v>0.72117500000000001</v>
      </c>
      <c r="O31" s="31" t="str">
        <f t="shared" si="9"/>
        <v>Too early</v>
      </c>
      <c r="P31" s="241">
        <v>61</v>
      </c>
      <c r="Q31" s="400">
        <f t="shared" ref="Q31:Q50" si="22">AB31-X31</f>
        <v>1221</v>
      </c>
      <c r="R31" s="206" t="str">
        <f>IF(B31&lt;7,(P31/VLOOKUP(B31,'Sales Pacing'!$A$23:$E$36,2)),"Too early")</f>
        <v>Too early</v>
      </c>
      <c r="S31" s="401" t="str">
        <f t="shared" ref="S31:S50" si="23">IF(R31="Too early","Too early",R31/Q31)</f>
        <v>Too early</v>
      </c>
      <c r="T31" s="226">
        <v>3143</v>
      </c>
      <c r="U31" s="230">
        <v>15000</v>
      </c>
      <c r="V31" s="237">
        <f t="shared" si="10"/>
        <v>0.20953333333333332</v>
      </c>
      <c r="W31" s="207" t="str">
        <f t="shared" si="18"/>
        <v>Too early</v>
      </c>
      <c r="X31" s="222">
        <v>369</v>
      </c>
      <c r="Y31" s="226">
        <v>25704</v>
      </c>
      <c r="Z31" s="230">
        <v>25000</v>
      </c>
      <c r="AA31" s="207">
        <f t="shared" si="11"/>
        <v>1.02816</v>
      </c>
      <c r="AB31" s="233">
        <v>1590</v>
      </c>
      <c r="AC31" s="207">
        <f t="shared" ref="AC31:AC50" si="24">I31/AB31</f>
        <v>0.27044025157232704</v>
      </c>
      <c r="AD31" s="208">
        <f t="shared" si="13"/>
        <v>67.086046511627913</v>
      </c>
      <c r="AE31" s="218"/>
      <c r="AF31" s="218"/>
      <c r="AG31" s="218"/>
      <c r="AH31" s="350">
        <v>28545</v>
      </c>
      <c r="AI31" s="354">
        <f t="shared" si="14"/>
        <v>302</v>
      </c>
    </row>
    <row r="32" spans="1:35" s="143" customFormat="1" ht="14.25" customHeight="1" x14ac:dyDescent="0.35">
      <c r="A32" s="143">
        <v>12</v>
      </c>
      <c r="B32" s="143">
        <f t="shared" si="3"/>
        <v>11</v>
      </c>
      <c r="C32" s="144">
        <v>45978</v>
      </c>
      <c r="D32" s="143" t="s">
        <v>72</v>
      </c>
      <c r="G32" s="144">
        <v>45983.833333333336</v>
      </c>
      <c r="H32" s="143" t="s">
        <v>62</v>
      </c>
      <c r="I32" s="37">
        <f t="shared" si="4"/>
        <v>668</v>
      </c>
      <c r="J32" s="38" t="str">
        <f t="shared" si="5"/>
        <v>Too early</v>
      </c>
      <c r="K32" s="31" t="str">
        <f t="shared" si="21"/>
        <v>Too early</v>
      </c>
      <c r="L32" s="39">
        <f t="shared" si="6"/>
        <v>45114.9</v>
      </c>
      <c r="M32" s="32">
        <f t="shared" si="7"/>
        <v>66500</v>
      </c>
      <c r="N32" s="195">
        <f t="shared" si="8"/>
        <v>0.67841954887218048</v>
      </c>
      <c r="O32" s="31" t="str">
        <f t="shared" si="9"/>
        <v>Too early</v>
      </c>
      <c r="P32" s="241">
        <v>84</v>
      </c>
      <c r="Q32" s="400">
        <f t="shared" si="22"/>
        <v>1006</v>
      </c>
      <c r="R32" s="206" t="str">
        <f>IF(B32&lt;7,(P32/VLOOKUP(B32,'Sales Pacing'!$A$23:$E$36,2)),"Too early")</f>
        <v>Too early</v>
      </c>
      <c r="S32" s="401" t="str">
        <f t="shared" si="23"/>
        <v>Too early</v>
      </c>
      <c r="T32" s="226">
        <v>5244</v>
      </c>
      <c r="U32" s="230">
        <v>11500</v>
      </c>
      <c r="V32" s="237">
        <f t="shared" si="10"/>
        <v>0.45600000000000002</v>
      </c>
      <c r="W32" s="207" t="str">
        <f t="shared" si="18"/>
        <v>Too early</v>
      </c>
      <c r="X32" s="222">
        <v>584</v>
      </c>
      <c r="Y32" s="226">
        <v>39870.9</v>
      </c>
      <c r="Z32" s="230">
        <v>55000</v>
      </c>
      <c r="AA32" s="207">
        <f t="shared" si="11"/>
        <v>0.72492545454545454</v>
      </c>
      <c r="AB32" s="233">
        <v>1590</v>
      </c>
      <c r="AC32" s="207">
        <f t="shared" si="24"/>
        <v>0.42012578616352203</v>
      </c>
      <c r="AD32" s="208">
        <f t="shared" si="13"/>
        <v>67.537275449101799</v>
      </c>
      <c r="AE32" s="218"/>
      <c r="AF32" s="218"/>
      <c r="AG32" s="218"/>
      <c r="AH32" s="350">
        <v>44302.9</v>
      </c>
      <c r="AI32" s="354">
        <f t="shared" si="14"/>
        <v>812</v>
      </c>
    </row>
    <row r="33" spans="1:35" s="147" customFormat="1" ht="14.25" customHeight="1" x14ac:dyDescent="0.35">
      <c r="A33" s="147">
        <v>12</v>
      </c>
      <c r="B33" s="147">
        <f t="shared" si="3"/>
        <v>11</v>
      </c>
      <c r="C33" s="148">
        <v>45978</v>
      </c>
      <c r="D33" s="147" t="s">
        <v>72</v>
      </c>
      <c r="G33" s="148">
        <v>45984.583333333336</v>
      </c>
      <c r="H33" s="147" t="s">
        <v>62</v>
      </c>
      <c r="I33" s="149">
        <f t="shared" si="4"/>
        <v>710</v>
      </c>
      <c r="J33" s="33" t="str">
        <f t="shared" si="5"/>
        <v>Too early</v>
      </c>
      <c r="K33" s="34" t="str">
        <f t="shared" si="21"/>
        <v>Too early</v>
      </c>
      <c r="L33" s="35">
        <f t="shared" si="6"/>
        <v>46272.2</v>
      </c>
      <c r="M33" s="36">
        <f t="shared" si="7"/>
        <v>66500</v>
      </c>
      <c r="N33" s="196">
        <f t="shared" si="8"/>
        <v>0.69582255639097745</v>
      </c>
      <c r="O33" s="34" t="str">
        <f t="shared" si="9"/>
        <v>Too early</v>
      </c>
      <c r="P33" s="243">
        <v>87</v>
      </c>
      <c r="Q33" s="400">
        <f t="shared" si="22"/>
        <v>967</v>
      </c>
      <c r="R33" s="209" t="str">
        <f>IF(B33&lt;7,(P33/VLOOKUP(B33,'Sales Pacing'!$A$23:$E$36,2)),"Too early")</f>
        <v>Too early</v>
      </c>
      <c r="S33" s="401" t="str">
        <f t="shared" si="23"/>
        <v>Too early</v>
      </c>
      <c r="T33" s="227">
        <v>5948</v>
      </c>
      <c r="U33" s="231">
        <v>11500</v>
      </c>
      <c r="V33" s="238">
        <f t="shared" si="10"/>
        <v>0.51721739130434785</v>
      </c>
      <c r="W33" s="210" t="str">
        <f t="shared" si="18"/>
        <v>Too early</v>
      </c>
      <c r="X33" s="223">
        <v>623</v>
      </c>
      <c r="Y33" s="227">
        <v>40324.199999999997</v>
      </c>
      <c r="Z33" s="231">
        <v>55000</v>
      </c>
      <c r="AA33" s="210">
        <f t="shared" si="11"/>
        <v>0.73316727272727267</v>
      </c>
      <c r="AB33" s="234">
        <v>1590</v>
      </c>
      <c r="AC33" s="402">
        <f t="shared" si="24"/>
        <v>0.44654088050314467</v>
      </c>
      <c r="AD33" s="211">
        <f t="shared" si="13"/>
        <v>65.172112676056329</v>
      </c>
      <c r="AE33" s="219"/>
      <c r="AF33" s="219"/>
      <c r="AG33" s="219"/>
      <c r="AH33" s="352">
        <v>45933.2</v>
      </c>
      <c r="AI33" s="354">
        <f t="shared" si="14"/>
        <v>339</v>
      </c>
    </row>
    <row r="34" spans="1:35" s="143" customFormat="1" x14ac:dyDescent="0.35">
      <c r="A34" s="143">
        <v>13</v>
      </c>
      <c r="B34" s="143">
        <f t="shared" si="3"/>
        <v>12</v>
      </c>
      <c r="C34" s="144">
        <v>45985</v>
      </c>
      <c r="D34" s="143" t="s">
        <v>73</v>
      </c>
      <c r="G34" s="144">
        <v>45989.791666666664</v>
      </c>
      <c r="H34" s="143" t="s">
        <v>64</v>
      </c>
      <c r="I34" s="37">
        <f t="shared" si="4"/>
        <v>272</v>
      </c>
      <c r="J34" s="38" t="str">
        <f t="shared" si="5"/>
        <v>Too early</v>
      </c>
      <c r="K34" s="31" t="str">
        <f t="shared" si="21"/>
        <v>Too early</v>
      </c>
      <c r="L34" s="39">
        <f t="shared" si="6"/>
        <v>18219</v>
      </c>
      <c r="M34" s="32">
        <f t="shared" si="7"/>
        <v>107500</v>
      </c>
      <c r="N34" s="195">
        <f t="shared" si="8"/>
        <v>0.16947906976744187</v>
      </c>
      <c r="O34" s="31" t="str">
        <f t="shared" si="9"/>
        <v>Too early</v>
      </c>
      <c r="P34" s="241">
        <v>272</v>
      </c>
      <c r="Q34" s="400">
        <f t="shared" si="22"/>
        <v>1302</v>
      </c>
      <c r="R34" s="206" t="str">
        <f>IF(B34&lt;7,(P34/VLOOKUP(B34,'Sales Pacing'!$A$23:$E$36,2)),"Too early")</f>
        <v>Too early</v>
      </c>
      <c r="S34" s="401" t="str">
        <f t="shared" si="23"/>
        <v>Too early</v>
      </c>
      <c r="T34" s="226">
        <v>18219</v>
      </c>
      <c r="U34" s="230">
        <v>107500</v>
      </c>
      <c r="V34" s="237">
        <f t="shared" si="10"/>
        <v>0.16947906976744187</v>
      </c>
      <c r="W34" s="207" t="str">
        <f t="shared" si="18"/>
        <v>Too early</v>
      </c>
      <c r="X34" s="222"/>
      <c r="Y34" s="226"/>
      <c r="Z34" s="230"/>
      <c r="AA34" s="207" t="str">
        <f t="shared" si="11"/>
        <v/>
      </c>
      <c r="AB34" s="233">
        <v>1302</v>
      </c>
      <c r="AC34" s="207">
        <f t="shared" si="24"/>
        <v>0.20890937019969277</v>
      </c>
      <c r="AD34" s="208">
        <f t="shared" si="13"/>
        <v>66.981617647058826</v>
      </c>
      <c r="AE34" s="218"/>
      <c r="AF34" s="218"/>
      <c r="AG34" s="218"/>
      <c r="AH34" s="350">
        <v>18219</v>
      </c>
      <c r="AI34" s="354">
        <f t="shared" si="14"/>
        <v>0</v>
      </c>
    </row>
    <row r="35" spans="1:35" s="143" customFormat="1" x14ac:dyDescent="0.35">
      <c r="A35" s="143">
        <v>13</v>
      </c>
      <c r="B35" s="143">
        <f t="shared" si="3"/>
        <v>12</v>
      </c>
      <c r="C35" s="144">
        <v>45985</v>
      </c>
      <c r="D35" s="143" t="s">
        <v>73</v>
      </c>
      <c r="G35" s="144">
        <v>45990.541666666664</v>
      </c>
      <c r="H35" s="143" t="s">
        <v>64</v>
      </c>
      <c r="I35" s="37">
        <f t="shared" si="4"/>
        <v>306</v>
      </c>
      <c r="J35" s="38" t="str">
        <f t="shared" si="5"/>
        <v>Too early</v>
      </c>
      <c r="K35" s="31" t="str">
        <f t="shared" si="21"/>
        <v>Too early</v>
      </c>
      <c r="L35" s="39">
        <f t="shared" si="6"/>
        <v>19848</v>
      </c>
      <c r="M35" s="32">
        <f t="shared" si="7"/>
        <v>107500</v>
      </c>
      <c r="N35" s="195">
        <f t="shared" si="8"/>
        <v>0.18463255813953489</v>
      </c>
      <c r="O35" s="31" t="str">
        <f t="shared" si="9"/>
        <v>Too early</v>
      </c>
      <c r="P35" s="241">
        <v>306</v>
      </c>
      <c r="Q35" s="400">
        <f t="shared" si="22"/>
        <v>1302</v>
      </c>
      <c r="R35" s="206" t="str">
        <f>IF(B35&lt;7,(P35/VLOOKUP(B35,'Sales Pacing'!$A$23:$E$36,2)),"Too early")</f>
        <v>Too early</v>
      </c>
      <c r="S35" s="401" t="str">
        <f t="shared" si="23"/>
        <v>Too early</v>
      </c>
      <c r="T35" s="226">
        <v>19848</v>
      </c>
      <c r="U35" s="230">
        <v>107500</v>
      </c>
      <c r="V35" s="237">
        <f t="shared" si="10"/>
        <v>0.18463255813953489</v>
      </c>
      <c r="W35" s="207" t="str">
        <f t="shared" si="18"/>
        <v>Too early</v>
      </c>
      <c r="X35" s="222"/>
      <c r="Y35" s="226"/>
      <c r="Z35" s="230"/>
      <c r="AA35" s="207" t="str">
        <f t="shared" si="11"/>
        <v/>
      </c>
      <c r="AB35" s="233">
        <v>1302</v>
      </c>
      <c r="AC35" s="207">
        <f t="shared" si="24"/>
        <v>0.23502304147465439</v>
      </c>
      <c r="AD35" s="208">
        <f t="shared" si="13"/>
        <v>64.862745098039213</v>
      </c>
      <c r="AE35" s="218"/>
      <c r="AF35" s="218"/>
      <c r="AG35" s="218"/>
      <c r="AH35" s="350">
        <v>16760</v>
      </c>
      <c r="AI35" s="354">
        <f t="shared" si="14"/>
        <v>3088</v>
      </c>
    </row>
    <row r="36" spans="1:35" s="143" customFormat="1" x14ac:dyDescent="0.35">
      <c r="A36" s="143">
        <v>13</v>
      </c>
      <c r="B36" s="143">
        <f t="shared" si="3"/>
        <v>12</v>
      </c>
      <c r="C36" s="144">
        <v>45985</v>
      </c>
      <c r="D36" s="143" t="s">
        <v>73</v>
      </c>
      <c r="G36" s="144">
        <v>45990.791666666664</v>
      </c>
      <c r="H36" s="143" t="s">
        <v>64</v>
      </c>
      <c r="I36" s="37">
        <f t="shared" si="4"/>
        <v>253</v>
      </c>
      <c r="J36" s="38" t="str">
        <f t="shared" si="5"/>
        <v>Too early</v>
      </c>
      <c r="K36" s="31" t="str">
        <f t="shared" si="21"/>
        <v>Too early</v>
      </c>
      <c r="L36" s="39">
        <f t="shared" si="6"/>
        <v>16912</v>
      </c>
      <c r="M36" s="32">
        <f t="shared" si="7"/>
        <v>107500</v>
      </c>
      <c r="N36" s="195">
        <f t="shared" si="8"/>
        <v>0.15732093023255814</v>
      </c>
      <c r="O36" s="31" t="str">
        <f t="shared" si="9"/>
        <v>Too early</v>
      </c>
      <c r="P36" s="241">
        <v>253</v>
      </c>
      <c r="Q36" s="400">
        <f t="shared" si="22"/>
        <v>1302</v>
      </c>
      <c r="R36" s="206" t="str">
        <f>IF(B36&lt;7,(P36/VLOOKUP(B36,'Sales Pacing'!$A$23:$E$36,2)),"Too early")</f>
        <v>Too early</v>
      </c>
      <c r="S36" s="401" t="str">
        <f t="shared" si="23"/>
        <v>Too early</v>
      </c>
      <c r="T36" s="226">
        <v>16912</v>
      </c>
      <c r="U36" s="230">
        <v>107500</v>
      </c>
      <c r="V36" s="237">
        <f t="shared" si="10"/>
        <v>0.15732093023255814</v>
      </c>
      <c r="W36" s="207" t="str">
        <f t="shared" si="18"/>
        <v>Too early</v>
      </c>
      <c r="X36" s="222"/>
      <c r="Y36" s="226"/>
      <c r="Z36" s="230"/>
      <c r="AA36" s="207" t="str">
        <f t="shared" si="11"/>
        <v/>
      </c>
      <c r="AB36" s="233">
        <v>1302</v>
      </c>
      <c r="AC36" s="207">
        <f t="shared" si="24"/>
        <v>0.19431643625192013</v>
      </c>
      <c r="AD36" s="208">
        <f t="shared" si="13"/>
        <v>66.845849802371546</v>
      </c>
      <c r="AE36" s="218"/>
      <c r="AF36" s="218"/>
      <c r="AG36" s="218"/>
      <c r="AH36" s="350">
        <v>15945</v>
      </c>
      <c r="AI36" s="354">
        <f t="shared" si="14"/>
        <v>967</v>
      </c>
    </row>
    <row r="37" spans="1:35" s="147" customFormat="1" x14ac:dyDescent="0.35">
      <c r="A37" s="147">
        <v>13</v>
      </c>
      <c r="B37" s="147">
        <f t="shared" si="3"/>
        <v>12</v>
      </c>
      <c r="C37" s="148">
        <v>45985</v>
      </c>
      <c r="D37" s="147" t="s">
        <v>73</v>
      </c>
      <c r="G37" s="148">
        <v>45991.583333333336</v>
      </c>
      <c r="H37" s="147" t="s">
        <v>64</v>
      </c>
      <c r="I37" s="149">
        <f t="shared" si="4"/>
        <v>451</v>
      </c>
      <c r="J37" s="33" t="str">
        <f t="shared" si="5"/>
        <v>Too early</v>
      </c>
      <c r="K37" s="34" t="str">
        <f t="shared" si="21"/>
        <v>Too early</v>
      </c>
      <c r="L37" s="35">
        <f t="shared" si="6"/>
        <v>32022</v>
      </c>
      <c r="M37" s="36">
        <f t="shared" si="7"/>
        <v>107500</v>
      </c>
      <c r="N37" s="196">
        <f t="shared" si="8"/>
        <v>0.29787906976744188</v>
      </c>
      <c r="O37" s="34" t="str">
        <f t="shared" si="9"/>
        <v>Too early</v>
      </c>
      <c r="P37" s="243">
        <v>451</v>
      </c>
      <c r="Q37" s="400">
        <f t="shared" si="22"/>
        <v>1302</v>
      </c>
      <c r="R37" s="209" t="str">
        <f>IF(B37&lt;7,(P37/VLOOKUP(B37,'Sales Pacing'!$A$23:$E$36,2)),"Too early")</f>
        <v>Too early</v>
      </c>
      <c r="S37" s="401" t="str">
        <f t="shared" si="23"/>
        <v>Too early</v>
      </c>
      <c r="T37" s="227">
        <v>32022</v>
      </c>
      <c r="U37" s="231">
        <v>107500</v>
      </c>
      <c r="V37" s="238">
        <f t="shared" si="10"/>
        <v>0.29787906976744188</v>
      </c>
      <c r="W37" s="210" t="str">
        <f t="shared" si="18"/>
        <v>Too early</v>
      </c>
      <c r="X37" s="223"/>
      <c r="Y37" s="227"/>
      <c r="Z37" s="231"/>
      <c r="AA37" s="210" t="str">
        <f t="shared" si="11"/>
        <v/>
      </c>
      <c r="AB37" s="234">
        <v>1302</v>
      </c>
      <c r="AC37" s="402">
        <f t="shared" si="24"/>
        <v>0.34639016897081415</v>
      </c>
      <c r="AD37" s="211">
        <f t="shared" si="13"/>
        <v>71.00221729490022</v>
      </c>
      <c r="AE37" s="219"/>
      <c r="AF37" s="219"/>
      <c r="AG37" s="219"/>
      <c r="AH37" s="350">
        <v>29095</v>
      </c>
      <c r="AI37" s="354">
        <f t="shared" si="14"/>
        <v>2927</v>
      </c>
    </row>
    <row r="38" spans="1:35" s="143" customFormat="1" x14ac:dyDescent="0.35">
      <c r="A38" s="143">
        <v>14</v>
      </c>
      <c r="B38" s="143">
        <f t="shared" si="3"/>
        <v>13</v>
      </c>
      <c r="C38" s="144">
        <v>45992</v>
      </c>
      <c r="D38" s="143" t="s">
        <v>74</v>
      </c>
      <c r="G38" s="144">
        <v>45996.791666666664</v>
      </c>
      <c r="H38" s="143" t="s">
        <v>75</v>
      </c>
      <c r="I38" s="37">
        <f t="shared" si="4"/>
        <v>293</v>
      </c>
      <c r="J38" s="38" t="str">
        <f t="shared" si="5"/>
        <v>Too early</v>
      </c>
      <c r="K38" s="31" t="str">
        <f t="shared" si="21"/>
        <v>Too early</v>
      </c>
      <c r="L38" s="39">
        <f t="shared" si="6"/>
        <v>15145</v>
      </c>
      <c r="M38" s="32">
        <f t="shared" si="7"/>
        <v>78333</v>
      </c>
      <c r="N38" s="195">
        <f t="shared" si="8"/>
        <v>0.1933412482606309</v>
      </c>
      <c r="O38" s="31" t="str">
        <f t="shared" si="9"/>
        <v>Too early</v>
      </c>
      <c r="P38" s="222">
        <v>293</v>
      </c>
      <c r="Q38" s="400">
        <f t="shared" si="22"/>
        <v>1433</v>
      </c>
      <c r="R38" s="206" t="str">
        <f>IF(B38&lt;7,(P38/VLOOKUP(B38,'Sales Pacing'!$A$23:$E$36,2)),"Too early")</f>
        <v>Too early</v>
      </c>
      <c r="S38" s="401" t="str">
        <f t="shared" si="23"/>
        <v>Too early</v>
      </c>
      <c r="T38" s="226">
        <v>15145</v>
      </c>
      <c r="U38" s="230">
        <v>78333</v>
      </c>
      <c r="V38" s="237">
        <f t="shared" si="10"/>
        <v>0.1933412482606309</v>
      </c>
      <c r="W38" s="207" t="str">
        <f t="shared" si="18"/>
        <v>Too early</v>
      </c>
      <c r="X38" s="222"/>
      <c r="Y38" s="226"/>
      <c r="Z38" s="230"/>
      <c r="AA38" s="207" t="str">
        <f t="shared" si="11"/>
        <v/>
      </c>
      <c r="AB38" s="233">
        <v>1433</v>
      </c>
      <c r="AC38" s="207">
        <f t="shared" si="24"/>
        <v>0.20446615491974879</v>
      </c>
      <c r="AD38" s="208">
        <f t="shared" si="13"/>
        <v>51.689419795221845</v>
      </c>
      <c r="AE38" s="218"/>
      <c r="AF38" s="218"/>
      <c r="AG38" s="218"/>
      <c r="AH38" s="350">
        <v>14705.5</v>
      </c>
      <c r="AI38" s="354">
        <f t="shared" si="14"/>
        <v>439.5</v>
      </c>
    </row>
    <row r="39" spans="1:35" s="143" customFormat="1" x14ac:dyDescent="0.35">
      <c r="A39" s="143">
        <v>14</v>
      </c>
      <c r="B39" s="143">
        <f t="shared" si="3"/>
        <v>13</v>
      </c>
      <c r="C39" s="144">
        <v>45992</v>
      </c>
      <c r="D39" s="143" t="s">
        <v>74</v>
      </c>
      <c r="G39" s="144">
        <v>45997.791666666664</v>
      </c>
      <c r="H39" s="143" t="s">
        <v>75</v>
      </c>
      <c r="I39" s="37">
        <f t="shared" si="4"/>
        <v>335</v>
      </c>
      <c r="J39" s="38" t="str">
        <f t="shared" si="5"/>
        <v>Too early</v>
      </c>
      <c r="K39" s="31" t="str">
        <f t="shared" si="21"/>
        <v>Too early</v>
      </c>
      <c r="L39" s="39">
        <f t="shared" si="6"/>
        <v>20502</v>
      </c>
      <c r="M39" s="32">
        <f t="shared" si="7"/>
        <v>78334</v>
      </c>
      <c r="N39" s="195">
        <f t="shared" si="8"/>
        <v>0.26172543212398192</v>
      </c>
      <c r="O39" s="31" t="str">
        <f t="shared" si="9"/>
        <v>Too early</v>
      </c>
      <c r="P39" s="222">
        <v>335</v>
      </c>
      <c r="Q39" s="400">
        <f t="shared" si="22"/>
        <v>1433</v>
      </c>
      <c r="R39" s="206" t="str">
        <f>IF(B39&lt;7,(P39/VLOOKUP(B39,'Sales Pacing'!$A$23:$E$36,2)),"Too early")</f>
        <v>Too early</v>
      </c>
      <c r="S39" s="401" t="str">
        <f t="shared" si="23"/>
        <v>Too early</v>
      </c>
      <c r="T39" s="226">
        <v>20502</v>
      </c>
      <c r="U39" s="230">
        <v>78334</v>
      </c>
      <c r="V39" s="237">
        <f t="shared" si="10"/>
        <v>0.26172543212398192</v>
      </c>
      <c r="W39" s="207" t="str">
        <f t="shared" si="18"/>
        <v>Too early</v>
      </c>
      <c r="X39" s="222"/>
      <c r="Y39" s="226"/>
      <c r="Z39" s="230"/>
      <c r="AA39" s="207" t="str">
        <f t="shared" si="11"/>
        <v/>
      </c>
      <c r="AB39" s="233">
        <v>1433</v>
      </c>
      <c r="AC39" s="207">
        <f t="shared" si="24"/>
        <v>0.23377529658060014</v>
      </c>
      <c r="AD39" s="208">
        <f t="shared" si="13"/>
        <v>61.2</v>
      </c>
      <c r="AE39" s="218"/>
      <c r="AF39" s="218"/>
      <c r="AG39" s="218"/>
      <c r="AH39" s="350">
        <v>18906.5</v>
      </c>
      <c r="AI39" s="354">
        <f t="shared" si="14"/>
        <v>1595.5</v>
      </c>
    </row>
    <row r="40" spans="1:35" s="147" customFormat="1" x14ac:dyDescent="0.35">
      <c r="A40" s="147">
        <v>14</v>
      </c>
      <c r="B40" s="147">
        <f t="shared" si="3"/>
        <v>13</v>
      </c>
      <c r="C40" s="148">
        <v>45992</v>
      </c>
      <c r="D40" s="147" t="s">
        <v>74</v>
      </c>
      <c r="G40" s="148">
        <v>45998.583333333336</v>
      </c>
      <c r="H40" s="147" t="s">
        <v>75</v>
      </c>
      <c r="I40" s="149">
        <f t="shared" si="4"/>
        <v>359</v>
      </c>
      <c r="J40" s="33" t="str">
        <f t="shared" si="5"/>
        <v>Too early</v>
      </c>
      <c r="K40" s="34" t="str">
        <f t="shared" si="21"/>
        <v>Too early</v>
      </c>
      <c r="L40" s="35">
        <f t="shared" si="6"/>
        <v>18477</v>
      </c>
      <c r="M40" s="36">
        <f t="shared" si="7"/>
        <v>78333</v>
      </c>
      <c r="N40" s="196">
        <f t="shared" si="8"/>
        <v>0.23587759947914672</v>
      </c>
      <c r="O40" s="34" t="str">
        <f t="shared" si="9"/>
        <v>Too early</v>
      </c>
      <c r="P40" s="223">
        <v>359</v>
      </c>
      <c r="Q40" s="400">
        <f t="shared" si="22"/>
        <v>1433</v>
      </c>
      <c r="R40" s="209" t="str">
        <f>IF(B40&lt;7,(P40/VLOOKUP(B40,'Sales Pacing'!$A$23:$E$36,2)),"Too early")</f>
        <v>Too early</v>
      </c>
      <c r="S40" s="401" t="str">
        <f t="shared" si="23"/>
        <v>Too early</v>
      </c>
      <c r="T40" s="227">
        <v>18477</v>
      </c>
      <c r="U40" s="231">
        <v>78333</v>
      </c>
      <c r="V40" s="238">
        <f t="shared" si="10"/>
        <v>0.23587759947914672</v>
      </c>
      <c r="W40" s="210" t="str">
        <f t="shared" si="18"/>
        <v>Too early</v>
      </c>
      <c r="X40" s="223"/>
      <c r="Y40" s="227"/>
      <c r="Z40" s="231"/>
      <c r="AA40" s="210" t="str">
        <f t="shared" si="11"/>
        <v/>
      </c>
      <c r="AB40" s="234">
        <v>1433</v>
      </c>
      <c r="AC40" s="402">
        <f t="shared" si="24"/>
        <v>0.25052337752965809</v>
      </c>
      <c r="AD40" s="211">
        <f t="shared" si="13"/>
        <v>51.467966573816156</v>
      </c>
      <c r="AE40" s="219"/>
      <c r="AF40" s="219"/>
      <c r="AG40" s="219"/>
      <c r="AH40" s="352">
        <v>16445</v>
      </c>
      <c r="AI40" s="354">
        <f t="shared" si="14"/>
        <v>2032</v>
      </c>
    </row>
    <row r="41" spans="1:35" s="143" customFormat="1" x14ac:dyDescent="0.35">
      <c r="A41" s="143">
        <v>15</v>
      </c>
      <c r="B41" s="143">
        <f t="shared" si="3"/>
        <v>14</v>
      </c>
      <c r="C41" s="144">
        <v>45999</v>
      </c>
      <c r="D41" s="143" t="s">
        <v>76</v>
      </c>
      <c r="G41" s="144">
        <v>46003.791666666664</v>
      </c>
      <c r="H41" s="143" t="s">
        <v>52</v>
      </c>
      <c r="I41" s="37">
        <f t="shared" si="4"/>
        <v>933</v>
      </c>
      <c r="J41" s="38" t="str">
        <f t="shared" si="5"/>
        <v>Too early</v>
      </c>
      <c r="K41" s="31" t="str">
        <f t="shared" si="21"/>
        <v>Too early</v>
      </c>
      <c r="L41" s="39">
        <f t="shared" si="6"/>
        <v>96067</v>
      </c>
      <c r="M41" s="32">
        <f t="shared" si="7"/>
        <v>150000</v>
      </c>
      <c r="N41" s="195">
        <f t="shared" si="8"/>
        <v>0.64044666666666672</v>
      </c>
      <c r="O41" s="31" t="str">
        <f t="shared" si="9"/>
        <v>Too early</v>
      </c>
      <c r="P41" s="222">
        <v>933</v>
      </c>
      <c r="Q41" s="400">
        <f t="shared" si="22"/>
        <v>1590</v>
      </c>
      <c r="R41" s="206" t="str">
        <f>IF(B41&lt;7,(P41/VLOOKUP(B41,'Sales Pacing'!$A$23:$E$36,2)),"Too early")</f>
        <v>Too early</v>
      </c>
      <c r="S41" s="401" t="str">
        <f t="shared" si="23"/>
        <v>Too early</v>
      </c>
      <c r="T41" s="358">
        <v>96067</v>
      </c>
      <c r="U41" s="230">
        <v>150000</v>
      </c>
      <c r="V41" s="237">
        <f t="shared" si="10"/>
        <v>0.64044666666666672</v>
      </c>
      <c r="W41" s="207" t="str">
        <f t="shared" si="18"/>
        <v>Too early</v>
      </c>
      <c r="X41" s="222"/>
      <c r="Y41" s="226"/>
      <c r="Z41" s="230"/>
      <c r="AA41" s="207" t="str">
        <f t="shared" si="11"/>
        <v/>
      </c>
      <c r="AB41" s="233">
        <v>1590</v>
      </c>
      <c r="AC41" s="207">
        <f t="shared" si="24"/>
        <v>0.58679245283018866</v>
      </c>
      <c r="AD41" s="208">
        <f t="shared" si="13"/>
        <v>102.96570203644158</v>
      </c>
      <c r="AE41" s="218"/>
      <c r="AF41" s="218"/>
      <c r="AG41" s="218"/>
      <c r="AH41" s="350">
        <v>93212</v>
      </c>
      <c r="AI41" s="354">
        <f t="shared" si="14"/>
        <v>2855</v>
      </c>
    </row>
    <row r="42" spans="1:35" s="147" customFormat="1" x14ac:dyDescent="0.35">
      <c r="A42" s="147">
        <v>15</v>
      </c>
      <c r="B42" s="147">
        <f t="shared" si="3"/>
        <v>14</v>
      </c>
      <c r="C42" s="148">
        <v>45999</v>
      </c>
      <c r="D42" s="147" t="s">
        <v>76</v>
      </c>
      <c r="G42" s="148">
        <v>46004.791666666664</v>
      </c>
      <c r="H42" s="147" t="s">
        <v>52</v>
      </c>
      <c r="I42" s="149">
        <f t="shared" si="4"/>
        <v>1149</v>
      </c>
      <c r="J42" s="33" t="str">
        <f t="shared" si="5"/>
        <v>Too early</v>
      </c>
      <c r="K42" s="34" t="str">
        <f t="shared" si="21"/>
        <v>Too early</v>
      </c>
      <c r="L42" s="35">
        <f t="shared" si="6"/>
        <v>115679</v>
      </c>
      <c r="M42" s="36">
        <f t="shared" si="7"/>
        <v>150000</v>
      </c>
      <c r="N42" s="196">
        <f t="shared" si="8"/>
        <v>0.77119333333333329</v>
      </c>
      <c r="O42" s="34" t="str">
        <f t="shared" si="9"/>
        <v>Too early</v>
      </c>
      <c r="P42" s="223">
        <v>1149</v>
      </c>
      <c r="Q42" s="400">
        <f t="shared" si="22"/>
        <v>1590</v>
      </c>
      <c r="R42" s="209" t="str">
        <f>IF(B42&lt;7,(P42/VLOOKUP(B42,'Sales Pacing'!$A$23:$E$36,2)),"Too early")</f>
        <v>Too early</v>
      </c>
      <c r="S42" s="401" t="str">
        <f t="shared" si="23"/>
        <v>Too early</v>
      </c>
      <c r="T42" s="359">
        <v>115679</v>
      </c>
      <c r="U42" s="231">
        <v>150000</v>
      </c>
      <c r="V42" s="238">
        <f t="shared" si="10"/>
        <v>0.77119333333333329</v>
      </c>
      <c r="W42" s="210" t="str">
        <f t="shared" si="18"/>
        <v>Too early</v>
      </c>
      <c r="X42" s="223"/>
      <c r="Y42" s="227"/>
      <c r="Z42" s="231"/>
      <c r="AA42" s="210" t="str">
        <f t="shared" si="11"/>
        <v/>
      </c>
      <c r="AB42" s="234">
        <v>1590</v>
      </c>
      <c r="AC42" s="402">
        <f t="shared" si="24"/>
        <v>0.72264150943396221</v>
      </c>
      <c r="AD42" s="211">
        <f t="shared" si="13"/>
        <v>100.67798085291558</v>
      </c>
      <c r="AE42" s="219"/>
      <c r="AF42" s="219"/>
      <c r="AG42" s="219"/>
      <c r="AH42" s="350">
        <v>111247</v>
      </c>
      <c r="AI42" s="354">
        <f t="shared" si="14"/>
        <v>4432</v>
      </c>
    </row>
    <row r="43" spans="1:35" s="143" customFormat="1" x14ac:dyDescent="0.35">
      <c r="A43" s="143">
        <v>16</v>
      </c>
      <c r="B43" s="143">
        <f t="shared" si="3"/>
        <v>15</v>
      </c>
      <c r="C43" s="144">
        <v>46006</v>
      </c>
      <c r="D43" s="143" t="s">
        <v>77</v>
      </c>
      <c r="G43" s="144">
        <v>46009.791666666664</v>
      </c>
      <c r="H43" s="143" t="s">
        <v>75</v>
      </c>
      <c r="I43" s="37">
        <f t="shared" si="4"/>
        <v>207</v>
      </c>
      <c r="J43" s="38" t="str">
        <f t="shared" si="5"/>
        <v>Too early</v>
      </c>
      <c r="K43" s="31" t="str">
        <f t="shared" si="21"/>
        <v>Too early</v>
      </c>
      <c r="L43" s="39">
        <f t="shared" si="6"/>
        <v>12454</v>
      </c>
      <c r="M43" s="32">
        <f t="shared" si="7"/>
        <v>75833</v>
      </c>
      <c r="N43" s="195">
        <f t="shared" si="8"/>
        <v>0.16422929331557501</v>
      </c>
      <c r="O43" s="31" t="str">
        <f t="shared" si="9"/>
        <v>Too early</v>
      </c>
      <c r="P43" s="222">
        <v>207</v>
      </c>
      <c r="Q43" s="400">
        <f t="shared" si="22"/>
        <v>1433</v>
      </c>
      <c r="R43" s="206" t="str">
        <f>IF(B43&lt;7,(P43/VLOOKUP(B43,'Sales Pacing'!$A$23:$E$36,2)),"Too early")</f>
        <v>Too early</v>
      </c>
      <c r="S43" s="401" t="str">
        <f t="shared" si="23"/>
        <v>Too early</v>
      </c>
      <c r="T43" s="226">
        <v>12454</v>
      </c>
      <c r="U43" s="230">
        <v>75833</v>
      </c>
      <c r="V43" s="237">
        <f t="shared" si="10"/>
        <v>0.16422929331557501</v>
      </c>
      <c r="W43" s="207" t="str">
        <f t="shared" si="18"/>
        <v>Too early</v>
      </c>
      <c r="X43" s="222"/>
      <c r="Y43" s="226"/>
      <c r="Z43" s="230"/>
      <c r="AA43" s="207" t="str">
        <f t="shared" si="11"/>
        <v/>
      </c>
      <c r="AB43" s="233">
        <v>1433</v>
      </c>
      <c r="AC43" s="207">
        <f t="shared" si="24"/>
        <v>0.14445219818562458</v>
      </c>
      <c r="AD43" s="208">
        <f t="shared" si="13"/>
        <v>60.164251207729471</v>
      </c>
      <c r="AE43" s="218"/>
      <c r="AF43" s="218"/>
      <c r="AG43" s="218"/>
      <c r="AH43" s="350">
        <v>12314</v>
      </c>
      <c r="AI43" s="354">
        <f t="shared" si="14"/>
        <v>140</v>
      </c>
    </row>
    <row r="44" spans="1:35" s="143" customFormat="1" x14ac:dyDescent="0.35">
      <c r="A44" s="143">
        <v>16</v>
      </c>
      <c r="B44" s="143">
        <f t="shared" si="3"/>
        <v>15</v>
      </c>
      <c r="C44" s="144">
        <v>46006</v>
      </c>
      <c r="D44" s="143" t="s">
        <v>77</v>
      </c>
      <c r="G44" s="144">
        <v>46010.791666666664</v>
      </c>
      <c r="H44" s="143" t="s">
        <v>75</v>
      </c>
      <c r="I44" s="37">
        <f t="shared" si="4"/>
        <v>180</v>
      </c>
      <c r="J44" s="38" t="str">
        <f t="shared" si="5"/>
        <v>Too early</v>
      </c>
      <c r="K44" s="31" t="str">
        <f t="shared" si="21"/>
        <v>Too early</v>
      </c>
      <c r="L44" s="39">
        <f t="shared" si="6"/>
        <v>10916</v>
      </c>
      <c r="M44" s="32">
        <f t="shared" si="7"/>
        <v>75833</v>
      </c>
      <c r="N44" s="195">
        <f t="shared" si="8"/>
        <v>0.14394788548521092</v>
      </c>
      <c r="O44" s="31" t="str">
        <f t="shared" si="9"/>
        <v>Too early</v>
      </c>
      <c r="P44" s="222">
        <v>180</v>
      </c>
      <c r="Q44" s="400">
        <f t="shared" si="22"/>
        <v>1433</v>
      </c>
      <c r="R44" s="206" t="str">
        <f>IF(B44&lt;7,(P44/VLOOKUP(B44,'Sales Pacing'!$A$23:$E$36,2)),"Too early")</f>
        <v>Too early</v>
      </c>
      <c r="S44" s="401" t="str">
        <f t="shared" si="23"/>
        <v>Too early</v>
      </c>
      <c r="T44" s="226">
        <v>10916</v>
      </c>
      <c r="U44" s="230">
        <v>75833</v>
      </c>
      <c r="V44" s="237">
        <f t="shared" si="10"/>
        <v>0.14394788548521092</v>
      </c>
      <c r="W44" s="207" t="str">
        <f t="shared" si="18"/>
        <v>Too early</v>
      </c>
      <c r="X44" s="222"/>
      <c r="Y44" s="226"/>
      <c r="Z44" s="230"/>
      <c r="AA44" s="207" t="str">
        <f t="shared" si="11"/>
        <v/>
      </c>
      <c r="AB44" s="233">
        <v>1433</v>
      </c>
      <c r="AC44" s="207">
        <f t="shared" si="24"/>
        <v>0.1256106071179344</v>
      </c>
      <c r="AD44" s="208">
        <f t="shared" si="13"/>
        <v>60.644444444444446</v>
      </c>
      <c r="AE44" s="218"/>
      <c r="AF44" s="218"/>
      <c r="AG44" s="218"/>
      <c r="AH44" s="350">
        <v>10536.5</v>
      </c>
      <c r="AI44" s="354">
        <f t="shared" si="14"/>
        <v>379.5</v>
      </c>
    </row>
    <row r="45" spans="1:35" s="143" customFormat="1" x14ac:dyDescent="0.35">
      <c r="A45" s="143">
        <v>16</v>
      </c>
      <c r="B45" s="143">
        <f t="shared" si="3"/>
        <v>15</v>
      </c>
      <c r="C45" s="144">
        <v>46006</v>
      </c>
      <c r="D45" s="143" t="s">
        <v>77</v>
      </c>
      <c r="G45" s="144">
        <v>46011.541666666664</v>
      </c>
      <c r="H45" s="143" t="s">
        <v>75</v>
      </c>
      <c r="I45" s="37">
        <f t="shared" si="4"/>
        <v>320</v>
      </c>
      <c r="J45" s="38" t="str">
        <f t="shared" si="5"/>
        <v>Too early</v>
      </c>
      <c r="K45" s="31" t="str">
        <f t="shared" si="21"/>
        <v>Too early</v>
      </c>
      <c r="L45" s="39">
        <f t="shared" si="6"/>
        <v>19824</v>
      </c>
      <c r="M45" s="32">
        <f t="shared" si="7"/>
        <v>75833</v>
      </c>
      <c r="N45" s="195">
        <f t="shared" si="8"/>
        <v>0.26141653369904921</v>
      </c>
      <c r="O45" s="31" t="str">
        <f t="shared" si="9"/>
        <v>Too early</v>
      </c>
      <c r="P45" s="222">
        <v>320</v>
      </c>
      <c r="Q45" s="400">
        <f t="shared" si="22"/>
        <v>1433</v>
      </c>
      <c r="R45" s="206" t="str">
        <f>IF(B45&lt;7,(P45/VLOOKUP(B45,'Sales Pacing'!$A$23:$E$36,2)),"Too early")</f>
        <v>Too early</v>
      </c>
      <c r="S45" s="401" t="str">
        <f t="shared" si="23"/>
        <v>Too early</v>
      </c>
      <c r="T45" s="226">
        <v>19824</v>
      </c>
      <c r="U45" s="230">
        <v>75833</v>
      </c>
      <c r="V45" s="237">
        <f t="shared" si="10"/>
        <v>0.26141653369904921</v>
      </c>
      <c r="W45" s="207" t="str">
        <f t="shared" si="18"/>
        <v>Too early</v>
      </c>
      <c r="X45" s="222"/>
      <c r="Y45" s="226"/>
      <c r="Z45" s="230"/>
      <c r="AA45" s="207" t="str">
        <f t="shared" si="11"/>
        <v/>
      </c>
      <c r="AB45" s="233">
        <v>1433</v>
      </c>
      <c r="AC45" s="207">
        <f t="shared" si="24"/>
        <v>0.22330774598743894</v>
      </c>
      <c r="AD45" s="208">
        <f t="shared" si="13"/>
        <v>61.95</v>
      </c>
      <c r="AE45" s="218"/>
      <c r="AF45" s="218"/>
      <c r="AG45" s="218"/>
      <c r="AH45" s="350">
        <v>19202.5</v>
      </c>
      <c r="AI45" s="354">
        <f t="shared" si="14"/>
        <v>621.5</v>
      </c>
    </row>
    <row r="46" spans="1:35" s="143" customFormat="1" x14ac:dyDescent="0.35">
      <c r="A46" s="143">
        <v>16</v>
      </c>
      <c r="B46" s="143">
        <f t="shared" si="3"/>
        <v>15</v>
      </c>
      <c r="C46" s="144">
        <v>46006</v>
      </c>
      <c r="D46" s="143" t="s">
        <v>77</v>
      </c>
      <c r="G46" s="144">
        <v>46011.791666666664</v>
      </c>
      <c r="H46" s="143" t="s">
        <v>75</v>
      </c>
      <c r="I46" s="37">
        <f t="shared" si="4"/>
        <v>190</v>
      </c>
      <c r="J46" s="38" t="str">
        <f t="shared" si="5"/>
        <v>Too early</v>
      </c>
      <c r="K46" s="31" t="str">
        <f t="shared" si="21"/>
        <v>Too early</v>
      </c>
      <c r="L46" s="39">
        <f t="shared" si="6"/>
        <v>11954</v>
      </c>
      <c r="M46" s="32">
        <f t="shared" si="7"/>
        <v>75833</v>
      </c>
      <c r="N46" s="195">
        <f t="shared" si="8"/>
        <v>0.15763585774003402</v>
      </c>
      <c r="O46" s="31" t="str">
        <f t="shared" si="9"/>
        <v>Too early</v>
      </c>
      <c r="P46" s="222">
        <v>190</v>
      </c>
      <c r="Q46" s="400">
        <f t="shared" si="22"/>
        <v>1433</v>
      </c>
      <c r="R46" s="206" t="str">
        <f>IF(B46&lt;7,(P46/VLOOKUP(B46,'Sales Pacing'!$A$23:$E$36,2)),"Too early")</f>
        <v>Too early</v>
      </c>
      <c r="S46" s="401" t="str">
        <f t="shared" si="23"/>
        <v>Too early</v>
      </c>
      <c r="T46" s="226">
        <v>11954</v>
      </c>
      <c r="U46" s="230">
        <v>75833</v>
      </c>
      <c r="V46" s="237">
        <f t="shared" si="10"/>
        <v>0.15763585774003402</v>
      </c>
      <c r="W46" s="207" t="str">
        <f t="shared" si="18"/>
        <v>Too early</v>
      </c>
      <c r="X46" s="222"/>
      <c r="Y46" s="226"/>
      <c r="Z46" s="230"/>
      <c r="AA46" s="207" t="str">
        <f t="shared" si="11"/>
        <v/>
      </c>
      <c r="AB46" s="233">
        <v>1433</v>
      </c>
      <c r="AC46" s="207">
        <f t="shared" si="24"/>
        <v>0.13258897418004187</v>
      </c>
      <c r="AD46" s="208">
        <f t="shared" si="13"/>
        <v>62.915789473684214</v>
      </c>
      <c r="AE46" s="218"/>
      <c r="AF46" s="218"/>
      <c r="AG46" s="218"/>
      <c r="AH46" s="350">
        <v>11774.5</v>
      </c>
      <c r="AI46" s="354">
        <f t="shared" si="14"/>
        <v>179.5</v>
      </c>
    </row>
    <row r="47" spans="1:35" s="143" customFormat="1" x14ac:dyDescent="0.35">
      <c r="A47" s="143">
        <v>16</v>
      </c>
      <c r="B47" s="143">
        <f t="shared" si="3"/>
        <v>15</v>
      </c>
      <c r="C47" s="144">
        <v>46006</v>
      </c>
      <c r="D47" s="143" t="s">
        <v>77</v>
      </c>
      <c r="G47" s="144">
        <v>46012.583333333336</v>
      </c>
      <c r="H47" s="143" t="s">
        <v>75</v>
      </c>
      <c r="I47" s="37">
        <f t="shared" si="4"/>
        <v>547</v>
      </c>
      <c r="J47" s="38" t="str">
        <f t="shared" si="5"/>
        <v>Too early</v>
      </c>
      <c r="K47" s="31" t="str">
        <f t="shared" si="21"/>
        <v>Too early</v>
      </c>
      <c r="L47" s="39">
        <f t="shared" si="6"/>
        <v>20423</v>
      </c>
      <c r="M47" s="32">
        <f t="shared" si="7"/>
        <v>88284</v>
      </c>
      <c r="N47" s="195">
        <f t="shared" si="8"/>
        <v>0.23133297086674823</v>
      </c>
      <c r="O47" s="31" t="str">
        <f t="shared" si="9"/>
        <v>Too early</v>
      </c>
      <c r="P47" s="222">
        <v>248</v>
      </c>
      <c r="Q47" s="400">
        <f t="shared" si="22"/>
        <v>1134</v>
      </c>
      <c r="R47" s="206" t="str">
        <f>IF(B47&lt;7,(P47/VLOOKUP(B47,'Sales Pacing'!$A$23:$E$36,2)),"Too early")</f>
        <v>Too early</v>
      </c>
      <c r="S47" s="401" t="str">
        <f t="shared" si="23"/>
        <v>Too early</v>
      </c>
      <c r="T47" s="226">
        <v>13784</v>
      </c>
      <c r="U47" s="230">
        <v>75834</v>
      </c>
      <c r="V47" s="237">
        <f t="shared" si="10"/>
        <v>0.18176543502914261</v>
      </c>
      <c r="W47" s="207" t="str">
        <f t="shared" si="18"/>
        <v>Too early</v>
      </c>
      <c r="X47" s="222">
        <v>299</v>
      </c>
      <c r="Y47" s="226">
        <v>6639</v>
      </c>
      <c r="Z47" s="230">
        <v>12450</v>
      </c>
      <c r="AA47" s="207">
        <f t="shared" si="11"/>
        <v>0.53325301204819275</v>
      </c>
      <c r="AB47" s="233">
        <v>1433</v>
      </c>
      <c r="AC47" s="207">
        <f t="shared" si="24"/>
        <v>0.38171667829727846</v>
      </c>
      <c r="AD47" s="208">
        <f t="shared" si="13"/>
        <v>37.336380255941499</v>
      </c>
      <c r="AE47" s="218"/>
      <c r="AF47" s="218"/>
      <c r="AG47" s="218"/>
      <c r="AH47" s="350">
        <v>20010</v>
      </c>
      <c r="AI47" s="354">
        <f t="shared" si="14"/>
        <v>413</v>
      </c>
    </row>
    <row r="48" spans="1:35" s="147" customFormat="1" x14ac:dyDescent="0.35">
      <c r="A48" s="147">
        <v>16</v>
      </c>
      <c r="B48" s="147">
        <f t="shared" si="3"/>
        <v>15</v>
      </c>
      <c r="C48" s="148">
        <v>46006</v>
      </c>
      <c r="D48" s="147" t="s">
        <v>77</v>
      </c>
      <c r="G48" s="148">
        <v>46012.791666666664</v>
      </c>
      <c r="H48" s="147" t="s">
        <v>75</v>
      </c>
      <c r="I48" s="149">
        <f t="shared" si="4"/>
        <v>130</v>
      </c>
      <c r="J48" s="33" t="str">
        <f t="shared" si="5"/>
        <v>Too early</v>
      </c>
      <c r="K48" s="34" t="str">
        <f t="shared" si="21"/>
        <v>Too early</v>
      </c>
      <c r="L48" s="35">
        <f t="shared" si="6"/>
        <v>7506</v>
      </c>
      <c r="M48" s="36">
        <f t="shared" si="7"/>
        <v>75834</v>
      </c>
      <c r="N48" s="196">
        <f t="shared" si="8"/>
        <v>9.8979349632091151E-2</v>
      </c>
      <c r="O48" s="34" t="str">
        <f t="shared" si="9"/>
        <v>Too early</v>
      </c>
      <c r="P48" s="223">
        <v>130</v>
      </c>
      <c r="Q48" s="400">
        <f t="shared" si="22"/>
        <v>1433</v>
      </c>
      <c r="R48" s="209" t="str">
        <f>IF(B48&lt;7,(P48/VLOOKUP(B48,'Sales Pacing'!$A$23:$E$36,2)),"Too early")</f>
        <v>Too early</v>
      </c>
      <c r="S48" s="401" t="str">
        <f t="shared" si="23"/>
        <v>Too early</v>
      </c>
      <c r="T48" s="227">
        <v>7506</v>
      </c>
      <c r="U48" s="231">
        <v>75834</v>
      </c>
      <c r="V48" s="238">
        <f t="shared" si="10"/>
        <v>9.8979349632091151E-2</v>
      </c>
      <c r="W48" s="210" t="str">
        <f t="shared" si="18"/>
        <v>Too early</v>
      </c>
      <c r="X48" s="223"/>
      <c r="Y48" s="227"/>
      <c r="Z48" s="231"/>
      <c r="AA48" s="210" t="str">
        <f t="shared" si="11"/>
        <v/>
      </c>
      <c r="AB48" s="234">
        <v>1433</v>
      </c>
      <c r="AC48" s="402">
        <f t="shared" si="24"/>
        <v>9.0718771807397069E-2</v>
      </c>
      <c r="AD48" s="211">
        <f t="shared" si="13"/>
        <v>57.738461538461536</v>
      </c>
      <c r="AE48" s="219"/>
      <c r="AF48" s="219"/>
      <c r="AG48" s="219"/>
      <c r="AH48" s="352">
        <v>6226</v>
      </c>
      <c r="AI48" s="354">
        <f t="shared" si="14"/>
        <v>1280</v>
      </c>
    </row>
    <row r="49" spans="1:35" s="143" customFormat="1" x14ac:dyDescent="0.35">
      <c r="A49" s="143">
        <v>17</v>
      </c>
      <c r="B49" s="143">
        <f t="shared" si="3"/>
        <v>16</v>
      </c>
      <c r="C49" s="144">
        <v>46013</v>
      </c>
      <c r="D49" s="143" t="s">
        <v>78</v>
      </c>
      <c r="G49" s="144">
        <v>46014.791666666664</v>
      </c>
      <c r="H49" s="143" t="s">
        <v>64</v>
      </c>
      <c r="I49" s="37">
        <f t="shared" si="4"/>
        <v>782</v>
      </c>
      <c r="J49" s="38" t="str">
        <f t="shared" si="5"/>
        <v>Too early</v>
      </c>
      <c r="K49" s="31" t="str">
        <f t="shared" si="21"/>
        <v>Too early</v>
      </c>
      <c r="L49" s="39">
        <f t="shared" si="6"/>
        <v>59993.599999999999</v>
      </c>
      <c r="M49" s="32">
        <f t="shared" si="7"/>
        <v>100000</v>
      </c>
      <c r="N49" s="195">
        <f t="shared" si="8"/>
        <v>0.59993600000000002</v>
      </c>
      <c r="O49" s="31" t="str">
        <f t="shared" si="9"/>
        <v>Too early</v>
      </c>
      <c r="P49" s="241">
        <v>782</v>
      </c>
      <c r="Q49" s="400">
        <f t="shared" si="22"/>
        <v>1302</v>
      </c>
      <c r="R49" s="206" t="str">
        <f>IF(B49&lt;7,(P49/VLOOKUP(B49,'Sales Pacing'!$A$23:$E$36,2)),"Too early")</f>
        <v>Too early</v>
      </c>
      <c r="S49" s="401" t="str">
        <f t="shared" si="23"/>
        <v>Too early</v>
      </c>
      <c r="T49" s="226">
        <v>59993.599999999999</v>
      </c>
      <c r="U49" s="230">
        <v>100000</v>
      </c>
      <c r="V49" s="237">
        <f t="shared" si="10"/>
        <v>0.59993600000000002</v>
      </c>
      <c r="W49" s="207" t="str">
        <f t="shared" si="18"/>
        <v>Too early</v>
      </c>
      <c r="X49" s="222"/>
      <c r="Y49" s="226"/>
      <c r="Z49" s="230"/>
      <c r="AA49" s="207" t="str">
        <f t="shared" si="11"/>
        <v/>
      </c>
      <c r="AB49" s="233">
        <v>1302</v>
      </c>
      <c r="AC49" s="207">
        <f t="shared" si="24"/>
        <v>0.60061443932411673</v>
      </c>
      <c r="AD49" s="208">
        <f t="shared" si="13"/>
        <v>76.718158567774935</v>
      </c>
      <c r="AE49" s="218"/>
      <c r="AF49" s="218"/>
      <c r="AG49" s="218"/>
      <c r="AH49" s="350">
        <v>56307.6</v>
      </c>
      <c r="AI49" s="354">
        <f t="shared" si="14"/>
        <v>3686</v>
      </c>
    </row>
    <row r="50" spans="1:35" s="147" customFormat="1" x14ac:dyDescent="0.35">
      <c r="A50" s="147">
        <v>17</v>
      </c>
      <c r="B50" s="147">
        <f t="shared" si="3"/>
        <v>16</v>
      </c>
      <c r="C50" s="148">
        <v>46013</v>
      </c>
      <c r="D50" s="147" t="s">
        <v>78</v>
      </c>
      <c r="G50" s="148">
        <v>46015.458333333336</v>
      </c>
      <c r="H50" s="147" t="s">
        <v>64</v>
      </c>
      <c r="I50" s="149">
        <f t="shared" si="4"/>
        <v>190</v>
      </c>
      <c r="J50" s="33" t="str">
        <f t="shared" si="5"/>
        <v>Too early</v>
      </c>
      <c r="K50" s="34" t="str">
        <f t="shared" si="21"/>
        <v>Too early</v>
      </c>
      <c r="L50" s="35">
        <f t="shared" si="6"/>
        <v>13082.4</v>
      </c>
      <c r="M50" s="36">
        <f t="shared" si="7"/>
        <v>100000</v>
      </c>
      <c r="N50" s="196">
        <f t="shared" si="8"/>
        <v>0.130824</v>
      </c>
      <c r="O50" s="34" t="str">
        <f t="shared" si="9"/>
        <v>Too early</v>
      </c>
      <c r="P50" s="243">
        <v>190</v>
      </c>
      <c r="Q50" s="400">
        <f t="shared" si="22"/>
        <v>1302</v>
      </c>
      <c r="R50" s="209" t="str">
        <f>IF(B50&lt;7,(P50/VLOOKUP(B50,'Sales Pacing'!$A$23:$E$36,2)),"Too early")</f>
        <v>Too early</v>
      </c>
      <c r="S50" s="401" t="str">
        <f t="shared" si="23"/>
        <v>Too early</v>
      </c>
      <c r="T50" s="227">
        <v>13082.4</v>
      </c>
      <c r="U50" s="231">
        <v>100000</v>
      </c>
      <c r="V50" s="238">
        <f t="shared" si="10"/>
        <v>0.130824</v>
      </c>
      <c r="W50" s="210" t="str">
        <f t="shared" si="18"/>
        <v>Too early</v>
      </c>
      <c r="X50" s="223"/>
      <c r="Y50" s="227"/>
      <c r="Z50" s="231"/>
      <c r="AA50" s="210" t="str">
        <f t="shared" si="11"/>
        <v/>
      </c>
      <c r="AB50" s="234">
        <v>1302</v>
      </c>
      <c r="AC50" s="402">
        <f t="shared" si="24"/>
        <v>0.14592933947772657</v>
      </c>
      <c r="AD50" s="211">
        <f t="shared" si="13"/>
        <v>68.854736842105268</v>
      </c>
      <c r="AE50" s="219"/>
      <c r="AF50" s="219"/>
      <c r="AG50" s="219"/>
      <c r="AH50" s="352">
        <v>12668.8</v>
      </c>
      <c r="AI50" s="354">
        <f t="shared" si="14"/>
        <v>413.60000000000036</v>
      </c>
    </row>
    <row r="51" spans="1:35" s="186" customFormat="1" x14ac:dyDescent="0.35">
      <c r="A51" s="186">
        <v>18</v>
      </c>
      <c r="B51" s="186">
        <f t="shared" si="3"/>
        <v>17</v>
      </c>
      <c r="C51" s="187">
        <v>46020</v>
      </c>
      <c r="D51" s="186" t="s">
        <v>71</v>
      </c>
      <c r="G51" s="198"/>
      <c r="H51" s="199"/>
      <c r="I51" s="200">
        <f t="shared" si="4"/>
        <v>0</v>
      </c>
      <c r="J51" s="201" t="str">
        <f t="shared" si="5"/>
        <v>Too early</v>
      </c>
      <c r="K51" s="202"/>
      <c r="L51" s="203">
        <f t="shared" si="6"/>
        <v>0</v>
      </c>
      <c r="M51" s="204">
        <f t="shared" si="7"/>
        <v>0</v>
      </c>
      <c r="N51" s="205" t="e">
        <f t="shared" si="8"/>
        <v>#DIV/0!</v>
      </c>
      <c r="O51" s="202"/>
      <c r="P51" s="224"/>
      <c r="Q51" s="224"/>
      <c r="R51" s="212" t="str">
        <f>IF(B51&lt;7,(P51/VLOOKUP(B51,'Sales Pacing'!$A$23:$E$36,2)),"Too early")</f>
        <v>Too early</v>
      </c>
      <c r="S51" s="212"/>
      <c r="T51" s="228"/>
      <c r="U51" s="228"/>
      <c r="V51" s="239" t="str">
        <f t="shared" si="10"/>
        <v/>
      </c>
      <c r="W51" s="213"/>
      <c r="X51" s="224"/>
      <c r="Y51" s="228"/>
      <c r="Z51" s="228"/>
      <c r="AA51" s="213" t="s">
        <v>55</v>
      </c>
      <c r="AB51" s="224"/>
      <c r="AC51" s="213" t="e">
        <f t="shared" ref="AC51:AC82" si="25">I51/AB51</f>
        <v>#DIV/0!</v>
      </c>
      <c r="AD51" s="214" t="e">
        <f t="shared" si="13"/>
        <v>#DIV/0!</v>
      </c>
      <c r="AE51" s="220"/>
      <c r="AF51" s="220"/>
      <c r="AG51" s="220"/>
      <c r="AH51" s="351">
        <v>0</v>
      </c>
    </row>
    <row r="52" spans="1:35" s="143" customFormat="1" x14ac:dyDescent="0.35">
      <c r="A52" s="143">
        <v>19</v>
      </c>
      <c r="B52" s="143">
        <f t="shared" si="3"/>
        <v>18</v>
      </c>
      <c r="C52" s="144">
        <v>46027</v>
      </c>
      <c r="D52" s="143" t="s">
        <v>79</v>
      </c>
      <c r="G52" s="144">
        <v>46031.833333333336</v>
      </c>
      <c r="H52" s="143" t="s">
        <v>62</v>
      </c>
      <c r="I52" s="37">
        <f t="shared" si="4"/>
        <v>598</v>
      </c>
      <c r="J52" s="38" t="str">
        <f t="shared" si="5"/>
        <v>Too early</v>
      </c>
      <c r="K52" s="31" t="str">
        <f t="shared" ref="K52:K77" si="26">IF(J52="Too early",J52,J52/AB52)</f>
        <v>Too early</v>
      </c>
      <c r="L52" s="39">
        <f t="shared" si="6"/>
        <v>39653</v>
      </c>
      <c r="M52" s="32">
        <f t="shared" si="7"/>
        <v>54999</v>
      </c>
      <c r="N52" s="195">
        <f t="shared" si="8"/>
        <v>0.72097674503172782</v>
      </c>
      <c r="O52" s="31" t="str">
        <f t="shared" si="9"/>
        <v>Too early</v>
      </c>
      <c r="P52" s="222">
        <v>26</v>
      </c>
      <c r="Q52" s="400">
        <f t="shared" ref="Q52:Q77" si="27">AB52-X52</f>
        <v>1018</v>
      </c>
      <c r="R52" s="206" t="str">
        <f>IF(B52&lt;7,(P52/VLOOKUP(B52,'Sales Pacing'!$A$23:$E$36,2)),"Too early")</f>
        <v>Too early</v>
      </c>
      <c r="S52" s="401" t="str">
        <f t="shared" ref="S52:S77" si="28">IF(R52="Too early","Too early",R52/Q52)</f>
        <v>Too early</v>
      </c>
      <c r="T52" s="226">
        <v>1084</v>
      </c>
      <c r="U52" s="230">
        <v>21666</v>
      </c>
      <c r="V52" s="237">
        <f t="shared" si="10"/>
        <v>5.0032308686421119E-2</v>
      </c>
      <c r="W52" s="207" t="str">
        <f t="shared" si="18"/>
        <v>Too early</v>
      </c>
      <c r="X52" s="222">
        <v>572</v>
      </c>
      <c r="Y52" s="226">
        <v>38569</v>
      </c>
      <c r="Z52" s="230">
        <v>33333</v>
      </c>
      <c r="AA52" s="207">
        <f t="shared" si="11"/>
        <v>1.1570815708157081</v>
      </c>
      <c r="AB52" s="233">
        <v>1590</v>
      </c>
      <c r="AC52" s="207">
        <f t="shared" ref="AC52:AC77" si="29">I52/AB52</f>
        <v>0.37610062893081764</v>
      </c>
      <c r="AD52" s="208">
        <f t="shared" si="13"/>
        <v>66.309364548494983</v>
      </c>
      <c r="AE52" s="218"/>
      <c r="AF52" s="218"/>
      <c r="AG52" s="218"/>
      <c r="AH52" s="350">
        <v>39270.300000000003</v>
      </c>
      <c r="AI52" s="354">
        <f t="shared" si="14"/>
        <v>382.69999999999709</v>
      </c>
    </row>
    <row r="53" spans="1:35" s="143" customFormat="1" x14ac:dyDescent="0.35">
      <c r="A53" s="143">
        <v>19</v>
      </c>
      <c r="B53" s="143">
        <f t="shared" si="3"/>
        <v>18</v>
      </c>
      <c r="C53" s="144">
        <v>46027</v>
      </c>
      <c r="D53" s="143" t="s">
        <v>80</v>
      </c>
      <c r="G53" s="144">
        <v>46032.833333333336</v>
      </c>
      <c r="H53" s="143" t="s">
        <v>62</v>
      </c>
      <c r="I53" s="37">
        <f t="shared" si="4"/>
        <v>609</v>
      </c>
      <c r="J53" s="38" t="str">
        <f t="shared" si="5"/>
        <v>Too early</v>
      </c>
      <c r="K53" s="31" t="str">
        <f t="shared" si="26"/>
        <v>Too early</v>
      </c>
      <c r="L53" s="39">
        <f t="shared" si="6"/>
        <v>39150</v>
      </c>
      <c r="M53" s="32">
        <f t="shared" si="7"/>
        <v>54999</v>
      </c>
      <c r="N53" s="195">
        <f t="shared" si="8"/>
        <v>0.71183112420225825</v>
      </c>
      <c r="O53" s="31" t="str">
        <f t="shared" si="9"/>
        <v>Too early</v>
      </c>
      <c r="P53" s="222">
        <v>53</v>
      </c>
      <c r="Q53" s="400">
        <f t="shared" si="27"/>
        <v>1034</v>
      </c>
      <c r="R53" s="206" t="str">
        <f>IF(B53&lt;7,(P53/VLOOKUP(B53,'Sales Pacing'!$A$23:$E$36,2)),"Too early")</f>
        <v>Too early</v>
      </c>
      <c r="S53" s="401" t="str">
        <f t="shared" si="28"/>
        <v>Too early</v>
      </c>
      <c r="T53" s="226">
        <v>2845</v>
      </c>
      <c r="U53" s="230">
        <v>21666</v>
      </c>
      <c r="V53" s="237">
        <f t="shared" si="10"/>
        <v>0.1313117326686975</v>
      </c>
      <c r="W53" s="207" t="str">
        <f t="shared" si="18"/>
        <v>Too early</v>
      </c>
      <c r="X53" s="222">
        <v>556</v>
      </c>
      <c r="Y53" s="226">
        <v>36305</v>
      </c>
      <c r="Z53" s="230">
        <v>33333</v>
      </c>
      <c r="AA53" s="207">
        <f t="shared" si="11"/>
        <v>1.0891608916089162</v>
      </c>
      <c r="AB53" s="233">
        <v>1590</v>
      </c>
      <c r="AC53" s="207">
        <f t="shared" si="29"/>
        <v>0.38301886792452833</v>
      </c>
      <c r="AD53" s="208">
        <f t="shared" si="13"/>
        <v>64.285714285714292</v>
      </c>
      <c r="AE53" s="218"/>
      <c r="AF53" s="218"/>
      <c r="AG53" s="218"/>
      <c r="AH53" s="350">
        <v>38930</v>
      </c>
      <c r="AI53" s="354">
        <f t="shared" si="14"/>
        <v>220</v>
      </c>
    </row>
    <row r="54" spans="1:35" s="147" customFormat="1" x14ac:dyDescent="0.35">
      <c r="A54" s="147">
        <v>19</v>
      </c>
      <c r="B54" s="147">
        <f t="shared" si="3"/>
        <v>18</v>
      </c>
      <c r="C54" s="148">
        <v>46027</v>
      </c>
      <c r="D54" s="385" t="s">
        <v>81</v>
      </c>
      <c r="G54" s="148">
        <v>46033.583333333336</v>
      </c>
      <c r="H54" s="147" t="s">
        <v>62</v>
      </c>
      <c r="I54" s="149">
        <f t="shared" si="4"/>
        <v>606</v>
      </c>
      <c r="J54" s="33" t="str">
        <f t="shared" si="5"/>
        <v>Too early</v>
      </c>
      <c r="K54" s="34" t="str">
        <f t="shared" si="26"/>
        <v>Too early</v>
      </c>
      <c r="L54" s="35">
        <f t="shared" si="6"/>
        <v>39023.5</v>
      </c>
      <c r="M54" s="36">
        <f t="shared" si="7"/>
        <v>55000</v>
      </c>
      <c r="N54" s="196">
        <f t="shared" si="8"/>
        <v>0.70951818181818183</v>
      </c>
      <c r="O54" s="34" t="str">
        <f t="shared" si="9"/>
        <v>Too early</v>
      </c>
      <c r="P54" s="223">
        <v>47</v>
      </c>
      <c r="Q54" s="400">
        <f t="shared" si="27"/>
        <v>1031</v>
      </c>
      <c r="R54" s="209" t="str">
        <f>IF(B54&lt;7,(P54/VLOOKUP(B54,'Sales Pacing'!$A$23:$E$36,2)),"Too early")</f>
        <v>Too early</v>
      </c>
      <c r="S54" s="401" t="str">
        <f t="shared" si="28"/>
        <v>Too early</v>
      </c>
      <c r="T54" s="227">
        <v>2820</v>
      </c>
      <c r="U54" s="231">
        <v>21666</v>
      </c>
      <c r="V54" s="238">
        <f t="shared" si="10"/>
        <v>0.13015785101080032</v>
      </c>
      <c r="W54" s="210" t="str">
        <f t="shared" si="18"/>
        <v>Too early</v>
      </c>
      <c r="X54" s="223">
        <v>559</v>
      </c>
      <c r="Y54" s="227">
        <v>36203.5</v>
      </c>
      <c r="Z54" s="231">
        <v>33334</v>
      </c>
      <c r="AA54" s="210">
        <f t="shared" si="11"/>
        <v>1.0860832783344334</v>
      </c>
      <c r="AB54" s="234">
        <v>1590</v>
      </c>
      <c r="AC54" s="402">
        <f t="shared" si="29"/>
        <v>0.38113207547169814</v>
      </c>
      <c r="AD54" s="211">
        <f t="shared" si="13"/>
        <v>64.395214521452147</v>
      </c>
      <c r="AE54" s="219"/>
      <c r="AF54" s="219"/>
      <c r="AG54" s="219"/>
      <c r="AH54" s="352">
        <v>38853.5</v>
      </c>
      <c r="AI54" s="354">
        <f t="shared" si="14"/>
        <v>170</v>
      </c>
    </row>
    <row r="55" spans="1:35" s="143" customFormat="1" x14ac:dyDescent="0.35">
      <c r="A55" s="143">
        <v>20</v>
      </c>
      <c r="B55" s="143">
        <f t="shared" si="3"/>
        <v>19</v>
      </c>
      <c r="C55" s="177">
        <v>46034</v>
      </c>
      <c r="D55" s="178" t="s">
        <v>82</v>
      </c>
      <c r="E55" s="178"/>
      <c r="F55" s="178"/>
      <c r="G55" s="177">
        <v>46038.833333333336</v>
      </c>
      <c r="H55" s="178" t="s">
        <v>62</v>
      </c>
      <c r="I55" s="37">
        <f t="shared" si="4"/>
        <v>413</v>
      </c>
      <c r="J55" s="38" t="str">
        <f t="shared" si="5"/>
        <v>Too early</v>
      </c>
      <c r="K55" s="31" t="str">
        <f t="shared" si="26"/>
        <v>Too early</v>
      </c>
      <c r="L55" s="39">
        <f t="shared" si="6"/>
        <v>28339</v>
      </c>
      <c r="M55" s="32">
        <f t="shared" si="7"/>
        <v>60000</v>
      </c>
      <c r="N55" s="195">
        <f t="shared" si="8"/>
        <v>0.47231666666666666</v>
      </c>
      <c r="O55" s="31" t="str">
        <f t="shared" si="9"/>
        <v>Too early</v>
      </c>
      <c r="P55" s="241">
        <v>45</v>
      </c>
      <c r="Q55" s="400">
        <f t="shared" si="27"/>
        <v>1222</v>
      </c>
      <c r="R55" s="206" t="str">
        <f>IF(B55&lt;7,(P55/VLOOKUP(B55,'Sales Pacing'!$A$23:$E$36,2)),"Too early")</f>
        <v>Too early</v>
      </c>
      <c r="S55" s="401" t="str">
        <f t="shared" si="28"/>
        <v>Too early</v>
      </c>
      <c r="T55" s="226">
        <v>2805</v>
      </c>
      <c r="U55" s="230">
        <v>30000</v>
      </c>
      <c r="V55" s="237">
        <f t="shared" si="10"/>
        <v>9.35E-2</v>
      </c>
      <c r="W55" s="207" t="str">
        <f t="shared" si="18"/>
        <v>Too early</v>
      </c>
      <c r="X55" s="222">
        <v>368</v>
      </c>
      <c r="Y55" s="226">
        <v>25534</v>
      </c>
      <c r="Z55" s="230">
        <v>30000</v>
      </c>
      <c r="AA55" s="207">
        <f t="shared" si="11"/>
        <v>0.8511333333333333</v>
      </c>
      <c r="AB55" s="233">
        <v>1590</v>
      </c>
      <c r="AC55" s="207">
        <f t="shared" si="29"/>
        <v>0.25974842767295597</v>
      </c>
      <c r="AD55" s="208">
        <f t="shared" si="13"/>
        <v>68.617433414043589</v>
      </c>
      <c r="AE55" s="218"/>
      <c r="AF55" s="218"/>
      <c r="AG55" s="218"/>
      <c r="AH55" s="350">
        <v>28064</v>
      </c>
      <c r="AI55" s="354">
        <f t="shared" si="14"/>
        <v>275</v>
      </c>
    </row>
    <row r="56" spans="1:35" s="143" customFormat="1" x14ac:dyDescent="0.35">
      <c r="A56" s="143">
        <v>20</v>
      </c>
      <c r="B56" s="143">
        <f t="shared" si="3"/>
        <v>19</v>
      </c>
      <c r="C56" s="144">
        <v>46034</v>
      </c>
      <c r="D56" s="143" t="s">
        <v>82</v>
      </c>
      <c r="G56" s="144">
        <v>46039.833333333336</v>
      </c>
      <c r="H56" s="143" t="s">
        <v>62</v>
      </c>
      <c r="I56" s="37">
        <f t="shared" si="4"/>
        <v>694</v>
      </c>
      <c r="J56" s="38" t="str">
        <f t="shared" si="5"/>
        <v>Too early</v>
      </c>
      <c r="K56" s="31" t="str">
        <f t="shared" si="26"/>
        <v>Too early</v>
      </c>
      <c r="L56" s="39">
        <f t="shared" si="6"/>
        <v>46024.9</v>
      </c>
      <c r="M56" s="32">
        <f t="shared" si="7"/>
        <v>75000</v>
      </c>
      <c r="N56" s="195">
        <f t="shared" si="8"/>
        <v>0.6136653333333334</v>
      </c>
      <c r="O56" s="31" t="str">
        <f t="shared" si="9"/>
        <v>Too early</v>
      </c>
      <c r="P56" s="241">
        <v>99</v>
      </c>
      <c r="Q56" s="400">
        <f t="shared" si="27"/>
        <v>995</v>
      </c>
      <c r="R56" s="206" t="str">
        <f>IF(B56&lt;7,(P56/VLOOKUP(B56,'Sales Pacing'!$A$23:$E$36,2)),"Too early")</f>
        <v>Too early</v>
      </c>
      <c r="S56" s="401" t="str">
        <f t="shared" si="28"/>
        <v>Too early</v>
      </c>
      <c r="T56" s="226">
        <v>5708</v>
      </c>
      <c r="U56" s="230">
        <v>20000</v>
      </c>
      <c r="V56" s="237">
        <f t="shared" si="10"/>
        <v>0.28539999999999999</v>
      </c>
      <c r="W56" s="207" t="str">
        <f t="shared" si="18"/>
        <v>Too early</v>
      </c>
      <c r="X56" s="222">
        <v>595</v>
      </c>
      <c r="Y56" s="226">
        <v>40316.9</v>
      </c>
      <c r="Z56" s="230">
        <v>55000</v>
      </c>
      <c r="AA56" s="207">
        <f t="shared" si="11"/>
        <v>0.73303454545454549</v>
      </c>
      <c r="AB56" s="233">
        <v>1590</v>
      </c>
      <c r="AC56" s="207">
        <f t="shared" si="29"/>
        <v>0.43647798742138366</v>
      </c>
      <c r="AD56" s="208">
        <f t="shared" si="13"/>
        <v>66.31829971181557</v>
      </c>
      <c r="AE56" s="218"/>
      <c r="AF56" s="218"/>
      <c r="AG56" s="218"/>
      <c r="AH56" s="350">
        <v>45570.9</v>
      </c>
      <c r="AI56" s="354">
        <f t="shared" si="14"/>
        <v>454</v>
      </c>
    </row>
    <row r="57" spans="1:35" s="147" customFormat="1" x14ac:dyDescent="0.35">
      <c r="A57" s="147">
        <v>20</v>
      </c>
      <c r="B57" s="147">
        <f t="shared" si="3"/>
        <v>19</v>
      </c>
      <c r="C57" s="148">
        <v>46034</v>
      </c>
      <c r="D57" s="147" t="s">
        <v>82</v>
      </c>
      <c r="G57" s="148">
        <v>46040.583333333336</v>
      </c>
      <c r="H57" s="147" t="s">
        <v>62</v>
      </c>
      <c r="I57" s="149">
        <f t="shared" si="4"/>
        <v>693</v>
      </c>
      <c r="J57" s="33" t="str">
        <f t="shared" si="5"/>
        <v>Too early</v>
      </c>
      <c r="K57" s="34" t="str">
        <f t="shared" si="26"/>
        <v>Too early</v>
      </c>
      <c r="L57" s="35">
        <f t="shared" si="6"/>
        <v>44410.2</v>
      </c>
      <c r="M57" s="36">
        <f t="shared" si="7"/>
        <v>75000</v>
      </c>
      <c r="N57" s="196">
        <f t="shared" si="8"/>
        <v>0.592136</v>
      </c>
      <c r="O57" s="34" t="str">
        <f t="shared" si="9"/>
        <v>Too early</v>
      </c>
      <c r="P57" s="243">
        <v>84</v>
      </c>
      <c r="Q57" s="400">
        <f t="shared" si="27"/>
        <v>981</v>
      </c>
      <c r="R57" s="209" t="str">
        <f>IF(B57&lt;7,(P57/VLOOKUP(B57,'Sales Pacing'!$A$23:$E$36,2)),"Too early")</f>
        <v>Too early</v>
      </c>
      <c r="S57" s="401" t="str">
        <f t="shared" si="28"/>
        <v>Too early</v>
      </c>
      <c r="T57" s="227">
        <v>5289</v>
      </c>
      <c r="U57" s="231">
        <v>20000</v>
      </c>
      <c r="V57" s="238">
        <f t="shared" si="10"/>
        <v>0.26445000000000002</v>
      </c>
      <c r="W57" s="210" t="str">
        <f t="shared" si="18"/>
        <v>Too early</v>
      </c>
      <c r="X57" s="223">
        <v>609</v>
      </c>
      <c r="Y57" s="227">
        <v>39121.199999999997</v>
      </c>
      <c r="Z57" s="231">
        <v>55000</v>
      </c>
      <c r="AA57" s="210">
        <f t="shared" si="11"/>
        <v>0.7112945454545454</v>
      </c>
      <c r="AB57" s="234">
        <v>1590</v>
      </c>
      <c r="AC57" s="402">
        <f t="shared" si="29"/>
        <v>0.4358490566037736</v>
      </c>
      <c r="AD57" s="211">
        <f t="shared" si="13"/>
        <v>64.083982683982683</v>
      </c>
      <c r="AE57" s="219"/>
      <c r="AF57" s="219"/>
      <c r="AG57" s="219"/>
      <c r="AH57" s="352">
        <v>43967.199999999997</v>
      </c>
      <c r="AI57" s="354">
        <f t="shared" si="14"/>
        <v>443</v>
      </c>
    </row>
    <row r="58" spans="1:35" s="143" customFormat="1" x14ac:dyDescent="0.35">
      <c r="A58" s="143">
        <v>21</v>
      </c>
      <c r="B58" s="143">
        <f t="shared" si="3"/>
        <v>20</v>
      </c>
      <c r="C58" s="144">
        <v>46041</v>
      </c>
      <c r="D58" s="143" t="s">
        <v>83</v>
      </c>
      <c r="G58" s="144">
        <v>46044.791666666664</v>
      </c>
      <c r="H58" s="143" t="s">
        <v>64</v>
      </c>
      <c r="I58" s="37">
        <f t="shared" si="4"/>
        <v>123</v>
      </c>
      <c r="J58" s="38" t="str">
        <f t="shared" si="5"/>
        <v>Too early</v>
      </c>
      <c r="K58" s="31" t="str">
        <f t="shared" si="26"/>
        <v>Too early</v>
      </c>
      <c r="L58" s="39">
        <f t="shared" si="6"/>
        <v>7349</v>
      </c>
      <c r="M58" s="32">
        <f t="shared" si="7"/>
        <v>90000</v>
      </c>
      <c r="N58" s="195">
        <f t="shared" si="8"/>
        <v>8.1655555555555551E-2</v>
      </c>
      <c r="O58" s="31" t="str">
        <f t="shared" si="9"/>
        <v>Too early</v>
      </c>
      <c r="P58" s="222">
        <v>123</v>
      </c>
      <c r="Q58" s="400">
        <f t="shared" si="27"/>
        <v>1302</v>
      </c>
      <c r="R58" s="206" t="str">
        <f>IF(B58&lt;7,(P58/VLOOKUP(B58,'Sales Pacing'!$A$23:$E$36,2)),"Too early")</f>
        <v>Too early</v>
      </c>
      <c r="S58" s="401" t="str">
        <f t="shared" si="28"/>
        <v>Too early</v>
      </c>
      <c r="T58" s="274">
        <v>7349</v>
      </c>
      <c r="U58" s="230">
        <v>90000</v>
      </c>
      <c r="V58" s="237">
        <f t="shared" si="10"/>
        <v>8.1655555555555551E-2</v>
      </c>
      <c r="W58" s="207" t="str">
        <f t="shared" si="18"/>
        <v>Too early</v>
      </c>
      <c r="X58" s="222"/>
      <c r="Y58" s="226"/>
      <c r="Z58" s="230"/>
      <c r="AA58" s="207" t="str">
        <f t="shared" si="11"/>
        <v/>
      </c>
      <c r="AB58" s="233">
        <v>1302</v>
      </c>
      <c r="AC58" s="207">
        <f t="shared" si="29"/>
        <v>9.4470046082949302E-2</v>
      </c>
      <c r="AD58" s="208">
        <f>L58/I58</f>
        <v>59.747967479674799</v>
      </c>
      <c r="AE58" s="218"/>
      <c r="AF58" s="218"/>
      <c r="AG58" s="218"/>
      <c r="AH58" s="350">
        <v>7049</v>
      </c>
      <c r="AI58" s="354">
        <f t="shared" si="14"/>
        <v>300</v>
      </c>
    </row>
    <row r="59" spans="1:35" s="143" customFormat="1" x14ac:dyDescent="0.35">
      <c r="A59" s="143">
        <v>21</v>
      </c>
      <c r="B59" s="143">
        <f t="shared" si="3"/>
        <v>20</v>
      </c>
      <c r="C59" s="144">
        <v>46041</v>
      </c>
      <c r="D59" s="143" t="s">
        <v>83</v>
      </c>
      <c r="G59" s="144">
        <v>46045.791666666664</v>
      </c>
      <c r="H59" s="143" t="s">
        <v>64</v>
      </c>
      <c r="I59" s="37">
        <f t="shared" si="4"/>
        <v>295</v>
      </c>
      <c r="J59" s="38" t="str">
        <f t="shared" si="5"/>
        <v>Too early</v>
      </c>
      <c r="K59" s="31" t="str">
        <f t="shared" si="26"/>
        <v>Too early</v>
      </c>
      <c r="L59" s="39">
        <f t="shared" si="6"/>
        <v>21271.9</v>
      </c>
      <c r="M59" s="32">
        <f t="shared" si="7"/>
        <v>90000</v>
      </c>
      <c r="N59" s="195">
        <f t="shared" si="8"/>
        <v>0.23635444444444445</v>
      </c>
      <c r="O59" s="31" t="str">
        <f t="shared" si="9"/>
        <v>Too early</v>
      </c>
      <c r="P59" s="222">
        <v>295</v>
      </c>
      <c r="Q59" s="400">
        <f t="shared" si="27"/>
        <v>1302</v>
      </c>
      <c r="R59" s="206" t="str">
        <f>IF(B59&lt;7,(P59/VLOOKUP(B59,'Sales Pacing'!$A$23:$E$36,2)),"Too early")</f>
        <v>Too early</v>
      </c>
      <c r="S59" s="401" t="str">
        <f t="shared" si="28"/>
        <v>Too early</v>
      </c>
      <c r="T59" s="226">
        <v>21271.9</v>
      </c>
      <c r="U59" s="230">
        <v>90000</v>
      </c>
      <c r="V59" s="237">
        <f t="shared" si="10"/>
        <v>0.23635444444444445</v>
      </c>
      <c r="W59" s="207" t="str">
        <f t="shared" si="18"/>
        <v>Too early</v>
      </c>
      <c r="X59" s="222"/>
      <c r="Y59" s="226"/>
      <c r="Z59" s="230"/>
      <c r="AA59" s="207" t="str">
        <f t="shared" si="11"/>
        <v/>
      </c>
      <c r="AB59" s="233">
        <v>1302</v>
      </c>
      <c r="AC59" s="207">
        <f t="shared" si="29"/>
        <v>0.22657450076804916</v>
      </c>
      <c r="AD59" s="208">
        <f t="shared" si="13"/>
        <v>72.108135593220339</v>
      </c>
      <c r="AE59" s="218"/>
      <c r="AF59" s="218"/>
      <c r="AG59" s="218"/>
      <c r="AH59" s="350">
        <v>21081.9</v>
      </c>
      <c r="AI59" s="354">
        <f t="shared" si="14"/>
        <v>190</v>
      </c>
    </row>
    <row r="60" spans="1:35" s="143" customFormat="1" x14ac:dyDescent="0.35">
      <c r="A60" s="143">
        <v>21</v>
      </c>
      <c r="B60" s="143">
        <f t="shared" si="3"/>
        <v>20</v>
      </c>
      <c r="C60" s="144">
        <v>46041</v>
      </c>
      <c r="D60" s="143" t="s">
        <v>83</v>
      </c>
      <c r="G60" s="144">
        <v>46046.791666666664</v>
      </c>
      <c r="H60" s="143" t="s">
        <v>64</v>
      </c>
      <c r="I60" s="37">
        <f t="shared" si="4"/>
        <v>454</v>
      </c>
      <c r="J60" s="38" t="str">
        <f t="shared" si="5"/>
        <v>Too early</v>
      </c>
      <c r="K60" s="31" t="str">
        <f t="shared" si="26"/>
        <v>Too early</v>
      </c>
      <c r="L60" s="39">
        <f t="shared" si="6"/>
        <v>33201.1</v>
      </c>
      <c r="M60" s="32">
        <f t="shared" si="7"/>
        <v>90000</v>
      </c>
      <c r="N60" s="195">
        <f t="shared" si="8"/>
        <v>0.36890111111111107</v>
      </c>
      <c r="O60" s="31" t="str">
        <f t="shared" si="9"/>
        <v>Too early</v>
      </c>
      <c r="P60" s="222">
        <v>454</v>
      </c>
      <c r="Q60" s="400">
        <f t="shared" si="27"/>
        <v>1302</v>
      </c>
      <c r="R60" s="206" t="str">
        <f>IF(B60&lt;7,(P60/VLOOKUP(B60,'Sales Pacing'!$A$23:$E$36,2)),"Too early")</f>
        <v>Too early</v>
      </c>
      <c r="S60" s="401" t="str">
        <f t="shared" si="28"/>
        <v>Too early</v>
      </c>
      <c r="T60" s="226">
        <v>33201.1</v>
      </c>
      <c r="U60" s="230">
        <v>90000</v>
      </c>
      <c r="V60" s="237">
        <f t="shared" si="10"/>
        <v>0.36890111111111107</v>
      </c>
      <c r="W60" s="207" t="str">
        <f t="shared" si="18"/>
        <v>Too early</v>
      </c>
      <c r="X60" s="222"/>
      <c r="Y60" s="226"/>
      <c r="Z60" s="230"/>
      <c r="AA60" s="207" t="str">
        <f t="shared" si="11"/>
        <v/>
      </c>
      <c r="AB60" s="233">
        <v>1302</v>
      </c>
      <c r="AC60" s="207">
        <f t="shared" si="29"/>
        <v>0.34869431643625193</v>
      </c>
      <c r="AD60" s="208">
        <f t="shared" si="13"/>
        <v>73.130176211453744</v>
      </c>
      <c r="AE60" s="218"/>
      <c r="AF60" s="218"/>
      <c r="AG60" s="218"/>
      <c r="AH60" s="350">
        <v>31818.1</v>
      </c>
      <c r="AI60" s="354">
        <f t="shared" si="14"/>
        <v>1383</v>
      </c>
    </row>
    <row r="61" spans="1:35" s="147" customFormat="1" x14ac:dyDescent="0.35">
      <c r="A61" s="147">
        <v>21</v>
      </c>
      <c r="B61" s="147">
        <f t="shared" si="3"/>
        <v>20</v>
      </c>
      <c r="C61" s="148">
        <v>46041</v>
      </c>
      <c r="D61" s="147" t="s">
        <v>83</v>
      </c>
      <c r="G61" s="148">
        <v>46047.583333333336</v>
      </c>
      <c r="H61" s="147" t="s">
        <v>64</v>
      </c>
      <c r="I61" s="149">
        <f t="shared" si="4"/>
        <v>350</v>
      </c>
      <c r="J61" s="33" t="str">
        <f t="shared" si="5"/>
        <v>Too early</v>
      </c>
      <c r="K61" s="34" t="str">
        <f t="shared" si="26"/>
        <v>Too early</v>
      </c>
      <c r="L61" s="35">
        <f t="shared" si="6"/>
        <v>24261.1</v>
      </c>
      <c r="M61" s="36">
        <f t="shared" si="7"/>
        <v>90000</v>
      </c>
      <c r="N61" s="196">
        <f t="shared" si="8"/>
        <v>0.26956777777777774</v>
      </c>
      <c r="O61" s="34" t="str">
        <f t="shared" si="9"/>
        <v>Too early</v>
      </c>
      <c r="P61" s="223">
        <v>350</v>
      </c>
      <c r="Q61" s="400">
        <f t="shared" si="27"/>
        <v>1302</v>
      </c>
      <c r="R61" s="209" t="str">
        <f>IF(B61&lt;7,(P61/VLOOKUP(B61,'Sales Pacing'!$A$23:$E$36,2)),"Too early")</f>
        <v>Too early</v>
      </c>
      <c r="S61" s="401" t="str">
        <f t="shared" si="28"/>
        <v>Too early</v>
      </c>
      <c r="T61" s="227">
        <v>24261.1</v>
      </c>
      <c r="U61" s="230">
        <v>90000</v>
      </c>
      <c r="V61" s="237">
        <f t="shared" si="10"/>
        <v>0.26956777777777774</v>
      </c>
      <c r="W61" s="210" t="str">
        <f t="shared" si="18"/>
        <v>Too early</v>
      </c>
      <c r="X61" s="223"/>
      <c r="Y61" s="227"/>
      <c r="Z61" s="231"/>
      <c r="AA61" s="210" t="str">
        <f t="shared" si="11"/>
        <v/>
      </c>
      <c r="AB61" s="234">
        <v>1302</v>
      </c>
      <c r="AC61" s="402">
        <f t="shared" si="29"/>
        <v>0.26881720430107525</v>
      </c>
      <c r="AD61" s="211">
        <f t="shared" si="13"/>
        <v>69.317428571428565</v>
      </c>
      <c r="AE61" s="219"/>
      <c r="AF61" s="219"/>
      <c r="AG61" s="219"/>
      <c r="AH61" s="352">
        <v>22975.599999999999</v>
      </c>
      <c r="AI61" s="354">
        <f t="shared" si="14"/>
        <v>1285.5</v>
      </c>
    </row>
    <row r="62" spans="1:35" s="143" customFormat="1" x14ac:dyDescent="0.35">
      <c r="A62" s="143">
        <v>22</v>
      </c>
      <c r="B62" s="143">
        <f t="shared" si="3"/>
        <v>21</v>
      </c>
      <c r="C62" s="177">
        <v>46048</v>
      </c>
      <c r="D62" s="178" t="s">
        <v>84</v>
      </c>
      <c r="E62" s="178"/>
      <c r="F62" s="178"/>
      <c r="G62" s="177">
        <v>46052.833333333336</v>
      </c>
      <c r="H62" s="178" t="s">
        <v>62</v>
      </c>
      <c r="I62" s="37">
        <f t="shared" si="4"/>
        <v>423</v>
      </c>
      <c r="J62" s="38" t="str">
        <f t="shared" si="5"/>
        <v>Too early</v>
      </c>
      <c r="K62" s="31" t="str">
        <f t="shared" si="26"/>
        <v>Too early</v>
      </c>
      <c r="L62" s="39">
        <f t="shared" si="6"/>
        <v>28440</v>
      </c>
      <c r="M62" s="32">
        <f t="shared" si="7"/>
        <v>54000</v>
      </c>
      <c r="N62" s="195">
        <f t="shared" si="8"/>
        <v>0.52666666666666662</v>
      </c>
      <c r="O62" s="31" t="str">
        <f t="shared" si="9"/>
        <v>Too early</v>
      </c>
      <c r="P62" s="241">
        <v>57</v>
      </c>
      <c r="Q62" s="400">
        <f t="shared" si="27"/>
        <v>1224</v>
      </c>
      <c r="R62" s="206" t="str">
        <f>IF(B62&lt;7,(P62/VLOOKUP(B62,'Sales Pacing'!$A$23:$E$36,2)),"Too early")</f>
        <v>Too early</v>
      </c>
      <c r="S62" s="401" t="str">
        <f t="shared" si="28"/>
        <v>Too early</v>
      </c>
      <c r="T62" s="226">
        <v>3177</v>
      </c>
      <c r="U62" s="230">
        <v>24000</v>
      </c>
      <c r="V62" s="237">
        <f t="shared" si="10"/>
        <v>0.13237499999999999</v>
      </c>
      <c r="W62" s="207" t="str">
        <f t="shared" si="18"/>
        <v>Too early</v>
      </c>
      <c r="X62" s="222">
        <v>366</v>
      </c>
      <c r="Y62" s="226">
        <v>25263</v>
      </c>
      <c r="Z62" s="230">
        <v>30000</v>
      </c>
      <c r="AA62" s="207">
        <f t="shared" si="11"/>
        <v>0.84209999999999996</v>
      </c>
      <c r="AB62" s="233">
        <v>1590</v>
      </c>
      <c r="AC62" s="207">
        <f t="shared" si="29"/>
        <v>0.2660377358490566</v>
      </c>
      <c r="AD62" s="208">
        <f t="shared" si="13"/>
        <v>67.234042553191486</v>
      </c>
      <c r="AE62" s="218"/>
      <c r="AF62" s="218"/>
      <c r="AG62" s="218"/>
      <c r="AH62" s="350">
        <v>28258</v>
      </c>
      <c r="AI62" s="354">
        <f t="shared" si="14"/>
        <v>182</v>
      </c>
    </row>
    <row r="63" spans="1:35" s="143" customFormat="1" x14ac:dyDescent="0.35">
      <c r="A63" s="143">
        <v>22</v>
      </c>
      <c r="B63" s="143">
        <f t="shared" si="3"/>
        <v>21</v>
      </c>
      <c r="C63" s="144">
        <v>46048</v>
      </c>
      <c r="D63" s="143" t="s">
        <v>84</v>
      </c>
      <c r="G63" s="144">
        <v>46053.833333333336</v>
      </c>
      <c r="H63" s="143" t="s">
        <v>62</v>
      </c>
      <c r="I63" s="37">
        <f t="shared" si="4"/>
        <v>674</v>
      </c>
      <c r="J63" s="38" t="str">
        <f t="shared" si="5"/>
        <v>Too early</v>
      </c>
      <c r="K63" s="31" t="str">
        <f t="shared" si="26"/>
        <v>Too early</v>
      </c>
      <c r="L63" s="39">
        <f t="shared" si="6"/>
        <v>44619.9</v>
      </c>
      <c r="M63" s="32">
        <f t="shared" si="7"/>
        <v>75000</v>
      </c>
      <c r="N63" s="195">
        <f t="shared" si="8"/>
        <v>0.59493200000000002</v>
      </c>
      <c r="O63" s="31" t="str">
        <f t="shared" si="9"/>
        <v>Too early</v>
      </c>
      <c r="P63" s="241">
        <v>78</v>
      </c>
      <c r="Q63" s="400">
        <f t="shared" si="27"/>
        <v>994</v>
      </c>
      <c r="R63" s="206" t="str">
        <f>IF(B63&lt;7,(P63/VLOOKUP(B63,'Sales Pacing'!$A$23:$E$36,2)),"Too early")</f>
        <v>Too early</v>
      </c>
      <c r="S63" s="401" t="str">
        <f t="shared" si="28"/>
        <v>Too early</v>
      </c>
      <c r="T63" s="226">
        <v>4696</v>
      </c>
      <c r="U63" s="230">
        <v>20000</v>
      </c>
      <c r="V63" s="237">
        <f t="shared" si="10"/>
        <v>0.23480000000000001</v>
      </c>
      <c r="W63" s="207" t="str">
        <f t="shared" si="18"/>
        <v>Too early</v>
      </c>
      <c r="X63" s="222">
        <v>596</v>
      </c>
      <c r="Y63" s="226">
        <v>39923.9</v>
      </c>
      <c r="Z63" s="230">
        <v>55000</v>
      </c>
      <c r="AA63" s="207">
        <f t="shared" si="11"/>
        <v>0.72588909090909093</v>
      </c>
      <c r="AB63" s="233">
        <v>1590</v>
      </c>
      <c r="AC63" s="207">
        <f t="shared" si="29"/>
        <v>0.42389937106918241</v>
      </c>
      <c r="AD63" s="208">
        <f t="shared" si="13"/>
        <v>66.201632047477744</v>
      </c>
      <c r="AE63" s="218"/>
      <c r="AF63" s="218"/>
      <c r="AG63" s="218"/>
      <c r="AH63" s="350">
        <v>43482.9</v>
      </c>
      <c r="AI63" s="354">
        <f t="shared" si="14"/>
        <v>1137</v>
      </c>
    </row>
    <row r="64" spans="1:35" s="147" customFormat="1" x14ac:dyDescent="0.35">
      <c r="A64" s="147">
        <v>22</v>
      </c>
      <c r="B64" s="147">
        <f t="shared" si="3"/>
        <v>21</v>
      </c>
      <c r="C64" s="148">
        <v>46048</v>
      </c>
      <c r="D64" s="147" t="s">
        <v>84</v>
      </c>
      <c r="G64" s="148">
        <v>46054.583333333336</v>
      </c>
      <c r="H64" s="147" t="s">
        <v>62</v>
      </c>
      <c r="I64" s="149">
        <f t="shared" si="4"/>
        <v>664</v>
      </c>
      <c r="J64" s="33" t="str">
        <f t="shared" si="5"/>
        <v>Too early</v>
      </c>
      <c r="K64" s="34" t="str">
        <f t="shared" si="26"/>
        <v>Too early</v>
      </c>
      <c r="L64" s="35">
        <f t="shared" si="6"/>
        <v>42208.2</v>
      </c>
      <c r="M64" s="36">
        <f t="shared" si="7"/>
        <v>75000</v>
      </c>
      <c r="N64" s="196">
        <f t="shared" si="8"/>
        <v>0.56277599999999994</v>
      </c>
      <c r="O64" s="34" t="str">
        <f t="shared" si="9"/>
        <v>Too early</v>
      </c>
      <c r="P64" s="243">
        <v>56</v>
      </c>
      <c r="Q64" s="400">
        <f t="shared" si="27"/>
        <v>982</v>
      </c>
      <c r="R64" s="209" t="str">
        <f>IF(B64&lt;7,(P64/VLOOKUP(B64,'Sales Pacing'!$A$23:$E$36,2)),"Too early")</f>
        <v>Too early</v>
      </c>
      <c r="S64" s="401" t="str">
        <f t="shared" si="28"/>
        <v>Too early</v>
      </c>
      <c r="T64" s="227">
        <v>3246</v>
      </c>
      <c r="U64" s="231">
        <v>20000</v>
      </c>
      <c r="V64" s="238">
        <f t="shared" si="10"/>
        <v>0.1623</v>
      </c>
      <c r="W64" s="210" t="str">
        <f t="shared" si="18"/>
        <v>Too early</v>
      </c>
      <c r="X64" s="223">
        <v>608</v>
      </c>
      <c r="Y64" s="227">
        <v>38962.199999999997</v>
      </c>
      <c r="Z64" s="231">
        <v>55000</v>
      </c>
      <c r="AA64" s="210">
        <f t="shared" si="11"/>
        <v>0.70840363636363635</v>
      </c>
      <c r="AB64" s="234">
        <v>1590</v>
      </c>
      <c r="AC64" s="402">
        <f t="shared" si="29"/>
        <v>0.41761006289308178</v>
      </c>
      <c r="AD64" s="211">
        <f t="shared" si="13"/>
        <v>63.566566265060239</v>
      </c>
      <c r="AE64" s="219"/>
      <c r="AF64" s="219"/>
      <c r="AG64" s="219"/>
      <c r="AH64" s="352">
        <v>41792.199999999997</v>
      </c>
      <c r="AI64" s="354">
        <f t="shared" si="14"/>
        <v>416</v>
      </c>
    </row>
    <row r="65" spans="1:35" s="143" customFormat="1" x14ac:dyDescent="0.35">
      <c r="A65" s="143">
        <v>23</v>
      </c>
      <c r="B65" s="143">
        <f t="shared" si="3"/>
        <v>22</v>
      </c>
      <c r="C65" s="144">
        <v>46055</v>
      </c>
      <c r="D65" s="143" t="s">
        <v>85</v>
      </c>
      <c r="G65" s="144">
        <v>46058.833333333336</v>
      </c>
      <c r="H65" s="143" t="s">
        <v>68</v>
      </c>
      <c r="I65" s="37">
        <f t="shared" si="4"/>
        <v>19</v>
      </c>
      <c r="J65" s="38" t="str">
        <f t="shared" si="5"/>
        <v>Too early</v>
      </c>
      <c r="K65" s="31" t="str">
        <f t="shared" si="26"/>
        <v>Too early</v>
      </c>
      <c r="L65" s="39">
        <f t="shared" si="6"/>
        <v>1960</v>
      </c>
      <c r="M65" s="32">
        <v>9000</v>
      </c>
      <c r="N65" s="195">
        <f t="shared" si="8"/>
        <v>0.21777777777777776</v>
      </c>
      <c r="O65" s="31" t="str">
        <f t="shared" si="9"/>
        <v>Too early</v>
      </c>
      <c r="P65" s="241">
        <v>19</v>
      </c>
      <c r="Q65" s="400">
        <f t="shared" si="27"/>
        <v>100</v>
      </c>
      <c r="R65" s="206" t="str">
        <f>IF(B65&lt;7,(P65/VLOOKUP(B65,'Sales Pacing'!$A$23:$E$36,2)),"Too early")</f>
        <v>Too early</v>
      </c>
      <c r="S65" s="401" t="str">
        <f t="shared" si="28"/>
        <v>Too early</v>
      </c>
      <c r="T65" s="226">
        <v>1960</v>
      </c>
      <c r="U65" s="230">
        <v>9000</v>
      </c>
      <c r="V65" s="237">
        <f t="shared" si="10"/>
        <v>0.21777777777777776</v>
      </c>
      <c r="W65" s="207" t="str">
        <f t="shared" si="18"/>
        <v>Too early</v>
      </c>
      <c r="X65" s="222"/>
      <c r="Y65" s="226"/>
      <c r="Z65" s="230"/>
      <c r="AA65" s="207" t="str">
        <f t="shared" si="11"/>
        <v/>
      </c>
      <c r="AB65" s="233">
        <v>100</v>
      </c>
      <c r="AC65" s="207">
        <f t="shared" si="29"/>
        <v>0.19</v>
      </c>
      <c r="AD65" s="208">
        <f t="shared" si="13"/>
        <v>103.15789473684211</v>
      </c>
      <c r="AE65" s="218"/>
      <c r="AF65" s="218"/>
      <c r="AG65" s="218"/>
      <c r="AH65" s="350">
        <v>1960</v>
      </c>
      <c r="AI65" s="354">
        <f t="shared" si="14"/>
        <v>0</v>
      </c>
    </row>
    <row r="66" spans="1:35" s="143" customFormat="1" x14ac:dyDescent="0.35">
      <c r="A66" s="143">
        <v>23</v>
      </c>
      <c r="B66" s="143">
        <f t="shared" si="3"/>
        <v>22</v>
      </c>
      <c r="C66" s="144">
        <v>46055</v>
      </c>
      <c r="D66" s="143" t="s">
        <v>86</v>
      </c>
      <c r="G66" s="144">
        <v>46059.833333333336</v>
      </c>
      <c r="H66" s="143" t="s">
        <v>62</v>
      </c>
      <c r="I66" s="37">
        <f t="shared" si="4"/>
        <v>620</v>
      </c>
      <c r="J66" s="38" t="str">
        <f t="shared" si="5"/>
        <v>Too early</v>
      </c>
      <c r="K66" s="31" t="str">
        <f t="shared" si="26"/>
        <v>Too early</v>
      </c>
      <c r="L66" s="39">
        <f t="shared" si="6"/>
        <v>40048</v>
      </c>
      <c r="M66" s="32">
        <f t="shared" si="7"/>
        <v>46666</v>
      </c>
      <c r="N66" s="195">
        <f t="shared" si="8"/>
        <v>0.85818368833840486</v>
      </c>
      <c r="O66" s="31" t="str">
        <f t="shared" si="9"/>
        <v>Too early</v>
      </c>
      <c r="P66" s="241">
        <v>56</v>
      </c>
      <c r="Q66" s="400">
        <f t="shared" si="27"/>
        <v>1026</v>
      </c>
      <c r="R66" s="206" t="str">
        <f>IF(B66&lt;7,(P66/VLOOKUP(B66,'Sales Pacing'!$A$23:$E$36,2)),"Too early")</f>
        <v>Too early</v>
      </c>
      <c r="S66" s="401" t="str">
        <f t="shared" si="28"/>
        <v>Too early</v>
      </c>
      <c r="T66" s="226">
        <v>2292</v>
      </c>
      <c r="U66" s="230">
        <v>13333</v>
      </c>
      <c r="V66" s="237">
        <f t="shared" si="10"/>
        <v>0.17190429760744019</v>
      </c>
      <c r="W66" s="207" t="str">
        <f t="shared" si="18"/>
        <v>Too early</v>
      </c>
      <c r="X66" s="222">
        <v>564</v>
      </c>
      <c r="Y66" s="226">
        <v>37756</v>
      </c>
      <c r="Z66" s="230">
        <v>33333</v>
      </c>
      <c r="AA66" s="207">
        <f t="shared" si="11"/>
        <v>1.1326913269132692</v>
      </c>
      <c r="AB66" s="233">
        <v>1590</v>
      </c>
      <c r="AC66" s="207">
        <f t="shared" si="29"/>
        <v>0.38993710691823902</v>
      </c>
      <c r="AD66" s="208">
        <f t="shared" si="13"/>
        <v>64.593548387096774</v>
      </c>
      <c r="AE66" s="218"/>
      <c r="AF66" s="218"/>
      <c r="AG66" s="218"/>
      <c r="AH66" s="350">
        <v>39385.300000000003</v>
      </c>
      <c r="AI66" s="354">
        <f t="shared" si="14"/>
        <v>662.69999999999709</v>
      </c>
    </row>
    <row r="67" spans="1:35" s="143" customFormat="1" x14ac:dyDescent="0.35">
      <c r="A67" s="143">
        <v>23</v>
      </c>
      <c r="B67" s="143">
        <f t="shared" si="3"/>
        <v>22</v>
      </c>
      <c r="C67" s="144">
        <v>46055</v>
      </c>
      <c r="D67" s="143" t="s">
        <v>87</v>
      </c>
      <c r="G67" s="144">
        <v>46060.833333333336</v>
      </c>
      <c r="H67" s="143" t="s">
        <v>62</v>
      </c>
      <c r="I67" s="37">
        <f t="shared" si="4"/>
        <v>604</v>
      </c>
      <c r="J67" s="38" t="str">
        <f t="shared" si="5"/>
        <v>Too early</v>
      </c>
      <c r="K67" s="31" t="str">
        <f t="shared" si="26"/>
        <v>Too early</v>
      </c>
      <c r="L67" s="39">
        <f t="shared" si="6"/>
        <v>38629.199999999997</v>
      </c>
      <c r="M67" s="32">
        <f t="shared" si="7"/>
        <v>46666</v>
      </c>
      <c r="N67" s="195">
        <f t="shared" si="8"/>
        <v>0.82778039686281224</v>
      </c>
      <c r="O67" s="31" t="str">
        <f t="shared" si="9"/>
        <v>Too early</v>
      </c>
      <c r="P67" s="241">
        <v>46</v>
      </c>
      <c r="Q67" s="400">
        <f t="shared" si="27"/>
        <v>1032</v>
      </c>
      <c r="R67" s="206" t="str">
        <f>IF(B67&lt;7,(P67/VLOOKUP(B67,'Sales Pacing'!$A$23:$E$36,2)),"Too early")</f>
        <v>Too early</v>
      </c>
      <c r="S67" s="401" t="str">
        <f t="shared" si="28"/>
        <v>Too early</v>
      </c>
      <c r="T67" s="226">
        <v>2312</v>
      </c>
      <c r="U67" s="230">
        <v>13333</v>
      </c>
      <c r="V67" s="237">
        <f t="shared" si="10"/>
        <v>0.17340433510837772</v>
      </c>
      <c r="W67" s="207" t="str">
        <f t="shared" si="18"/>
        <v>Too early</v>
      </c>
      <c r="X67" s="222">
        <v>558</v>
      </c>
      <c r="Y67" s="226">
        <v>36317.199999999997</v>
      </c>
      <c r="Z67" s="230">
        <v>33333</v>
      </c>
      <c r="AA67" s="207">
        <f t="shared" si="11"/>
        <v>1.0895268952689525</v>
      </c>
      <c r="AB67" s="233">
        <v>1590</v>
      </c>
      <c r="AC67" s="207">
        <f t="shared" si="29"/>
        <v>0.37987421383647801</v>
      </c>
      <c r="AD67" s="208">
        <f t="shared" si="13"/>
        <v>63.95562913907284</v>
      </c>
      <c r="AE67" s="218"/>
      <c r="AF67" s="218"/>
      <c r="AG67" s="218"/>
      <c r="AH67" s="350">
        <v>38740.199999999997</v>
      </c>
      <c r="AI67" s="354">
        <f t="shared" si="14"/>
        <v>-111</v>
      </c>
    </row>
    <row r="68" spans="1:35" s="147" customFormat="1" x14ac:dyDescent="0.35">
      <c r="A68" s="147">
        <v>23</v>
      </c>
      <c r="B68" s="147">
        <f t="shared" si="3"/>
        <v>22</v>
      </c>
      <c r="C68" s="148">
        <v>46055</v>
      </c>
      <c r="D68" s="147" t="s">
        <v>88</v>
      </c>
      <c r="G68" s="148">
        <v>46061.583333333336</v>
      </c>
      <c r="H68" s="147" t="s">
        <v>62</v>
      </c>
      <c r="I68" s="149">
        <f t="shared" si="4"/>
        <v>590</v>
      </c>
      <c r="J68" s="33" t="str">
        <f t="shared" si="5"/>
        <v>Too early</v>
      </c>
      <c r="K68" s="34" t="str">
        <f t="shared" si="26"/>
        <v>Too early</v>
      </c>
      <c r="L68" s="35">
        <f t="shared" si="6"/>
        <v>37285.1</v>
      </c>
      <c r="M68" s="36">
        <f t="shared" si="7"/>
        <v>46667</v>
      </c>
      <c r="N68" s="196">
        <f t="shared" si="8"/>
        <v>0.79896072170913057</v>
      </c>
      <c r="O68" s="34" t="str">
        <f t="shared" si="9"/>
        <v>Too early</v>
      </c>
      <c r="P68" s="243">
        <v>40</v>
      </c>
      <c r="Q68" s="400">
        <f t="shared" si="27"/>
        <v>1040</v>
      </c>
      <c r="R68" s="209" t="str">
        <f>IF(B68&lt;7,(P68/VLOOKUP(B68,'Sales Pacing'!$A$23:$E$36,2)),"Too early")</f>
        <v>Too early</v>
      </c>
      <c r="S68" s="401" t="str">
        <f t="shared" si="28"/>
        <v>Too early</v>
      </c>
      <c r="T68" s="227">
        <v>1644</v>
      </c>
      <c r="U68" s="231">
        <v>13333</v>
      </c>
      <c r="V68" s="238">
        <f t="shared" si="10"/>
        <v>0.12330308257706443</v>
      </c>
      <c r="W68" s="210" t="str">
        <f t="shared" si="18"/>
        <v>Too early</v>
      </c>
      <c r="X68" s="223">
        <v>550</v>
      </c>
      <c r="Y68" s="227">
        <v>35641.1</v>
      </c>
      <c r="Z68" s="231">
        <v>33334</v>
      </c>
      <c r="AA68" s="210">
        <f t="shared" si="11"/>
        <v>1.0692116157676845</v>
      </c>
      <c r="AB68" s="234">
        <v>1590</v>
      </c>
      <c r="AC68" s="402">
        <f t="shared" si="29"/>
        <v>0.37106918238993708</v>
      </c>
      <c r="AD68" s="211">
        <f t="shared" si="13"/>
        <v>63.195084745762706</v>
      </c>
      <c r="AE68" s="219"/>
      <c r="AF68" s="219"/>
      <c r="AG68" s="219"/>
      <c r="AH68" s="352">
        <v>37115.1</v>
      </c>
      <c r="AI68" s="354">
        <f t="shared" si="14"/>
        <v>170</v>
      </c>
    </row>
    <row r="69" spans="1:35" s="143" customFormat="1" x14ac:dyDescent="0.35">
      <c r="A69" s="143">
        <v>24</v>
      </c>
      <c r="B69" s="143">
        <f t="shared" si="3"/>
        <v>23</v>
      </c>
      <c r="C69" s="144">
        <v>46062</v>
      </c>
      <c r="D69" s="143" t="s">
        <v>89</v>
      </c>
      <c r="G69" s="144">
        <v>46065.791666666664</v>
      </c>
      <c r="H69" s="143" t="s">
        <v>52</v>
      </c>
      <c r="I69" s="37">
        <f t="shared" si="4"/>
        <v>302</v>
      </c>
      <c r="J69" s="38" t="str">
        <f t="shared" si="5"/>
        <v>Too early</v>
      </c>
      <c r="K69" s="31" t="str">
        <f t="shared" si="26"/>
        <v>Too early</v>
      </c>
      <c r="L69" s="39">
        <f t="shared" si="6"/>
        <v>26640.1</v>
      </c>
      <c r="M69" s="32">
        <f t="shared" si="7"/>
        <v>128900</v>
      </c>
      <c r="N69" s="195">
        <f t="shared" si="8"/>
        <v>0.20667261442979051</v>
      </c>
      <c r="O69" s="31" t="str">
        <f t="shared" si="9"/>
        <v>Too early</v>
      </c>
      <c r="P69" s="222">
        <v>302</v>
      </c>
      <c r="Q69" s="400">
        <f t="shared" si="27"/>
        <v>1590</v>
      </c>
      <c r="R69" s="206" t="str">
        <f>IF(B69&lt;7,(P69/VLOOKUP(B69,'Sales Pacing'!$A$23:$E$36,2)),"Too early")</f>
        <v>Too early</v>
      </c>
      <c r="S69" s="401" t="str">
        <f t="shared" si="28"/>
        <v>Too early</v>
      </c>
      <c r="T69" s="226">
        <v>26640.1</v>
      </c>
      <c r="U69" s="230">
        <v>128900</v>
      </c>
      <c r="V69" s="237">
        <f t="shared" si="10"/>
        <v>0.20667261442979051</v>
      </c>
      <c r="W69" s="207" t="str">
        <f t="shared" si="18"/>
        <v>Too early</v>
      </c>
      <c r="X69" s="222"/>
      <c r="Y69" s="226"/>
      <c r="Z69" s="230"/>
      <c r="AA69" s="207" t="str">
        <f t="shared" si="11"/>
        <v/>
      </c>
      <c r="AB69" s="233">
        <v>1590</v>
      </c>
      <c r="AC69" s="207">
        <f t="shared" si="29"/>
        <v>0.18993710691823901</v>
      </c>
      <c r="AD69" s="208">
        <f t="shared" si="13"/>
        <v>88.212251655629132</v>
      </c>
      <c r="AE69" s="218"/>
      <c r="AF69" s="218"/>
      <c r="AG69" s="218"/>
      <c r="AH69" s="350">
        <v>26522</v>
      </c>
      <c r="AI69" s="354">
        <f t="shared" si="14"/>
        <v>118.09999999999854</v>
      </c>
    </row>
    <row r="70" spans="1:35" s="143" customFormat="1" x14ac:dyDescent="0.35">
      <c r="A70" s="143">
        <v>24</v>
      </c>
      <c r="B70" s="143">
        <f t="shared" si="3"/>
        <v>23</v>
      </c>
      <c r="C70" s="144">
        <v>46062</v>
      </c>
      <c r="D70" s="143" t="s">
        <v>90</v>
      </c>
      <c r="G70" s="144">
        <v>46066.833333333336</v>
      </c>
      <c r="H70" s="143" t="s">
        <v>57</v>
      </c>
      <c r="I70" s="37">
        <f t="shared" si="4"/>
        <v>782</v>
      </c>
      <c r="J70" s="38" t="str">
        <f t="shared" si="5"/>
        <v>Too early</v>
      </c>
      <c r="K70" s="31" t="str">
        <f t="shared" si="26"/>
        <v>Too early</v>
      </c>
      <c r="L70" s="39">
        <f t="shared" si="6"/>
        <v>55532.1</v>
      </c>
      <c r="M70" s="32">
        <f t="shared" si="7"/>
        <v>94666</v>
      </c>
      <c r="N70" s="195">
        <f t="shared" si="8"/>
        <v>0.58661082120296615</v>
      </c>
      <c r="O70" s="31" t="str">
        <f t="shared" si="9"/>
        <v>Too early</v>
      </c>
      <c r="P70" s="241">
        <v>59</v>
      </c>
      <c r="Q70" s="400">
        <f t="shared" si="27"/>
        <v>867</v>
      </c>
      <c r="R70" s="206" t="str">
        <f>IF(B70&lt;7,(P70/VLOOKUP(B70,'Sales Pacing'!$A$23:$E$36,2)),"Too early")</f>
        <v>Too early</v>
      </c>
      <c r="S70" s="401" t="str">
        <f t="shared" si="28"/>
        <v>Too early</v>
      </c>
      <c r="T70" s="226">
        <v>3518</v>
      </c>
      <c r="U70" s="230">
        <v>53333</v>
      </c>
      <c r="V70" s="237">
        <f t="shared" si="10"/>
        <v>6.5962912268201682E-2</v>
      </c>
      <c r="W70" s="207" t="str">
        <f t="shared" si="18"/>
        <v>Too early</v>
      </c>
      <c r="X70" s="222">
        <v>723</v>
      </c>
      <c r="Y70" s="226">
        <v>52014.1</v>
      </c>
      <c r="Z70" s="230">
        <v>41333</v>
      </c>
      <c r="AA70" s="207">
        <f t="shared" si="11"/>
        <v>1.2584157936757554</v>
      </c>
      <c r="AB70" s="233">
        <v>1590</v>
      </c>
      <c r="AC70" s="207">
        <f t="shared" si="29"/>
        <v>0.49182389937106918</v>
      </c>
      <c r="AD70" s="208">
        <f t="shared" si="13"/>
        <v>71.01291560102301</v>
      </c>
      <c r="AE70" s="218"/>
      <c r="AF70" s="218"/>
      <c r="AG70" s="218"/>
      <c r="AH70" s="350">
        <v>54995.3</v>
      </c>
      <c r="AI70" s="354">
        <f t="shared" si="14"/>
        <v>536.79999999999563</v>
      </c>
    </row>
    <row r="71" spans="1:35" s="143" customFormat="1" x14ac:dyDescent="0.35">
      <c r="A71" s="143">
        <v>24</v>
      </c>
      <c r="B71" s="143">
        <f t="shared" ref="B71:B117" si="30">A71-$G$4</f>
        <v>23</v>
      </c>
      <c r="C71" s="144">
        <v>46062</v>
      </c>
      <c r="D71" s="143" t="s">
        <v>90</v>
      </c>
      <c r="G71" s="144">
        <v>46067.833333333336</v>
      </c>
      <c r="H71" s="143" t="s">
        <v>57</v>
      </c>
      <c r="I71" s="37">
        <f t="shared" ref="I71:I117" si="31">P71+X71</f>
        <v>709</v>
      </c>
      <c r="J71" s="38" t="str">
        <f t="shared" ref="J71:J117" si="32">IF(R71="Too early",R71,R71+X71)</f>
        <v>Too early</v>
      </c>
      <c r="K71" s="31" t="str">
        <f t="shared" si="26"/>
        <v>Too early</v>
      </c>
      <c r="L71" s="39">
        <f t="shared" ref="L71:L117" si="33">T71+Y71</f>
        <v>50433.8</v>
      </c>
      <c r="M71" s="32">
        <f t="shared" ref="M71:M117" si="34">U71+Z71</f>
        <v>94667</v>
      </c>
      <c r="N71" s="195">
        <f t="shared" ref="N71:N117" si="35">L71/M71</f>
        <v>0.53274953257206847</v>
      </c>
      <c r="O71" s="31" t="str">
        <f t="shared" ref="O71:O117" si="36">IF($J71="Too early",J71,J71*AD71/M71)</f>
        <v>Too early</v>
      </c>
      <c r="P71" s="241">
        <v>44</v>
      </c>
      <c r="Q71" s="400">
        <f t="shared" si="27"/>
        <v>925</v>
      </c>
      <c r="R71" s="206" t="str">
        <f>IF(B71&lt;7,(P71/VLOOKUP(B71,'Sales Pacing'!$A$23:$E$36,2)),"Too early")</f>
        <v>Too early</v>
      </c>
      <c r="S71" s="401" t="str">
        <f t="shared" si="28"/>
        <v>Too early</v>
      </c>
      <c r="T71" s="226">
        <v>2021</v>
      </c>
      <c r="U71" s="230">
        <v>53333</v>
      </c>
      <c r="V71" s="237">
        <f t="shared" ref="V71:V117" si="37">IF(T71&gt;0,T71/U71,"")</f>
        <v>3.7893986837417737E-2</v>
      </c>
      <c r="W71" s="207" t="str">
        <f t="shared" si="18"/>
        <v>Too early</v>
      </c>
      <c r="X71" s="222">
        <v>665</v>
      </c>
      <c r="Y71" s="226">
        <v>48412.800000000003</v>
      </c>
      <c r="Z71" s="230">
        <v>41334</v>
      </c>
      <c r="AA71" s="207">
        <f t="shared" ref="AA71:AA117" si="38">IF(Y71&gt;0,Y71/Z71,"")</f>
        <v>1.1712585280882568</v>
      </c>
      <c r="AB71" s="233">
        <v>1590</v>
      </c>
      <c r="AC71" s="207">
        <f t="shared" si="29"/>
        <v>0.4459119496855346</v>
      </c>
      <c r="AD71" s="208">
        <f t="shared" ref="AD71:AD117" si="39">L71/I71</f>
        <v>71.133709449929484</v>
      </c>
      <c r="AE71" s="218"/>
      <c r="AF71" s="218"/>
      <c r="AG71" s="218"/>
      <c r="AH71" s="350">
        <v>49744.3</v>
      </c>
      <c r="AI71" s="354">
        <f t="shared" ref="AI71:AI117" si="40">L71-AH71</f>
        <v>689.5</v>
      </c>
    </row>
    <row r="72" spans="1:35" s="147" customFormat="1" x14ac:dyDescent="0.35">
      <c r="A72" s="147">
        <v>24</v>
      </c>
      <c r="B72" s="147">
        <f t="shared" si="30"/>
        <v>23</v>
      </c>
      <c r="C72" s="148">
        <v>46062</v>
      </c>
      <c r="D72" s="147" t="s">
        <v>90</v>
      </c>
      <c r="G72" s="148">
        <v>46068.583333333336</v>
      </c>
      <c r="H72" s="147" t="s">
        <v>57</v>
      </c>
      <c r="I72" s="149">
        <f t="shared" si="31"/>
        <v>439</v>
      </c>
      <c r="J72" s="33" t="str">
        <f t="shared" si="32"/>
        <v>Too early</v>
      </c>
      <c r="K72" s="34" t="str">
        <f t="shared" si="26"/>
        <v>Too early</v>
      </c>
      <c r="L72" s="35">
        <f t="shared" si="33"/>
        <v>29722.3</v>
      </c>
      <c r="M72" s="36">
        <f t="shared" si="34"/>
        <v>94666</v>
      </c>
      <c r="N72" s="196">
        <f t="shared" si="35"/>
        <v>0.31397016880400563</v>
      </c>
      <c r="O72" s="34" t="str">
        <f t="shared" si="36"/>
        <v>Too early</v>
      </c>
      <c r="P72" s="243">
        <v>58</v>
      </c>
      <c r="Q72" s="400">
        <f t="shared" si="27"/>
        <v>1209</v>
      </c>
      <c r="R72" s="209" t="str">
        <f>IF(B72&lt;7,(P72/VLOOKUP(B72,'Sales Pacing'!$A$23:$E$36,2)),"Too early")</f>
        <v>Too early</v>
      </c>
      <c r="S72" s="401" t="str">
        <f t="shared" si="28"/>
        <v>Too early</v>
      </c>
      <c r="T72" s="227">
        <v>3704</v>
      </c>
      <c r="U72" s="231">
        <v>53333</v>
      </c>
      <c r="V72" s="238">
        <f t="shared" si="37"/>
        <v>6.945043406521291E-2</v>
      </c>
      <c r="W72" s="210" t="str">
        <f t="shared" si="18"/>
        <v>Too early</v>
      </c>
      <c r="X72" s="223">
        <v>381</v>
      </c>
      <c r="Y72" s="227">
        <v>26018.3</v>
      </c>
      <c r="Z72" s="231">
        <v>41333</v>
      </c>
      <c r="AA72" s="210">
        <f t="shared" si="38"/>
        <v>0.62948007645222948</v>
      </c>
      <c r="AB72" s="234">
        <v>1590</v>
      </c>
      <c r="AC72" s="402">
        <f t="shared" si="29"/>
        <v>0.2761006289308176</v>
      </c>
      <c r="AD72" s="211">
        <f t="shared" si="39"/>
        <v>67.704555808656039</v>
      </c>
      <c r="AE72" s="219"/>
      <c r="AF72" s="219"/>
      <c r="AG72" s="219"/>
      <c r="AH72" s="352">
        <v>29295.3</v>
      </c>
      <c r="AI72" s="354">
        <f t="shared" si="40"/>
        <v>427</v>
      </c>
    </row>
    <row r="73" spans="1:35" s="143" customFormat="1" x14ac:dyDescent="0.35">
      <c r="A73" s="143">
        <v>25</v>
      </c>
      <c r="B73" s="143">
        <f t="shared" si="30"/>
        <v>24</v>
      </c>
      <c r="C73" s="144">
        <v>46069</v>
      </c>
      <c r="D73" s="143" t="s">
        <v>91</v>
      </c>
      <c r="G73" s="144">
        <v>46072.791666666664</v>
      </c>
      <c r="H73" s="143" t="s">
        <v>64</v>
      </c>
      <c r="I73" s="37">
        <f t="shared" si="31"/>
        <v>130</v>
      </c>
      <c r="J73" s="38" t="str">
        <f t="shared" si="32"/>
        <v>Too early</v>
      </c>
      <c r="K73" s="31" t="str">
        <f t="shared" si="26"/>
        <v>Too early</v>
      </c>
      <c r="L73" s="39">
        <f t="shared" si="33"/>
        <v>9161.5</v>
      </c>
      <c r="M73" s="32">
        <f t="shared" si="34"/>
        <v>111250</v>
      </c>
      <c r="N73" s="195">
        <f t="shared" si="35"/>
        <v>8.2350561797752811E-2</v>
      </c>
      <c r="O73" s="31" t="str">
        <f t="shared" si="36"/>
        <v>Too early</v>
      </c>
      <c r="P73" s="222">
        <v>130</v>
      </c>
      <c r="Q73" s="400">
        <f t="shared" si="27"/>
        <v>1302</v>
      </c>
      <c r="R73" s="206" t="str">
        <f>IF(B73&lt;7,(P73/VLOOKUP(B73,'Sales Pacing'!$A$23:$E$36,2)),"Too early")</f>
        <v>Too early</v>
      </c>
      <c r="S73" s="401" t="str">
        <f t="shared" si="28"/>
        <v>Too early</v>
      </c>
      <c r="T73" s="226">
        <v>9161.5</v>
      </c>
      <c r="U73" s="230">
        <v>111250</v>
      </c>
      <c r="V73" s="237">
        <f t="shared" si="37"/>
        <v>8.2350561797752811E-2</v>
      </c>
      <c r="W73" s="207" t="str">
        <f t="shared" si="18"/>
        <v>Too early</v>
      </c>
      <c r="X73" s="222"/>
      <c r="Y73" s="226"/>
      <c r="Z73" s="230"/>
      <c r="AA73" s="207" t="str">
        <f t="shared" si="38"/>
        <v/>
      </c>
      <c r="AB73" s="233">
        <v>1302</v>
      </c>
      <c r="AC73" s="207">
        <f t="shared" si="29"/>
        <v>9.9846390168970817E-2</v>
      </c>
      <c r="AD73" s="208">
        <f t="shared" si="39"/>
        <v>70.473076923076917</v>
      </c>
      <c r="AE73" s="218"/>
      <c r="AF73" s="218"/>
      <c r="AG73" s="218"/>
      <c r="AH73" s="350">
        <v>8681.5</v>
      </c>
      <c r="AI73" s="354">
        <f t="shared" si="40"/>
        <v>480</v>
      </c>
    </row>
    <row r="74" spans="1:35" s="143" customFormat="1" x14ac:dyDescent="0.35">
      <c r="A74" s="143">
        <v>25</v>
      </c>
      <c r="B74" s="143">
        <f t="shared" si="30"/>
        <v>24</v>
      </c>
      <c r="C74" s="144">
        <v>46069</v>
      </c>
      <c r="D74" s="143" t="s">
        <v>91</v>
      </c>
      <c r="G74" s="144">
        <v>46073.791666666664</v>
      </c>
      <c r="H74" s="143" t="s">
        <v>64</v>
      </c>
      <c r="I74" s="37">
        <f t="shared" si="31"/>
        <v>233</v>
      </c>
      <c r="J74" s="38" t="str">
        <f t="shared" si="32"/>
        <v>Too early</v>
      </c>
      <c r="K74" s="31" t="str">
        <f t="shared" si="26"/>
        <v>Too early</v>
      </c>
      <c r="L74" s="39">
        <f t="shared" si="33"/>
        <v>17068</v>
      </c>
      <c r="M74" s="32">
        <f t="shared" si="34"/>
        <v>111250</v>
      </c>
      <c r="N74" s="195">
        <f t="shared" si="35"/>
        <v>0.15342022471910113</v>
      </c>
      <c r="O74" s="31" t="str">
        <f t="shared" si="36"/>
        <v>Too early</v>
      </c>
      <c r="P74" s="222">
        <v>233</v>
      </c>
      <c r="Q74" s="400">
        <f t="shared" si="27"/>
        <v>1302</v>
      </c>
      <c r="R74" s="206" t="str">
        <f>IF(B74&lt;7,(P74/VLOOKUP(B74,'Sales Pacing'!$A$23:$E$36,2)),"Too early")</f>
        <v>Too early</v>
      </c>
      <c r="S74" s="401" t="str">
        <f t="shared" si="28"/>
        <v>Too early</v>
      </c>
      <c r="T74" s="226">
        <v>17068</v>
      </c>
      <c r="U74" s="230">
        <v>111250</v>
      </c>
      <c r="V74" s="237">
        <f t="shared" si="37"/>
        <v>0.15342022471910113</v>
      </c>
      <c r="W74" s="207" t="str">
        <f t="shared" si="18"/>
        <v>Too early</v>
      </c>
      <c r="X74" s="222"/>
      <c r="Y74" s="226"/>
      <c r="Z74" s="230"/>
      <c r="AA74" s="207" t="str">
        <f t="shared" si="38"/>
        <v/>
      </c>
      <c r="AB74" s="233">
        <v>1302</v>
      </c>
      <c r="AC74" s="207">
        <f t="shared" si="29"/>
        <v>0.17895545314900155</v>
      </c>
      <c r="AD74" s="208">
        <f t="shared" si="39"/>
        <v>73.253218884120173</v>
      </c>
      <c r="AE74" s="218"/>
      <c r="AF74" s="218"/>
      <c r="AG74" s="218"/>
      <c r="AH74" s="350">
        <v>16868</v>
      </c>
      <c r="AI74" s="354">
        <f t="shared" si="40"/>
        <v>200</v>
      </c>
    </row>
    <row r="75" spans="1:35" s="143" customFormat="1" x14ac:dyDescent="0.35">
      <c r="A75" s="143">
        <v>25</v>
      </c>
      <c r="B75" s="143">
        <f t="shared" si="30"/>
        <v>24</v>
      </c>
      <c r="C75" s="144">
        <v>46069</v>
      </c>
      <c r="D75" s="143" t="s">
        <v>91</v>
      </c>
      <c r="G75" s="144">
        <v>46074.791666666664</v>
      </c>
      <c r="H75" s="143" t="s">
        <v>64</v>
      </c>
      <c r="I75" s="37">
        <f t="shared" si="31"/>
        <v>356</v>
      </c>
      <c r="J75" s="38" t="str">
        <f t="shared" si="32"/>
        <v>Too early</v>
      </c>
      <c r="K75" s="31" t="str">
        <f t="shared" si="26"/>
        <v>Too early</v>
      </c>
      <c r="L75" s="39">
        <f t="shared" si="33"/>
        <v>26695</v>
      </c>
      <c r="M75" s="32">
        <f t="shared" si="34"/>
        <v>111250</v>
      </c>
      <c r="N75" s="195">
        <f t="shared" si="35"/>
        <v>0.23995505617977528</v>
      </c>
      <c r="O75" s="31" t="str">
        <f t="shared" si="36"/>
        <v>Too early</v>
      </c>
      <c r="P75" s="222">
        <v>356</v>
      </c>
      <c r="Q75" s="400">
        <f t="shared" si="27"/>
        <v>1302</v>
      </c>
      <c r="R75" s="206" t="str">
        <f>IF(B75&lt;7,(P75/VLOOKUP(B75,'Sales Pacing'!$A$23:$E$36,2)),"Too early")</f>
        <v>Too early</v>
      </c>
      <c r="S75" s="401" t="str">
        <f t="shared" si="28"/>
        <v>Too early</v>
      </c>
      <c r="T75" s="226">
        <v>26695</v>
      </c>
      <c r="U75" s="230">
        <v>111250</v>
      </c>
      <c r="V75" s="237">
        <f t="shared" si="37"/>
        <v>0.23995505617977528</v>
      </c>
      <c r="W75" s="207" t="str">
        <f t="shared" ref="W75:W117" si="41">IF($R75="Too early",R75,R75*AD75/U75)</f>
        <v>Too early</v>
      </c>
      <c r="X75" s="222"/>
      <c r="Y75" s="226"/>
      <c r="Z75" s="230"/>
      <c r="AA75" s="207" t="str">
        <f t="shared" si="38"/>
        <v/>
      </c>
      <c r="AB75" s="233">
        <v>1302</v>
      </c>
      <c r="AC75" s="207">
        <f t="shared" si="29"/>
        <v>0.27342549923195086</v>
      </c>
      <c r="AD75" s="208">
        <f t="shared" si="39"/>
        <v>74.985955056179776</v>
      </c>
      <c r="AE75" s="218"/>
      <c r="AF75" s="218"/>
      <c r="AG75" s="218"/>
      <c r="AH75" s="350">
        <v>25816</v>
      </c>
      <c r="AI75" s="354">
        <f t="shared" si="40"/>
        <v>879</v>
      </c>
    </row>
    <row r="76" spans="1:35" s="147" customFormat="1" x14ac:dyDescent="0.35">
      <c r="A76" s="147">
        <v>25</v>
      </c>
      <c r="B76" s="147">
        <f t="shared" si="30"/>
        <v>24</v>
      </c>
      <c r="C76" s="148">
        <v>46069</v>
      </c>
      <c r="D76" s="147" t="s">
        <v>91</v>
      </c>
      <c r="G76" s="148">
        <v>46075.583333333336</v>
      </c>
      <c r="H76" s="147" t="s">
        <v>64</v>
      </c>
      <c r="I76" s="149">
        <f t="shared" si="31"/>
        <v>469</v>
      </c>
      <c r="J76" s="33" t="str">
        <f t="shared" si="32"/>
        <v>Too early</v>
      </c>
      <c r="K76" s="34" t="str">
        <f t="shared" si="26"/>
        <v>Too early</v>
      </c>
      <c r="L76" s="35">
        <f t="shared" si="33"/>
        <v>32002.5</v>
      </c>
      <c r="M76" s="36">
        <f t="shared" si="34"/>
        <v>111250</v>
      </c>
      <c r="N76" s="196">
        <f t="shared" si="35"/>
        <v>0.28766292134831462</v>
      </c>
      <c r="O76" s="34" t="str">
        <f t="shared" si="36"/>
        <v>Too early</v>
      </c>
      <c r="P76" s="223">
        <v>469</v>
      </c>
      <c r="Q76" s="400">
        <f t="shared" si="27"/>
        <v>1302</v>
      </c>
      <c r="R76" s="209" t="str">
        <f>IF(B76&lt;7,(P76/VLOOKUP(B76,'Sales Pacing'!$A$23:$E$36,2)),"Too early")</f>
        <v>Too early</v>
      </c>
      <c r="S76" s="401" t="str">
        <f t="shared" si="28"/>
        <v>Too early</v>
      </c>
      <c r="T76" s="227">
        <v>32002.5</v>
      </c>
      <c r="U76" s="230">
        <v>111250</v>
      </c>
      <c r="V76" s="237">
        <f t="shared" si="37"/>
        <v>0.28766292134831462</v>
      </c>
      <c r="W76" s="210" t="str">
        <f t="shared" si="41"/>
        <v>Too early</v>
      </c>
      <c r="X76" s="223"/>
      <c r="Y76" s="227"/>
      <c r="Z76" s="231"/>
      <c r="AA76" s="210" t="str">
        <f t="shared" si="38"/>
        <v/>
      </c>
      <c r="AB76" s="234">
        <v>1302</v>
      </c>
      <c r="AC76" s="402">
        <f t="shared" si="29"/>
        <v>0.36021505376344087</v>
      </c>
      <c r="AD76" s="211">
        <f t="shared" si="39"/>
        <v>68.235607675906181</v>
      </c>
      <c r="AE76" s="219"/>
      <c r="AF76" s="219"/>
      <c r="AG76" s="219"/>
      <c r="AH76" s="352">
        <v>28069</v>
      </c>
      <c r="AI76" s="354">
        <f t="shared" si="40"/>
        <v>3933.5</v>
      </c>
    </row>
    <row r="77" spans="1:35" s="147" customFormat="1" x14ac:dyDescent="0.35">
      <c r="A77" s="147">
        <v>26</v>
      </c>
      <c r="B77" s="147">
        <f t="shared" si="30"/>
        <v>25</v>
      </c>
      <c r="C77" s="148">
        <v>46076</v>
      </c>
      <c r="D77" s="147" t="s">
        <v>92</v>
      </c>
      <c r="G77" s="148">
        <v>46082.583333333336</v>
      </c>
      <c r="H77" s="147" t="s">
        <v>59</v>
      </c>
      <c r="I77" s="149">
        <f t="shared" si="31"/>
        <v>339</v>
      </c>
      <c r="J77" s="33" t="str">
        <f t="shared" si="32"/>
        <v>Too early</v>
      </c>
      <c r="K77" s="34" t="str">
        <f t="shared" si="26"/>
        <v>Too early</v>
      </c>
      <c r="L77" s="35">
        <f t="shared" si="33"/>
        <v>8019</v>
      </c>
      <c r="M77" s="36">
        <f t="shared" si="34"/>
        <v>19500</v>
      </c>
      <c r="N77" s="196">
        <f t="shared" si="35"/>
        <v>0.41123076923076923</v>
      </c>
      <c r="O77" s="34" t="str">
        <f t="shared" si="36"/>
        <v>Too early</v>
      </c>
      <c r="P77" s="223">
        <v>40</v>
      </c>
      <c r="Q77" s="400">
        <f t="shared" si="27"/>
        <v>1003</v>
      </c>
      <c r="R77" s="209" t="str">
        <f>IF(B77&lt;7,(P77/VLOOKUP(B77,'Sales Pacing'!$A$23:$E$36,2)),"Too early")</f>
        <v>Too early</v>
      </c>
      <c r="S77" s="401" t="str">
        <f t="shared" si="28"/>
        <v>Too early</v>
      </c>
      <c r="T77" s="227">
        <v>1380</v>
      </c>
      <c r="U77" s="231">
        <v>10000</v>
      </c>
      <c r="V77" s="238">
        <f t="shared" si="37"/>
        <v>0.13800000000000001</v>
      </c>
      <c r="W77" s="210" t="str">
        <f t="shared" si="41"/>
        <v>Too early</v>
      </c>
      <c r="X77" s="223">
        <v>299</v>
      </c>
      <c r="Y77" s="227">
        <v>6639</v>
      </c>
      <c r="Z77" s="231">
        <v>9500</v>
      </c>
      <c r="AA77" s="210">
        <f t="shared" si="38"/>
        <v>0.69884210526315793</v>
      </c>
      <c r="AB77" s="234">
        <v>1302</v>
      </c>
      <c r="AC77" s="402">
        <f t="shared" si="29"/>
        <v>0.26036866359447003</v>
      </c>
      <c r="AD77" s="211">
        <f t="shared" si="39"/>
        <v>23.654867256637168</v>
      </c>
      <c r="AE77" s="219"/>
      <c r="AF77" s="219"/>
      <c r="AG77" s="219"/>
      <c r="AH77" s="352">
        <v>7842</v>
      </c>
      <c r="AI77" s="354">
        <f t="shared" si="40"/>
        <v>177</v>
      </c>
    </row>
    <row r="78" spans="1:35" s="186" customFormat="1" x14ac:dyDescent="0.35">
      <c r="A78" s="186">
        <v>27</v>
      </c>
      <c r="B78" s="186">
        <f t="shared" si="30"/>
        <v>26</v>
      </c>
      <c r="C78" s="187">
        <v>46083</v>
      </c>
      <c r="D78" s="186" t="s">
        <v>71</v>
      </c>
      <c r="G78" s="198"/>
      <c r="H78" s="199"/>
      <c r="I78" s="200">
        <f t="shared" si="31"/>
        <v>0</v>
      </c>
      <c r="J78" s="201" t="str">
        <f t="shared" si="32"/>
        <v>Too early</v>
      </c>
      <c r="K78" s="202"/>
      <c r="L78" s="203">
        <f t="shared" si="33"/>
        <v>0</v>
      </c>
      <c r="M78" s="204">
        <f t="shared" si="34"/>
        <v>0</v>
      </c>
      <c r="N78" s="205" t="e">
        <f t="shared" si="35"/>
        <v>#DIV/0!</v>
      </c>
      <c r="O78" s="202"/>
      <c r="P78" s="224"/>
      <c r="Q78" s="224"/>
      <c r="R78" s="212" t="str">
        <f>IF(B78&lt;7,(P78/VLOOKUP(B78,'Sales Pacing'!$A$23:$E$36,2)),"Too early")</f>
        <v>Too early</v>
      </c>
      <c r="S78" s="212"/>
      <c r="T78" s="228"/>
      <c r="U78" s="228"/>
      <c r="V78" s="239" t="str">
        <f t="shared" si="37"/>
        <v/>
      </c>
      <c r="W78" s="213"/>
      <c r="X78" s="224"/>
      <c r="Y78" s="228"/>
      <c r="Z78" s="228"/>
      <c r="AA78" s="213" t="s">
        <v>55</v>
      </c>
      <c r="AB78" s="224"/>
      <c r="AC78" s="213" t="e">
        <f t="shared" si="25"/>
        <v>#DIV/0!</v>
      </c>
      <c r="AD78" s="214" t="e">
        <f t="shared" si="39"/>
        <v>#DIV/0!</v>
      </c>
      <c r="AE78" s="220"/>
      <c r="AF78" s="220"/>
      <c r="AG78" s="220"/>
      <c r="AH78" s="351">
        <v>0</v>
      </c>
    </row>
    <row r="79" spans="1:35" s="143" customFormat="1" x14ac:dyDescent="0.35">
      <c r="A79" s="143">
        <v>28</v>
      </c>
      <c r="B79" s="143">
        <f t="shared" si="30"/>
        <v>27</v>
      </c>
      <c r="C79" s="144">
        <v>46090</v>
      </c>
      <c r="D79" s="143" t="s">
        <v>93</v>
      </c>
      <c r="G79" s="144">
        <v>46094.833333333336</v>
      </c>
      <c r="H79" s="143" t="s">
        <v>62</v>
      </c>
      <c r="I79" s="37">
        <f t="shared" si="31"/>
        <v>615</v>
      </c>
      <c r="J79" s="38" t="str">
        <f t="shared" si="32"/>
        <v>Too early</v>
      </c>
      <c r="K79" s="31" t="str">
        <f>IF(J79="Too early",J79,J79/AB79)</f>
        <v>Too early</v>
      </c>
      <c r="L79" s="39">
        <f t="shared" si="33"/>
        <v>40703</v>
      </c>
      <c r="M79" s="32">
        <f t="shared" si="34"/>
        <v>54999</v>
      </c>
      <c r="N79" s="195">
        <f t="shared" si="35"/>
        <v>0.74006800123638616</v>
      </c>
      <c r="O79" s="31" t="str">
        <f t="shared" si="36"/>
        <v>Too early</v>
      </c>
      <c r="P79" s="222">
        <v>43</v>
      </c>
      <c r="Q79" s="400">
        <f>AB79-X79</f>
        <v>1018</v>
      </c>
      <c r="R79" s="206" t="str">
        <f>IF(B79&lt;7,(P79/VLOOKUP(B79,'Sales Pacing'!$A$23:$E$36,2)),"Too early")</f>
        <v>Too early</v>
      </c>
      <c r="S79" s="401" t="str">
        <f>IF(R79="Too early","Too early",R79/Q79)</f>
        <v>Too early</v>
      </c>
      <c r="T79" s="226">
        <v>2170</v>
      </c>
      <c r="U79" s="230">
        <v>18333</v>
      </c>
      <c r="V79" s="237">
        <f t="shared" si="37"/>
        <v>0.11836578846888125</v>
      </c>
      <c r="W79" s="207" t="str">
        <f t="shared" si="41"/>
        <v>Too early</v>
      </c>
      <c r="X79" s="222">
        <v>572</v>
      </c>
      <c r="Y79" s="226">
        <v>38533</v>
      </c>
      <c r="Z79" s="230">
        <v>36666</v>
      </c>
      <c r="AA79" s="207">
        <f t="shared" si="38"/>
        <v>1.0509191076201385</v>
      </c>
      <c r="AB79" s="233">
        <v>1590</v>
      </c>
      <c r="AC79" s="207">
        <f>I79/AB79</f>
        <v>0.3867924528301887</v>
      </c>
      <c r="AD79" s="208">
        <f t="shared" si="39"/>
        <v>66.183739837398377</v>
      </c>
      <c r="AE79" s="218"/>
      <c r="AF79" s="218"/>
      <c r="AG79" s="218"/>
      <c r="AH79" s="350">
        <v>40282.300000000003</v>
      </c>
      <c r="AI79" s="354">
        <f t="shared" si="40"/>
        <v>420.69999999999709</v>
      </c>
    </row>
    <row r="80" spans="1:35" s="143" customFormat="1" x14ac:dyDescent="0.35">
      <c r="A80" s="143">
        <v>28</v>
      </c>
      <c r="B80" s="143">
        <f t="shared" si="30"/>
        <v>27</v>
      </c>
      <c r="C80" s="144">
        <v>46090</v>
      </c>
      <c r="D80" s="143" t="s">
        <v>93</v>
      </c>
      <c r="G80" s="144">
        <v>46095.833333333336</v>
      </c>
      <c r="H80" s="143" t="s">
        <v>62</v>
      </c>
      <c r="I80" s="37">
        <f t="shared" si="31"/>
        <v>607</v>
      </c>
      <c r="J80" s="38" t="str">
        <f t="shared" si="32"/>
        <v>Too early</v>
      </c>
      <c r="K80" s="31" t="str">
        <f>IF(J80="Too early",J80,J80/AB80)</f>
        <v>Too early</v>
      </c>
      <c r="L80" s="39">
        <f t="shared" si="33"/>
        <v>38770.199999999997</v>
      </c>
      <c r="M80" s="32">
        <f t="shared" si="34"/>
        <v>55000</v>
      </c>
      <c r="N80" s="195">
        <f t="shared" si="35"/>
        <v>0.70491272727272725</v>
      </c>
      <c r="O80" s="31" t="str">
        <f t="shared" si="36"/>
        <v>Too early</v>
      </c>
      <c r="P80" s="222">
        <v>48</v>
      </c>
      <c r="Q80" s="400">
        <f>AB80-X80</f>
        <v>1031</v>
      </c>
      <c r="R80" s="206" t="str">
        <f>IF(B80&lt;7,(P80/VLOOKUP(B80,'Sales Pacing'!$A$23:$E$36,2)),"Too early")</f>
        <v>Too early</v>
      </c>
      <c r="S80" s="401" t="str">
        <f>IF(R80="Too early","Too early",R80/Q80)</f>
        <v>Too early</v>
      </c>
      <c r="T80" s="226">
        <v>2438</v>
      </c>
      <c r="U80" s="230">
        <v>18333</v>
      </c>
      <c r="V80" s="237">
        <f t="shared" si="37"/>
        <v>0.13298423607701959</v>
      </c>
      <c r="W80" s="207" t="str">
        <f t="shared" si="41"/>
        <v>Too early</v>
      </c>
      <c r="X80" s="222">
        <v>559</v>
      </c>
      <c r="Y80" s="226">
        <v>36332.199999999997</v>
      </c>
      <c r="Z80" s="230">
        <v>36667</v>
      </c>
      <c r="AA80" s="207">
        <f t="shared" si="38"/>
        <v>0.99086917391660068</v>
      </c>
      <c r="AB80" s="233">
        <v>1590</v>
      </c>
      <c r="AC80" s="207">
        <f>I80/AB80</f>
        <v>0.3817610062893082</v>
      </c>
      <c r="AD80" s="208">
        <f t="shared" si="39"/>
        <v>63.871828665568366</v>
      </c>
      <c r="AE80" s="218"/>
      <c r="AF80" s="218"/>
      <c r="AG80" s="218"/>
      <c r="AH80" s="350">
        <v>39045.199999999997</v>
      </c>
      <c r="AI80" s="354">
        <f t="shared" si="40"/>
        <v>-275</v>
      </c>
    </row>
    <row r="81" spans="1:35" s="147" customFormat="1" x14ac:dyDescent="0.35">
      <c r="A81" s="147">
        <v>28</v>
      </c>
      <c r="B81" s="147">
        <f t="shared" si="30"/>
        <v>27</v>
      </c>
      <c r="C81" s="148">
        <v>46090</v>
      </c>
      <c r="D81" s="147" t="s">
        <v>93</v>
      </c>
      <c r="G81" s="148">
        <v>46096.583333333336</v>
      </c>
      <c r="H81" s="147" t="s">
        <v>62</v>
      </c>
      <c r="I81" s="149">
        <f t="shared" si="31"/>
        <v>623</v>
      </c>
      <c r="J81" s="33" t="str">
        <f t="shared" si="32"/>
        <v>Too early</v>
      </c>
      <c r="K81" s="34" t="str">
        <f>IF(J81="Too early",J81,J81/AB81)</f>
        <v>Too early</v>
      </c>
      <c r="L81" s="35">
        <f t="shared" si="33"/>
        <v>39992.1</v>
      </c>
      <c r="M81" s="36">
        <f t="shared" si="34"/>
        <v>55000</v>
      </c>
      <c r="N81" s="196">
        <f t="shared" si="35"/>
        <v>0.72712909090909084</v>
      </c>
      <c r="O81" s="34" t="str">
        <f t="shared" si="36"/>
        <v>Too early</v>
      </c>
      <c r="P81" s="223">
        <v>63</v>
      </c>
      <c r="Q81" s="400">
        <f>AB81-X81</f>
        <v>1030</v>
      </c>
      <c r="R81" s="209" t="str">
        <f>IF(B81&lt;7,(P81/VLOOKUP(B81,'Sales Pacing'!$A$23:$E$36,2)),"Too early")</f>
        <v>Too early</v>
      </c>
      <c r="S81" s="401" t="str">
        <f>IF(R81="Too early","Too early",R81/Q81)</f>
        <v>Too early</v>
      </c>
      <c r="T81" s="227">
        <v>3831</v>
      </c>
      <c r="U81" s="231">
        <v>18333</v>
      </c>
      <c r="V81" s="238">
        <f t="shared" si="37"/>
        <v>0.20896743577155949</v>
      </c>
      <c r="W81" s="210" t="str">
        <f t="shared" si="41"/>
        <v>Too early</v>
      </c>
      <c r="X81" s="223">
        <v>560</v>
      </c>
      <c r="Y81" s="227">
        <v>36161.1</v>
      </c>
      <c r="Z81" s="231">
        <v>36667</v>
      </c>
      <c r="AA81" s="210">
        <f t="shared" si="38"/>
        <v>0.98620285270133901</v>
      </c>
      <c r="AB81" s="234">
        <v>1590</v>
      </c>
      <c r="AC81" s="402">
        <f>I81/AB81</f>
        <v>0.39182389937106921</v>
      </c>
      <c r="AD81" s="211">
        <f t="shared" si="39"/>
        <v>64.192776886035304</v>
      </c>
      <c r="AE81" s="219"/>
      <c r="AF81" s="219"/>
      <c r="AG81" s="219"/>
      <c r="AH81" s="352">
        <v>39633.1</v>
      </c>
      <c r="AI81" s="354">
        <f t="shared" si="40"/>
        <v>359</v>
      </c>
    </row>
    <row r="82" spans="1:35" s="186" customFormat="1" x14ac:dyDescent="0.35">
      <c r="A82" s="186">
        <v>29</v>
      </c>
      <c r="B82" s="186">
        <f t="shared" si="30"/>
        <v>28</v>
      </c>
      <c r="C82" s="187">
        <v>46097</v>
      </c>
      <c r="D82" s="186" t="s">
        <v>71</v>
      </c>
      <c r="G82" s="198"/>
      <c r="H82" s="199"/>
      <c r="I82" s="360">
        <f t="shared" si="31"/>
        <v>0</v>
      </c>
      <c r="J82" s="361" t="str">
        <f t="shared" si="32"/>
        <v>Too early</v>
      </c>
      <c r="K82" s="362"/>
      <c r="L82" s="363">
        <f t="shared" si="33"/>
        <v>0</v>
      </c>
      <c r="M82" s="364">
        <f t="shared" si="34"/>
        <v>0</v>
      </c>
      <c r="N82" s="365" t="e">
        <f t="shared" si="35"/>
        <v>#DIV/0!</v>
      </c>
      <c r="O82" s="362"/>
      <c r="P82" s="366"/>
      <c r="Q82" s="366"/>
      <c r="R82" s="367" t="str">
        <f>IF(B82&lt;7,(P82/VLOOKUP(B82,'Sales Pacing'!$A$23:$E$36,2)),"Too early")</f>
        <v>Too early</v>
      </c>
      <c r="S82" s="367"/>
      <c r="T82" s="368"/>
      <c r="U82" s="368"/>
      <c r="V82" s="369" t="str">
        <f t="shared" si="37"/>
        <v/>
      </c>
      <c r="W82" s="370"/>
      <c r="X82" s="366"/>
      <c r="Y82" s="368"/>
      <c r="Z82" s="368"/>
      <c r="AA82" s="370" t="s">
        <v>55</v>
      </c>
      <c r="AB82" s="366"/>
      <c r="AC82" s="370" t="e">
        <f t="shared" si="25"/>
        <v>#DIV/0!</v>
      </c>
      <c r="AD82" s="371" t="e">
        <f t="shared" si="39"/>
        <v>#DIV/0!</v>
      </c>
      <c r="AE82" s="220"/>
      <c r="AF82" s="220"/>
      <c r="AG82" s="220"/>
      <c r="AH82" s="351">
        <v>0</v>
      </c>
    </row>
    <row r="83" spans="1:35" s="143" customFormat="1" x14ac:dyDescent="0.35">
      <c r="A83" s="143">
        <v>30</v>
      </c>
      <c r="B83" s="143">
        <f t="shared" ref="B83" si="42">A83-$G$4</f>
        <v>29</v>
      </c>
      <c r="C83" s="144">
        <v>46104</v>
      </c>
      <c r="D83" s="143" t="s">
        <v>94</v>
      </c>
      <c r="G83" s="144">
        <v>46106</v>
      </c>
      <c r="H83" s="143" t="s">
        <v>52</v>
      </c>
      <c r="I83" s="305">
        <f>P83+X83</f>
        <v>75</v>
      </c>
      <c r="J83" s="305" t="str">
        <f>IF(R83="Too early",R83,R83+X83)</f>
        <v>Too early</v>
      </c>
      <c r="K83" s="31" t="str">
        <f>IF(J83="Too early",J83,J83/AB83)</f>
        <v>Too early</v>
      </c>
      <c r="L83" s="306">
        <f>T83+Y83</f>
        <v>4422</v>
      </c>
      <c r="M83" s="307">
        <f>U83+Z83</f>
        <v>84109</v>
      </c>
      <c r="N83" s="308">
        <f>L83/M83</f>
        <v>5.2574635294677145E-2</v>
      </c>
      <c r="O83" s="31" t="str">
        <f t="shared" si="36"/>
        <v>Too early</v>
      </c>
      <c r="P83" s="241">
        <v>75</v>
      </c>
      <c r="Q83" s="400">
        <f>AB83-X83</f>
        <v>1590</v>
      </c>
      <c r="R83" s="206" t="str">
        <f>IF(B83&lt;7,(P83/VLOOKUP(B83,'Sales Pacing'!$A$23:$E$36,2)),"Too early")</f>
        <v>Too early</v>
      </c>
      <c r="S83" s="401" t="str">
        <f>IF(R83="Too early","Too early",R83/Q83)</f>
        <v>Too early</v>
      </c>
      <c r="T83" s="226">
        <v>4422</v>
      </c>
      <c r="U83" s="230">
        <v>84109</v>
      </c>
      <c r="V83" s="237">
        <f>IF(T83&gt;0,T83/U83,"")</f>
        <v>5.2574635294677145E-2</v>
      </c>
      <c r="W83" s="207" t="str">
        <f t="shared" si="41"/>
        <v>Too early</v>
      </c>
      <c r="X83" s="222"/>
      <c r="Y83" s="226"/>
      <c r="Z83" s="230"/>
      <c r="AA83" s="207"/>
      <c r="AB83" s="233">
        <v>1590</v>
      </c>
      <c r="AC83" s="402">
        <f>I83/AB83</f>
        <v>4.716981132075472E-2</v>
      </c>
      <c r="AD83" s="307">
        <f>L83/I83</f>
        <v>58.96</v>
      </c>
      <c r="AE83" s="218"/>
      <c r="AF83" s="218"/>
      <c r="AG83" s="218"/>
      <c r="AH83" s="350">
        <v>4422</v>
      </c>
      <c r="AI83" s="354">
        <f t="shared" si="40"/>
        <v>0</v>
      </c>
    </row>
    <row r="84" spans="1:35" s="147" customFormat="1" x14ac:dyDescent="0.35">
      <c r="A84" s="147">
        <v>30</v>
      </c>
      <c r="B84" s="147">
        <f t="shared" ref="B84" si="43">A84-$G$4</f>
        <v>29</v>
      </c>
      <c r="C84" s="148">
        <v>46104</v>
      </c>
      <c r="D84" s="147" t="s">
        <v>94</v>
      </c>
      <c r="G84" s="148">
        <v>46107</v>
      </c>
      <c r="H84" s="147" t="s">
        <v>52</v>
      </c>
      <c r="I84" s="293">
        <f>P84+X84</f>
        <v>83</v>
      </c>
      <c r="J84" s="293" t="str">
        <f>IF(R84="Too early",R84,R84+X84)</f>
        <v>Too early</v>
      </c>
      <c r="K84" s="34" t="str">
        <f>IF(J84="Too early",J84,J84/AB84)</f>
        <v>Too early</v>
      </c>
      <c r="L84" s="294">
        <f>T84+Y84</f>
        <v>4627</v>
      </c>
      <c r="M84" s="299">
        <f>U84+Z84</f>
        <v>84109</v>
      </c>
      <c r="N84" s="295">
        <f>L84/M84</f>
        <v>5.501194878074879E-2</v>
      </c>
      <c r="O84" s="34" t="str">
        <f t="shared" si="36"/>
        <v>Too early</v>
      </c>
      <c r="P84" s="243">
        <v>83</v>
      </c>
      <c r="Q84" s="400">
        <f>AB84-X84</f>
        <v>1590</v>
      </c>
      <c r="R84" s="209" t="str">
        <f>IF(B84&lt;7,(P84/VLOOKUP(B84,'Sales Pacing'!$A$23:$E$36,2)),"Too early")</f>
        <v>Too early</v>
      </c>
      <c r="S84" s="401" t="str">
        <f>IF(R84="Too early","Too early",R84/Q84)</f>
        <v>Too early</v>
      </c>
      <c r="T84" s="227">
        <v>4627</v>
      </c>
      <c r="U84" s="231">
        <v>84109</v>
      </c>
      <c r="V84" s="238">
        <f>IF(T84&gt;0,T84/U84,"")</f>
        <v>5.501194878074879E-2</v>
      </c>
      <c r="W84" s="210" t="str">
        <f t="shared" si="41"/>
        <v>Too early</v>
      </c>
      <c r="X84" s="223"/>
      <c r="Y84" s="227"/>
      <c r="Z84" s="231"/>
      <c r="AA84" s="210"/>
      <c r="AB84" s="234">
        <v>1590</v>
      </c>
      <c r="AC84" s="402">
        <f>I84/AB84</f>
        <v>5.2201257861635222E-2</v>
      </c>
      <c r="AD84" s="299">
        <f>L84/I84</f>
        <v>55.746987951807228</v>
      </c>
      <c r="AE84" s="219"/>
      <c r="AF84" s="219"/>
      <c r="AG84" s="219"/>
      <c r="AH84" s="352">
        <v>4417.5</v>
      </c>
      <c r="AI84" s="356">
        <f t="shared" si="40"/>
        <v>209.5</v>
      </c>
    </row>
    <row r="85" spans="1:35" s="143" customFormat="1" x14ac:dyDescent="0.35">
      <c r="A85" s="143">
        <v>30</v>
      </c>
      <c r="B85" s="143">
        <f t="shared" si="30"/>
        <v>29</v>
      </c>
      <c r="C85" s="144">
        <v>46104</v>
      </c>
      <c r="D85" s="143" t="s">
        <v>95</v>
      </c>
      <c r="G85" s="144">
        <v>46108.833333333336</v>
      </c>
      <c r="H85" s="143" t="s">
        <v>57</v>
      </c>
      <c r="I85" s="37">
        <f t="shared" si="31"/>
        <v>894</v>
      </c>
      <c r="J85" s="38" t="str">
        <f t="shared" si="32"/>
        <v>Too early</v>
      </c>
      <c r="K85" s="31" t="str">
        <f>IF(J85="Too early",J85,J85/AB85)</f>
        <v>Too early</v>
      </c>
      <c r="L85" s="39">
        <f t="shared" si="33"/>
        <v>63676.1</v>
      </c>
      <c r="M85" s="32">
        <f t="shared" si="34"/>
        <v>94666</v>
      </c>
      <c r="N85" s="195">
        <f t="shared" si="35"/>
        <v>0.67263959605349333</v>
      </c>
      <c r="O85" s="31" t="str">
        <f t="shared" si="36"/>
        <v>Too early</v>
      </c>
      <c r="P85" s="222">
        <v>155</v>
      </c>
      <c r="Q85" s="400">
        <f>AB85-X85</f>
        <v>851</v>
      </c>
      <c r="R85" s="206" t="str">
        <f>IF(B85&lt;7,(P85/VLOOKUP(B85,'Sales Pacing'!$A$23:$E$36,2)),"Too early")</f>
        <v>Too early</v>
      </c>
      <c r="S85" s="401" t="str">
        <f>IF(R85="Too early","Too early",R85/Q85)</f>
        <v>Too early</v>
      </c>
      <c r="T85" s="226">
        <v>10382</v>
      </c>
      <c r="U85" s="230">
        <v>53333</v>
      </c>
      <c r="V85" s="237">
        <f t="shared" si="37"/>
        <v>0.19466371664822904</v>
      </c>
      <c r="W85" s="207" t="str">
        <f t="shared" si="41"/>
        <v>Too early</v>
      </c>
      <c r="X85" s="222">
        <v>739</v>
      </c>
      <c r="Y85" s="226">
        <v>53294.1</v>
      </c>
      <c r="Z85" s="230">
        <v>41333</v>
      </c>
      <c r="AA85" s="207">
        <f t="shared" si="38"/>
        <v>1.2893837853531076</v>
      </c>
      <c r="AB85" s="233">
        <v>1590</v>
      </c>
      <c r="AC85" s="207">
        <f>I85/AB85</f>
        <v>0.56226415094339621</v>
      </c>
      <c r="AD85" s="208">
        <f t="shared" si="39"/>
        <v>71.226062639821023</v>
      </c>
      <c r="AE85" s="218"/>
      <c r="AF85" s="218"/>
      <c r="AG85" s="218"/>
      <c r="AH85" s="350">
        <v>62459.3</v>
      </c>
      <c r="AI85" s="354">
        <f t="shared" si="40"/>
        <v>1216.7999999999956</v>
      </c>
    </row>
    <row r="86" spans="1:35" s="143" customFormat="1" x14ac:dyDescent="0.35">
      <c r="A86" s="143">
        <v>30</v>
      </c>
      <c r="B86" s="143">
        <f t="shared" si="30"/>
        <v>29</v>
      </c>
      <c r="C86" s="144">
        <v>46104</v>
      </c>
      <c r="D86" s="143" t="s">
        <v>95</v>
      </c>
      <c r="G86" s="144">
        <v>46109.833333333336</v>
      </c>
      <c r="H86" s="143" t="s">
        <v>57</v>
      </c>
      <c r="I86" s="37">
        <f t="shared" si="31"/>
        <v>827</v>
      </c>
      <c r="J86" s="38" t="str">
        <f t="shared" si="32"/>
        <v>Too early</v>
      </c>
      <c r="K86" s="31" t="str">
        <f>IF(J86="Too early",J86,J86/AB86)</f>
        <v>Too early</v>
      </c>
      <c r="L86" s="39">
        <f t="shared" si="33"/>
        <v>59705.8</v>
      </c>
      <c r="M86" s="32">
        <f t="shared" si="34"/>
        <v>94667</v>
      </c>
      <c r="N86" s="195">
        <f t="shared" si="35"/>
        <v>0.6306928496730646</v>
      </c>
      <c r="O86" s="31" t="str">
        <f t="shared" si="36"/>
        <v>Too early</v>
      </c>
      <c r="P86" s="222">
        <v>159</v>
      </c>
      <c r="Q86" s="400">
        <f>AB86-X86</f>
        <v>922</v>
      </c>
      <c r="R86" s="206" t="str">
        <f>IF(B86&lt;7,(P86/VLOOKUP(B86,'Sales Pacing'!$A$23:$E$36,2)),"Too early")</f>
        <v>Too early</v>
      </c>
      <c r="S86" s="401" t="str">
        <f>IF(R86="Too early","Too early",R86/Q86)</f>
        <v>Too early</v>
      </c>
      <c r="T86" s="226">
        <v>11131</v>
      </c>
      <c r="U86" s="230">
        <v>53333</v>
      </c>
      <c r="V86" s="237">
        <f t="shared" si="37"/>
        <v>0.20870755442221514</v>
      </c>
      <c r="W86" s="207" t="str">
        <f t="shared" si="41"/>
        <v>Too early</v>
      </c>
      <c r="X86" s="222">
        <v>668</v>
      </c>
      <c r="Y86" s="226">
        <v>48574.8</v>
      </c>
      <c r="Z86" s="230">
        <v>41334</v>
      </c>
      <c r="AA86" s="207">
        <f t="shared" si="38"/>
        <v>1.1751778197125853</v>
      </c>
      <c r="AB86" s="233">
        <v>1590</v>
      </c>
      <c r="AC86" s="207">
        <f>I86/AB86</f>
        <v>0.52012578616352201</v>
      </c>
      <c r="AD86" s="208">
        <f t="shared" si="39"/>
        <v>72.195646916565906</v>
      </c>
      <c r="AE86" s="218"/>
      <c r="AF86" s="218"/>
      <c r="AG86" s="218"/>
      <c r="AH86" s="350">
        <v>58280.3</v>
      </c>
      <c r="AI86" s="354">
        <f t="shared" si="40"/>
        <v>1425.5</v>
      </c>
    </row>
    <row r="87" spans="1:35" s="143" customFormat="1" x14ac:dyDescent="0.35">
      <c r="A87" s="143">
        <v>30</v>
      </c>
      <c r="B87" s="143">
        <f t="shared" si="30"/>
        <v>29</v>
      </c>
      <c r="C87" s="144">
        <v>46104</v>
      </c>
      <c r="D87" s="143" t="s">
        <v>95</v>
      </c>
      <c r="G87" s="144">
        <v>46110.583333333336</v>
      </c>
      <c r="H87" s="143" t="s">
        <v>57</v>
      </c>
      <c r="I87" s="38">
        <f t="shared" si="31"/>
        <v>581</v>
      </c>
      <c r="J87" s="38" t="str">
        <f t="shared" si="32"/>
        <v>Too early</v>
      </c>
      <c r="K87" s="31" t="str">
        <f>IF(J87="Too early",J87,J87/AB87)</f>
        <v>Too early</v>
      </c>
      <c r="L87" s="39">
        <f t="shared" si="33"/>
        <v>40227.599999999999</v>
      </c>
      <c r="M87" s="32">
        <f t="shared" si="34"/>
        <v>94666</v>
      </c>
      <c r="N87" s="195">
        <f t="shared" si="35"/>
        <v>0.4249424291720364</v>
      </c>
      <c r="O87" s="31" t="str">
        <f t="shared" si="36"/>
        <v>Too early</v>
      </c>
      <c r="P87" s="222">
        <v>196</v>
      </c>
      <c r="Q87" s="400">
        <f>AB87-X87</f>
        <v>1205</v>
      </c>
      <c r="R87" s="206" t="str">
        <f>IF(B87&lt;7,(P87/VLOOKUP(B87,'Sales Pacing'!$A$23:$E$36,2)),"Too early")</f>
        <v>Too early</v>
      </c>
      <c r="S87" s="401" t="str">
        <f>IF(R87="Too early","Too early",R87/Q87)</f>
        <v>Too early</v>
      </c>
      <c r="T87" s="226">
        <v>14017</v>
      </c>
      <c r="U87" s="230">
        <v>53333</v>
      </c>
      <c r="V87" s="237">
        <f t="shared" si="37"/>
        <v>0.26282039262745394</v>
      </c>
      <c r="W87" s="207" t="str">
        <f t="shared" si="41"/>
        <v>Too early</v>
      </c>
      <c r="X87" s="222">
        <v>385</v>
      </c>
      <c r="Y87" s="226">
        <v>26210.6</v>
      </c>
      <c r="Z87" s="230">
        <v>41333</v>
      </c>
      <c r="AA87" s="207">
        <f t="shared" si="38"/>
        <v>0.63413253332688169</v>
      </c>
      <c r="AB87" s="233">
        <v>1590</v>
      </c>
      <c r="AC87" s="207">
        <f>I87/AB87</f>
        <v>0.36540880503144652</v>
      </c>
      <c r="AD87" s="208">
        <f t="shared" si="39"/>
        <v>69.23855421686747</v>
      </c>
      <c r="AE87" s="218"/>
      <c r="AF87" s="218"/>
      <c r="AG87" s="218"/>
      <c r="AH87" s="350">
        <v>39383.599999999999</v>
      </c>
      <c r="AI87" s="354">
        <f t="shared" si="40"/>
        <v>844</v>
      </c>
    </row>
    <row r="88" spans="1:35" s="186" customFormat="1" x14ac:dyDescent="0.35">
      <c r="A88" s="186">
        <v>31</v>
      </c>
      <c r="B88" s="186">
        <f t="shared" si="30"/>
        <v>30</v>
      </c>
      <c r="C88" s="187">
        <v>46111</v>
      </c>
      <c r="D88" s="186" t="s">
        <v>71</v>
      </c>
      <c r="G88" s="198"/>
      <c r="H88" s="199"/>
      <c r="I88" s="200">
        <f t="shared" si="31"/>
        <v>0</v>
      </c>
      <c r="J88" s="201" t="str">
        <f t="shared" si="32"/>
        <v>Too early</v>
      </c>
      <c r="K88" s="202"/>
      <c r="L88" s="203">
        <f t="shared" si="33"/>
        <v>0</v>
      </c>
      <c r="M88" s="204">
        <f t="shared" si="34"/>
        <v>0</v>
      </c>
      <c r="N88" s="205" t="e">
        <f t="shared" si="35"/>
        <v>#DIV/0!</v>
      </c>
      <c r="O88" s="202"/>
      <c r="P88" s="224"/>
      <c r="Q88" s="224"/>
      <c r="R88" s="212" t="str">
        <f>IF(B88&lt;7,(P88/VLOOKUP(B88,'Sales Pacing'!$A$23:$E$36,2)),"Too early")</f>
        <v>Too early</v>
      </c>
      <c r="S88" s="212"/>
      <c r="T88" s="228"/>
      <c r="U88" s="228"/>
      <c r="V88" s="239" t="str">
        <f t="shared" si="37"/>
        <v/>
      </c>
      <c r="W88" s="213"/>
      <c r="X88" s="224"/>
      <c r="Y88" s="228"/>
      <c r="Z88" s="228"/>
      <c r="AA88" s="213" t="s">
        <v>55</v>
      </c>
      <c r="AB88" s="224"/>
      <c r="AC88" s="213" t="e">
        <f t="shared" ref="AC88:AC117" si="44">I88/AB88</f>
        <v>#DIV/0!</v>
      </c>
      <c r="AD88" s="214" t="e">
        <f t="shared" si="39"/>
        <v>#DIV/0!</v>
      </c>
      <c r="AE88" s="220"/>
      <c r="AF88" s="220"/>
      <c r="AG88" s="220"/>
      <c r="AH88" s="351">
        <v>0</v>
      </c>
    </row>
    <row r="89" spans="1:35" s="143" customFormat="1" x14ac:dyDescent="0.35">
      <c r="A89" s="143">
        <v>32</v>
      </c>
      <c r="B89" s="143">
        <f t="shared" si="30"/>
        <v>31</v>
      </c>
      <c r="C89" s="177">
        <v>46118</v>
      </c>
      <c r="D89" s="178" t="s">
        <v>96</v>
      </c>
      <c r="E89" s="178"/>
      <c r="F89" s="178"/>
      <c r="G89" s="177">
        <v>46122.833333333336</v>
      </c>
      <c r="H89" s="178" t="s">
        <v>62</v>
      </c>
      <c r="I89" s="37">
        <f t="shared" si="31"/>
        <v>414</v>
      </c>
      <c r="J89" s="38" t="str">
        <f t="shared" si="32"/>
        <v>Too early</v>
      </c>
      <c r="K89" s="31" t="str">
        <f t="shared" ref="K89:K94" si="45">IF(J89="Too early",J89,J89/AB89)</f>
        <v>Too early</v>
      </c>
      <c r="L89" s="39">
        <f t="shared" si="33"/>
        <v>27789</v>
      </c>
      <c r="M89" s="32">
        <f t="shared" si="34"/>
        <v>52000</v>
      </c>
      <c r="N89" s="195">
        <f t="shared" si="35"/>
        <v>0.53440384615384617</v>
      </c>
      <c r="O89" s="31" t="str">
        <f t="shared" si="36"/>
        <v>Too early</v>
      </c>
      <c r="P89" s="222">
        <v>45</v>
      </c>
      <c r="Q89" s="400">
        <f t="shared" ref="Q89:Q94" si="46">AB89-X89</f>
        <v>1064</v>
      </c>
      <c r="R89" s="206" t="str">
        <f>IF(B89&lt;7,(P89/VLOOKUP(B89,'Sales Pacing'!$A$23:$E$36,2)),"Too early")</f>
        <v>Too early</v>
      </c>
      <c r="S89" s="401" t="str">
        <f t="shared" ref="S89:S94" si="47">IF(R89="Too early","Too early",R89/Q89)</f>
        <v>Too early</v>
      </c>
      <c r="T89" s="226">
        <v>1868</v>
      </c>
      <c r="U89" s="230">
        <v>22000</v>
      </c>
      <c r="V89" s="237">
        <f t="shared" si="37"/>
        <v>8.4909090909090906E-2</v>
      </c>
      <c r="W89" s="207" t="str">
        <f t="shared" si="41"/>
        <v>Too early</v>
      </c>
      <c r="X89" s="222">
        <v>369</v>
      </c>
      <c r="Y89" s="226">
        <v>25921</v>
      </c>
      <c r="Z89" s="230">
        <v>30000</v>
      </c>
      <c r="AA89" s="207">
        <f t="shared" si="38"/>
        <v>0.86403333333333332</v>
      </c>
      <c r="AB89" s="233">
        <v>1433</v>
      </c>
      <c r="AC89" s="207">
        <f t="shared" ref="AC89:AC94" si="48">I89/AB89</f>
        <v>0.28890439637124915</v>
      </c>
      <c r="AD89" s="208">
        <f t="shared" si="39"/>
        <v>67.123188405797094</v>
      </c>
      <c r="AE89" s="218"/>
      <c r="AF89" s="218"/>
      <c r="AG89" s="218"/>
      <c r="AH89" s="350">
        <v>27555</v>
      </c>
      <c r="AI89" s="354">
        <f t="shared" si="40"/>
        <v>234</v>
      </c>
    </row>
    <row r="90" spans="1:35" s="143" customFormat="1" x14ac:dyDescent="0.35">
      <c r="A90" s="143">
        <v>32</v>
      </c>
      <c r="B90" s="143">
        <f t="shared" si="30"/>
        <v>31</v>
      </c>
      <c r="C90" s="144">
        <v>46118</v>
      </c>
      <c r="D90" s="143" t="s">
        <v>96</v>
      </c>
      <c r="G90" s="144">
        <v>46123.833333333336</v>
      </c>
      <c r="H90" s="143" t="s">
        <v>62</v>
      </c>
      <c r="I90" s="37">
        <f t="shared" si="31"/>
        <v>642</v>
      </c>
      <c r="J90" s="38" t="str">
        <f t="shared" si="32"/>
        <v>Too early</v>
      </c>
      <c r="K90" s="31" t="str">
        <f t="shared" si="45"/>
        <v>Too early</v>
      </c>
      <c r="L90" s="39">
        <f t="shared" si="33"/>
        <v>40433</v>
      </c>
      <c r="M90" s="32">
        <f t="shared" si="34"/>
        <v>74000</v>
      </c>
      <c r="N90" s="195">
        <f t="shared" si="35"/>
        <v>0.54639189189189186</v>
      </c>
      <c r="O90" s="31" t="str">
        <f t="shared" si="36"/>
        <v>Too early</v>
      </c>
      <c r="P90" s="222">
        <v>82</v>
      </c>
      <c r="Q90" s="400">
        <f t="shared" si="46"/>
        <v>873</v>
      </c>
      <c r="R90" s="206" t="str">
        <f>IF(B90&lt;7,(P90/VLOOKUP(B90,'Sales Pacing'!$A$23:$E$36,2)),"Too early")</f>
        <v>Too early</v>
      </c>
      <c r="S90" s="401" t="str">
        <f t="shared" si="47"/>
        <v>Too early</v>
      </c>
      <c r="T90" s="226">
        <v>4212</v>
      </c>
      <c r="U90" s="230">
        <v>24000</v>
      </c>
      <c r="V90" s="237">
        <f t="shared" si="37"/>
        <v>0.17549999999999999</v>
      </c>
      <c r="W90" s="207" t="str">
        <f t="shared" si="41"/>
        <v>Too early</v>
      </c>
      <c r="X90" s="222">
        <v>560</v>
      </c>
      <c r="Y90" s="226">
        <v>36221</v>
      </c>
      <c r="Z90" s="230">
        <v>50000</v>
      </c>
      <c r="AA90" s="207">
        <f t="shared" si="38"/>
        <v>0.72441999999999995</v>
      </c>
      <c r="AB90" s="233">
        <v>1433</v>
      </c>
      <c r="AC90" s="207">
        <f t="shared" si="48"/>
        <v>0.44801116538729935</v>
      </c>
      <c r="AD90" s="208">
        <f t="shared" si="39"/>
        <v>62.979750778816197</v>
      </c>
      <c r="AE90" s="218"/>
      <c r="AF90" s="218"/>
      <c r="AG90" s="218"/>
      <c r="AH90" s="350">
        <v>40572</v>
      </c>
      <c r="AI90" s="354">
        <f t="shared" si="40"/>
        <v>-139</v>
      </c>
    </row>
    <row r="91" spans="1:35" s="147" customFormat="1" x14ac:dyDescent="0.35">
      <c r="A91" s="147">
        <v>32</v>
      </c>
      <c r="B91" s="147">
        <f t="shared" si="30"/>
        <v>31</v>
      </c>
      <c r="C91" s="148">
        <v>46118</v>
      </c>
      <c r="D91" s="147" t="s">
        <v>96</v>
      </c>
      <c r="G91" s="148">
        <v>46124.583333333336</v>
      </c>
      <c r="H91" s="147" t="s">
        <v>62</v>
      </c>
      <c r="I91" s="149">
        <f t="shared" si="31"/>
        <v>621</v>
      </c>
      <c r="J91" s="33" t="str">
        <f t="shared" si="32"/>
        <v>Too early</v>
      </c>
      <c r="K91" s="34" t="str">
        <f t="shared" si="45"/>
        <v>Too early</v>
      </c>
      <c r="L91" s="35">
        <f t="shared" si="33"/>
        <v>39089.1</v>
      </c>
      <c r="M91" s="36">
        <f t="shared" si="34"/>
        <v>74000</v>
      </c>
      <c r="N91" s="196">
        <f t="shared" si="35"/>
        <v>0.52823108108108108</v>
      </c>
      <c r="O91" s="34" t="str">
        <f t="shared" si="36"/>
        <v>Too early</v>
      </c>
      <c r="P91" s="223">
        <v>62</v>
      </c>
      <c r="Q91" s="400">
        <f t="shared" si="46"/>
        <v>874</v>
      </c>
      <c r="R91" s="209" t="str">
        <f>IF(B91&lt;7,(P91/VLOOKUP(B91,'Sales Pacing'!$A$23:$E$36,2)),"Too early")</f>
        <v>Too early</v>
      </c>
      <c r="S91" s="401" t="str">
        <f t="shared" si="47"/>
        <v>Too early</v>
      </c>
      <c r="T91" s="227">
        <v>2775</v>
      </c>
      <c r="U91" s="231">
        <v>24000</v>
      </c>
      <c r="V91" s="238">
        <f t="shared" si="37"/>
        <v>0.11562500000000001</v>
      </c>
      <c r="W91" s="210" t="str">
        <f t="shared" si="41"/>
        <v>Too early</v>
      </c>
      <c r="X91" s="223">
        <v>559</v>
      </c>
      <c r="Y91" s="227">
        <v>36314.1</v>
      </c>
      <c r="Z91" s="231">
        <v>50000</v>
      </c>
      <c r="AA91" s="210">
        <f t="shared" si="38"/>
        <v>0.72628199999999998</v>
      </c>
      <c r="AB91" s="234">
        <v>1433</v>
      </c>
      <c r="AC91" s="402">
        <f t="shared" si="48"/>
        <v>0.4333565945568737</v>
      </c>
      <c r="AD91" s="211">
        <f t="shared" si="39"/>
        <v>62.945410628019324</v>
      </c>
      <c r="AE91" s="219"/>
      <c r="AF91" s="219"/>
      <c r="AG91" s="219"/>
      <c r="AH91" s="352">
        <v>38332.1</v>
      </c>
      <c r="AI91" s="354">
        <f t="shared" si="40"/>
        <v>757</v>
      </c>
    </row>
    <row r="92" spans="1:35" s="143" customFormat="1" x14ac:dyDescent="0.35">
      <c r="A92" s="143">
        <v>33</v>
      </c>
      <c r="B92" s="143">
        <f t="shared" si="30"/>
        <v>32</v>
      </c>
      <c r="C92" s="144">
        <v>46125</v>
      </c>
      <c r="D92" s="143" t="s">
        <v>97</v>
      </c>
      <c r="G92" s="144">
        <v>46129.833333333336</v>
      </c>
      <c r="H92" s="143" t="s">
        <v>62</v>
      </c>
      <c r="I92" s="37">
        <f t="shared" si="31"/>
        <v>601</v>
      </c>
      <c r="J92" s="38" t="str">
        <f t="shared" si="32"/>
        <v>Too early</v>
      </c>
      <c r="K92" s="31" t="str">
        <f t="shared" si="45"/>
        <v>Too early</v>
      </c>
      <c r="L92" s="39">
        <f t="shared" si="33"/>
        <v>39733</v>
      </c>
      <c r="M92" s="32">
        <f t="shared" si="34"/>
        <v>46666</v>
      </c>
      <c r="N92" s="195">
        <f t="shared" si="35"/>
        <v>0.8514335919084558</v>
      </c>
      <c r="O92" s="31" t="str">
        <f t="shared" si="36"/>
        <v>Too early</v>
      </c>
      <c r="P92" s="222">
        <v>26</v>
      </c>
      <c r="Q92" s="400">
        <f t="shared" si="46"/>
        <v>1015</v>
      </c>
      <c r="R92" s="206" t="str">
        <f>IF(B92&lt;7,(P92/VLOOKUP(B92,'Sales Pacing'!$A$23:$E$36,2)),"Too early")</f>
        <v>Too early</v>
      </c>
      <c r="S92" s="401" t="str">
        <f t="shared" si="47"/>
        <v>Too early</v>
      </c>
      <c r="T92" s="226">
        <v>893</v>
      </c>
      <c r="U92" s="230">
        <v>13333</v>
      </c>
      <c r="V92" s="237">
        <f t="shared" si="37"/>
        <v>6.6976674416860421E-2</v>
      </c>
      <c r="W92" s="207" t="str">
        <f t="shared" si="41"/>
        <v>Too early</v>
      </c>
      <c r="X92" s="222">
        <v>575</v>
      </c>
      <c r="Y92" s="226">
        <v>38840</v>
      </c>
      <c r="Z92" s="230">
        <v>33333</v>
      </c>
      <c r="AA92" s="207">
        <f t="shared" si="38"/>
        <v>1.1652116521165212</v>
      </c>
      <c r="AB92" s="233">
        <v>1590</v>
      </c>
      <c r="AC92" s="207">
        <f t="shared" si="48"/>
        <v>0.37798742138364783</v>
      </c>
      <c r="AD92" s="208">
        <f t="shared" si="39"/>
        <v>66.111480865224621</v>
      </c>
      <c r="AE92" s="218"/>
      <c r="AF92" s="218"/>
      <c r="AG92" s="218"/>
      <c r="AH92" s="350">
        <v>39568.300000000003</v>
      </c>
      <c r="AI92" s="354">
        <f t="shared" si="40"/>
        <v>164.69999999999709</v>
      </c>
    </row>
    <row r="93" spans="1:35" s="143" customFormat="1" x14ac:dyDescent="0.35">
      <c r="A93" s="143">
        <v>33</v>
      </c>
      <c r="B93" s="143">
        <f t="shared" si="30"/>
        <v>32</v>
      </c>
      <c r="C93" s="144">
        <v>46125</v>
      </c>
      <c r="D93" s="143" t="s">
        <v>97</v>
      </c>
      <c r="G93" s="144">
        <v>46130.833333333336</v>
      </c>
      <c r="H93" s="143" t="s">
        <v>62</v>
      </c>
      <c r="I93" s="37">
        <f t="shared" si="31"/>
        <v>618</v>
      </c>
      <c r="J93" s="38" t="str">
        <f t="shared" si="32"/>
        <v>Too early</v>
      </c>
      <c r="K93" s="31" t="str">
        <f t="shared" si="45"/>
        <v>Too early</v>
      </c>
      <c r="L93" s="39">
        <f t="shared" si="33"/>
        <v>41301.9</v>
      </c>
      <c r="M93" s="32">
        <f t="shared" si="34"/>
        <v>46666</v>
      </c>
      <c r="N93" s="195">
        <f t="shared" si="35"/>
        <v>0.88505335790511297</v>
      </c>
      <c r="O93" s="31" t="str">
        <f t="shared" si="36"/>
        <v>Too early</v>
      </c>
      <c r="P93" s="222">
        <v>23</v>
      </c>
      <c r="Q93" s="400">
        <f t="shared" si="46"/>
        <v>995</v>
      </c>
      <c r="R93" s="206" t="str">
        <f>IF(B93&lt;7,(P93/VLOOKUP(B93,'Sales Pacing'!$A$23:$E$36,2)),"Too early")</f>
        <v>Too early</v>
      </c>
      <c r="S93" s="401" t="str">
        <f t="shared" si="47"/>
        <v>Too early</v>
      </c>
      <c r="T93" s="226">
        <v>846</v>
      </c>
      <c r="U93" s="230">
        <v>13333</v>
      </c>
      <c r="V93" s="237">
        <f t="shared" si="37"/>
        <v>6.3451586289657247E-2</v>
      </c>
      <c r="W93" s="207" t="str">
        <f t="shared" si="41"/>
        <v>Too early</v>
      </c>
      <c r="X93" s="222">
        <v>595</v>
      </c>
      <c r="Y93" s="226">
        <v>40455.9</v>
      </c>
      <c r="Z93" s="230">
        <v>33333</v>
      </c>
      <c r="AA93" s="207">
        <f t="shared" si="38"/>
        <v>1.2136891368913689</v>
      </c>
      <c r="AB93" s="233">
        <v>1590</v>
      </c>
      <c r="AC93" s="207">
        <f t="shared" si="48"/>
        <v>0.38867924528301889</v>
      </c>
      <c r="AD93" s="208">
        <f t="shared" si="39"/>
        <v>66.831553398058261</v>
      </c>
      <c r="AE93" s="218"/>
      <c r="AF93" s="218"/>
      <c r="AG93" s="218"/>
      <c r="AH93" s="350">
        <v>41088.9</v>
      </c>
      <c r="AI93" s="354">
        <f t="shared" si="40"/>
        <v>213</v>
      </c>
    </row>
    <row r="94" spans="1:35" s="147" customFormat="1" x14ac:dyDescent="0.35">
      <c r="A94" s="147">
        <v>33</v>
      </c>
      <c r="B94" s="147">
        <f t="shared" si="30"/>
        <v>32</v>
      </c>
      <c r="C94" s="148">
        <v>46125</v>
      </c>
      <c r="D94" s="147" t="s">
        <v>97</v>
      </c>
      <c r="G94" s="148">
        <v>46131.583333333336</v>
      </c>
      <c r="H94" s="147" t="s">
        <v>62</v>
      </c>
      <c r="I94" s="149">
        <f t="shared" si="31"/>
        <v>653</v>
      </c>
      <c r="J94" s="33" t="str">
        <f t="shared" si="32"/>
        <v>Too early</v>
      </c>
      <c r="K94" s="34" t="str">
        <f t="shared" si="45"/>
        <v>Too early</v>
      </c>
      <c r="L94" s="35">
        <f t="shared" si="33"/>
        <v>41407.199999999997</v>
      </c>
      <c r="M94" s="36">
        <f t="shared" si="34"/>
        <v>46667</v>
      </c>
      <c r="N94" s="196">
        <f t="shared" si="35"/>
        <v>0.88729080506567803</v>
      </c>
      <c r="O94" s="34" t="str">
        <f t="shared" si="36"/>
        <v>Too early</v>
      </c>
      <c r="P94" s="223">
        <v>35</v>
      </c>
      <c r="Q94" s="400">
        <f t="shared" si="46"/>
        <v>972</v>
      </c>
      <c r="R94" s="209" t="str">
        <f>IF(B94&lt;7,(P94/VLOOKUP(B94,'Sales Pacing'!$A$23:$E$36,2)),"Too early")</f>
        <v>Too early</v>
      </c>
      <c r="S94" s="401" t="str">
        <f t="shared" si="47"/>
        <v>Too early</v>
      </c>
      <c r="T94" s="227">
        <v>1505</v>
      </c>
      <c r="U94" s="231">
        <v>13333</v>
      </c>
      <c r="V94" s="238">
        <f t="shared" si="37"/>
        <v>0.11287782194554864</v>
      </c>
      <c r="W94" s="210" t="str">
        <f t="shared" si="41"/>
        <v>Too early</v>
      </c>
      <c r="X94" s="223">
        <v>618</v>
      </c>
      <c r="Y94" s="227">
        <v>39902.199999999997</v>
      </c>
      <c r="Z94" s="231">
        <v>33334</v>
      </c>
      <c r="AA94" s="210">
        <f t="shared" si="38"/>
        <v>1.1970420591588167</v>
      </c>
      <c r="AB94" s="234">
        <v>1590</v>
      </c>
      <c r="AC94" s="402">
        <f t="shared" si="48"/>
        <v>0.41069182389937109</v>
      </c>
      <c r="AD94" s="211">
        <f t="shared" si="39"/>
        <v>63.410719754977023</v>
      </c>
      <c r="AE94" s="219"/>
      <c r="AF94" s="219"/>
      <c r="AG94" s="219"/>
      <c r="AH94" s="352">
        <v>40994.199999999997</v>
      </c>
      <c r="AI94" s="354">
        <f t="shared" si="40"/>
        <v>413</v>
      </c>
    </row>
    <row r="95" spans="1:35" s="186" customFormat="1" x14ac:dyDescent="0.35">
      <c r="A95" s="186">
        <v>34</v>
      </c>
      <c r="B95" s="186">
        <f t="shared" si="30"/>
        <v>33</v>
      </c>
      <c r="C95" s="187">
        <v>46132</v>
      </c>
      <c r="D95" s="186" t="s">
        <v>71</v>
      </c>
      <c r="G95" s="198"/>
      <c r="H95" s="199"/>
      <c r="I95" s="200">
        <f t="shared" si="31"/>
        <v>0</v>
      </c>
      <c r="J95" s="201" t="str">
        <f t="shared" si="32"/>
        <v>Too early</v>
      </c>
      <c r="K95" s="202"/>
      <c r="L95" s="203">
        <f t="shared" si="33"/>
        <v>0</v>
      </c>
      <c r="M95" s="204">
        <f t="shared" si="34"/>
        <v>0</v>
      </c>
      <c r="N95" s="205" t="e">
        <f t="shared" si="35"/>
        <v>#DIV/0!</v>
      </c>
      <c r="O95" s="202"/>
      <c r="P95" s="224"/>
      <c r="Q95" s="224"/>
      <c r="R95" s="212" t="str">
        <f>IF(B95&lt;7,(P95/VLOOKUP(B95,'Sales Pacing'!$A$23:$E$36,2)),"Too early")</f>
        <v>Too early</v>
      </c>
      <c r="S95" s="212"/>
      <c r="T95" s="228"/>
      <c r="U95" s="228"/>
      <c r="V95" s="239" t="str">
        <f t="shared" si="37"/>
        <v/>
      </c>
      <c r="W95" s="213"/>
      <c r="X95" s="224"/>
      <c r="Y95" s="228"/>
      <c r="Z95" s="228"/>
      <c r="AA95" s="213" t="s">
        <v>55</v>
      </c>
      <c r="AB95" s="224"/>
      <c r="AC95" s="213" t="e">
        <f t="shared" si="44"/>
        <v>#DIV/0!</v>
      </c>
      <c r="AD95" s="214" t="e">
        <f t="shared" si="39"/>
        <v>#DIV/0!</v>
      </c>
      <c r="AE95" s="220"/>
      <c r="AF95" s="220"/>
      <c r="AG95" s="220"/>
      <c r="AH95" s="351">
        <v>0</v>
      </c>
    </row>
    <row r="96" spans="1:35" s="186" customFormat="1" x14ac:dyDescent="0.35">
      <c r="A96" s="186">
        <v>35</v>
      </c>
      <c r="B96" s="186">
        <f t="shared" si="30"/>
        <v>34</v>
      </c>
      <c r="C96" s="187">
        <v>46139</v>
      </c>
      <c r="D96" s="186" t="s">
        <v>71</v>
      </c>
      <c r="G96" s="198"/>
      <c r="H96" s="199"/>
      <c r="I96" s="200">
        <f t="shared" si="31"/>
        <v>0</v>
      </c>
      <c r="J96" s="201" t="str">
        <f t="shared" si="32"/>
        <v>Too early</v>
      </c>
      <c r="K96" s="202"/>
      <c r="L96" s="203">
        <f t="shared" si="33"/>
        <v>0</v>
      </c>
      <c r="M96" s="204">
        <f t="shared" si="34"/>
        <v>0</v>
      </c>
      <c r="N96" s="205" t="e">
        <f t="shared" si="35"/>
        <v>#DIV/0!</v>
      </c>
      <c r="O96" s="202"/>
      <c r="P96" s="224"/>
      <c r="Q96" s="224"/>
      <c r="R96" s="212" t="str">
        <f>IF(B96&lt;7,(P96/VLOOKUP(B96,'Sales Pacing'!$A$23:$E$36,2)),"Too early")</f>
        <v>Too early</v>
      </c>
      <c r="S96" s="212"/>
      <c r="T96" s="228"/>
      <c r="U96" s="228"/>
      <c r="V96" s="239" t="str">
        <f t="shared" si="37"/>
        <v/>
      </c>
      <c r="W96" s="213"/>
      <c r="X96" s="224"/>
      <c r="Y96" s="228"/>
      <c r="Z96" s="228"/>
      <c r="AA96" s="213" t="s">
        <v>55</v>
      </c>
      <c r="AB96" s="224"/>
      <c r="AC96" s="213" t="e">
        <f t="shared" si="44"/>
        <v>#DIV/0!</v>
      </c>
      <c r="AD96" s="214" t="e">
        <f t="shared" si="39"/>
        <v>#DIV/0!</v>
      </c>
      <c r="AE96" s="220"/>
      <c r="AF96" s="220"/>
      <c r="AG96" s="220"/>
      <c r="AH96" s="351">
        <v>0</v>
      </c>
    </row>
    <row r="97" spans="1:46" s="143" customFormat="1" x14ac:dyDescent="0.35">
      <c r="A97" s="143">
        <v>36</v>
      </c>
      <c r="B97" s="143">
        <f t="shared" si="30"/>
        <v>35</v>
      </c>
      <c r="C97" s="177">
        <v>46146</v>
      </c>
      <c r="D97" s="178" t="s">
        <v>98</v>
      </c>
      <c r="E97" s="178"/>
      <c r="F97" s="178"/>
      <c r="G97" s="177">
        <v>46150.833333333336</v>
      </c>
      <c r="H97" s="178" t="s">
        <v>62</v>
      </c>
      <c r="I97" s="37">
        <f t="shared" si="31"/>
        <v>419</v>
      </c>
      <c r="J97" s="38" t="str">
        <f t="shared" si="32"/>
        <v>Too early</v>
      </c>
      <c r="K97" s="31" t="str">
        <f t="shared" ref="K97:K102" si="49">IF(J97="Too early",J97,J97/AB97)</f>
        <v>Too early</v>
      </c>
      <c r="L97" s="39">
        <f t="shared" si="33"/>
        <v>28116</v>
      </c>
      <c r="M97" s="32">
        <f t="shared" si="34"/>
        <v>45000</v>
      </c>
      <c r="N97" s="195">
        <f t="shared" si="35"/>
        <v>0.62480000000000002</v>
      </c>
      <c r="O97" s="31" t="str">
        <f t="shared" si="36"/>
        <v>Too early</v>
      </c>
      <c r="P97" s="241">
        <v>46</v>
      </c>
      <c r="Q97" s="400">
        <f t="shared" ref="Q97:Q102" si="50">AB97-X97</f>
        <v>1217</v>
      </c>
      <c r="R97" s="206" t="str">
        <f>IF(B97&lt;7,(P97/VLOOKUP(B97,'Sales Pacing'!$A$23:$E$36,2)),"Too early")</f>
        <v>Too early</v>
      </c>
      <c r="S97" s="401" t="str">
        <f t="shared" ref="S97:S102" si="51">IF(R97="Too early","Too early",R97/Q97)</f>
        <v>Too early</v>
      </c>
      <c r="T97" s="226">
        <v>2184</v>
      </c>
      <c r="U97" s="230">
        <v>20000</v>
      </c>
      <c r="V97" s="237">
        <f t="shared" si="37"/>
        <v>0.10920000000000001</v>
      </c>
      <c r="W97" s="207" t="str">
        <f t="shared" si="41"/>
        <v>Too early</v>
      </c>
      <c r="X97" s="222">
        <v>373</v>
      </c>
      <c r="Y97" s="226">
        <v>25932</v>
      </c>
      <c r="Z97" s="230">
        <v>25000</v>
      </c>
      <c r="AA97" s="207">
        <f t="shared" si="38"/>
        <v>1.03728</v>
      </c>
      <c r="AB97" s="233">
        <v>1590</v>
      </c>
      <c r="AC97" s="207">
        <f t="shared" ref="AC97:AC102" si="52">I97/AB97</f>
        <v>0.26352201257861635</v>
      </c>
      <c r="AD97" s="208">
        <f t="shared" si="39"/>
        <v>67.102625298329357</v>
      </c>
      <c r="AE97" s="218"/>
      <c r="AF97" s="218"/>
      <c r="AG97" s="218"/>
      <c r="AH97" s="350">
        <v>27961</v>
      </c>
      <c r="AI97" s="354">
        <f t="shared" si="40"/>
        <v>155</v>
      </c>
    </row>
    <row r="98" spans="1:46" s="143" customFormat="1" x14ac:dyDescent="0.35">
      <c r="A98" s="143">
        <v>36</v>
      </c>
      <c r="B98" s="143">
        <f t="shared" si="30"/>
        <v>35</v>
      </c>
      <c r="C98" s="144">
        <v>46146</v>
      </c>
      <c r="D98" s="143" t="s">
        <v>98</v>
      </c>
      <c r="G98" s="144">
        <v>46151.833333333336</v>
      </c>
      <c r="H98" s="143" t="s">
        <v>62</v>
      </c>
      <c r="I98" s="37">
        <f t="shared" si="31"/>
        <v>672</v>
      </c>
      <c r="J98" s="38" t="str">
        <f t="shared" si="32"/>
        <v>Too early</v>
      </c>
      <c r="K98" s="31" t="str">
        <f t="shared" si="49"/>
        <v>Too early</v>
      </c>
      <c r="L98" s="39">
        <f t="shared" si="33"/>
        <v>44636.9</v>
      </c>
      <c r="M98" s="32">
        <f t="shared" si="34"/>
        <v>65000</v>
      </c>
      <c r="N98" s="195">
        <f t="shared" si="35"/>
        <v>0.68672153846153849</v>
      </c>
      <c r="O98" s="31" t="str">
        <f t="shared" si="36"/>
        <v>Too early</v>
      </c>
      <c r="P98" s="241">
        <v>75</v>
      </c>
      <c r="Q98" s="400">
        <f t="shared" si="50"/>
        <v>993</v>
      </c>
      <c r="R98" s="206" t="str">
        <f>IF(B98&lt;7,(P98/VLOOKUP(B98,'Sales Pacing'!$A$23:$E$36,2)),"Too early")</f>
        <v>Too early</v>
      </c>
      <c r="S98" s="401" t="str">
        <f t="shared" si="51"/>
        <v>Too early</v>
      </c>
      <c r="T98" s="226">
        <v>4401</v>
      </c>
      <c r="U98" s="230">
        <v>17500</v>
      </c>
      <c r="V98" s="237">
        <f t="shared" si="37"/>
        <v>0.25148571428571431</v>
      </c>
      <c r="W98" s="207" t="str">
        <f t="shared" si="41"/>
        <v>Too early</v>
      </c>
      <c r="X98" s="222">
        <v>597</v>
      </c>
      <c r="Y98" s="226">
        <v>40235.9</v>
      </c>
      <c r="Z98" s="230">
        <v>47500</v>
      </c>
      <c r="AA98" s="207">
        <f t="shared" si="38"/>
        <v>0.8470715789473684</v>
      </c>
      <c r="AB98" s="233">
        <v>1590</v>
      </c>
      <c r="AC98" s="207">
        <f t="shared" si="52"/>
        <v>0.42264150943396228</v>
      </c>
      <c r="AD98" s="208">
        <f t="shared" si="39"/>
        <v>66.423958333333331</v>
      </c>
      <c r="AE98" s="218"/>
      <c r="AF98" s="218"/>
      <c r="AG98" s="218"/>
      <c r="AH98" s="350">
        <v>44069.9</v>
      </c>
      <c r="AI98" s="354">
        <f t="shared" si="40"/>
        <v>567</v>
      </c>
    </row>
    <row r="99" spans="1:46" s="147" customFormat="1" x14ac:dyDescent="0.35">
      <c r="A99" s="147">
        <v>36</v>
      </c>
      <c r="B99" s="147">
        <f t="shared" si="30"/>
        <v>35</v>
      </c>
      <c r="C99" s="148">
        <v>46146</v>
      </c>
      <c r="D99" s="147" t="s">
        <v>98</v>
      </c>
      <c r="G99" s="148">
        <v>46152.583333333336</v>
      </c>
      <c r="H99" s="147" t="s">
        <v>62</v>
      </c>
      <c r="I99" s="149">
        <f t="shared" si="31"/>
        <v>672</v>
      </c>
      <c r="J99" s="33" t="str">
        <f t="shared" si="32"/>
        <v>Too early</v>
      </c>
      <c r="K99" s="34" t="str">
        <f t="shared" si="49"/>
        <v>Too early</v>
      </c>
      <c r="L99" s="35">
        <f t="shared" si="33"/>
        <v>42641.2</v>
      </c>
      <c r="M99" s="36">
        <f t="shared" si="34"/>
        <v>65000</v>
      </c>
      <c r="N99" s="196">
        <f t="shared" si="35"/>
        <v>0.65601846153846144</v>
      </c>
      <c r="O99" s="34" t="str">
        <f t="shared" si="36"/>
        <v>Too early</v>
      </c>
      <c r="P99" s="243">
        <v>59</v>
      </c>
      <c r="Q99" s="400">
        <f t="shared" si="50"/>
        <v>977</v>
      </c>
      <c r="R99" s="209" t="str">
        <f>IF(B99&lt;7,(P99/VLOOKUP(B99,'Sales Pacing'!$A$23:$E$36,2)),"Too early")</f>
        <v>Too early</v>
      </c>
      <c r="S99" s="401" t="str">
        <f t="shared" si="51"/>
        <v>Too early</v>
      </c>
      <c r="T99" s="227">
        <v>3053</v>
      </c>
      <c r="U99" s="231">
        <v>17500</v>
      </c>
      <c r="V99" s="238">
        <f t="shared" si="37"/>
        <v>0.17445714285714287</v>
      </c>
      <c r="W99" s="210" t="str">
        <f t="shared" si="41"/>
        <v>Too early</v>
      </c>
      <c r="X99" s="223">
        <v>613</v>
      </c>
      <c r="Y99" s="227">
        <v>39588.199999999997</v>
      </c>
      <c r="Z99" s="231">
        <v>47500</v>
      </c>
      <c r="AA99" s="210">
        <f t="shared" si="38"/>
        <v>0.83343578947368413</v>
      </c>
      <c r="AB99" s="234">
        <v>1590</v>
      </c>
      <c r="AC99" s="402">
        <f t="shared" si="52"/>
        <v>0.42264150943396228</v>
      </c>
      <c r="AD99" s="211">
        <f t="shared" si="39"/>
        <v>63.454166666666666</v>
      </c>
      <c r="AE99" s="219"/>
      <c r="AF99" s="219"/>
      <c r="AG99" s="219"/>
      <c r="AH99" s="352">
        <v>42307.199999999997</v>
      </c>
      <c r="AI99" s="354">
        <f t="shared" si="40"/>
        <v>334</v>
      </c>
    </row>
    <row r="100" spans="1:46" s="143" customFormat="1" x14ac:dyDescent="0.35">
      <c r="A100" s="143">
        <v>37</v>
      </c>
      <c r="B100" s="143">
        <f t="shared" si="30"/>
        <v>36</v>
      </c>
      <c r="C100" s="144">
        <v>46153</v>
      </c>
      <c r="D100" s="143" t="s">
        <v>99</v>
      </c>
      <c r="G100" s="144">
        <v>46157.833333333336</v>
      </c>
      <c r="H100" s="143" t="s">
        <v>57</v>
      </c>
      <c r="I100" s="37">
        <f t="shared" si="31"/>
        <v>806</v>
      </c>
      <c r="J100" s="38" t="str">
        <f t="shared" si="32"/>
        <v>Too early</v>
      </c>
      <c r="K100" s="31" t="str">
        <f t="shared" si="49"/>
        <v>Too early</v>
      </c>
      <c r="L100" s="39">
        <f t="shared" si="33"/>
        <v>67350</v>
      </c>
      <c r="M100" s="32">
        <f t="shared" si="34"/>
        <v>103333</v>
      </c>
      <c r="N100" s="195">
        <f t="shared" si="35"/>
        <v>0.65177629605256793</v>
      </c>
      <c r="O100" s="31" t="str">
        <f t="shared" si="36"/>
        <v>Too early</v>
      </c>
      <c r="P100" s="241">
        <v>66</v>
      </c>
      <c r="Q100" s="400">
        <f t="shared" si="50"/>
        <v>562</v>
      </c>
      <c r="R100" s="206" t="str">
        <f>IF(B100&lt;7,(P100/VLOOKUP(B100,'Sales Pacing'!$A$23:$E$36,2)),"Too early")</f>
        <v>Too early</v>
      </c>
      <c r="S100" s="401" t="str">
        <f t="shared" si="51"/>
        <v>Too early</v>
      </c>
      <c r="T100" s="226">
        <v>4808</v>
      </c>
      <c r="U100" s="230">
        <v>60000</v>
      </c>
      <c r="V100" s="237">
        <f t="shared" si="37"/>
        <v>8.0133333333333334E-2</v>
      </c>
      <c r="W100" s="207" t="str">
        <f t="shared" si="41"/>
        <v>Too early</v>
      </c>
      <c r="X100" s="222">
        <v>740</v>
      </c>
      <c r="Y100" s="226">
        <v>62542</v>
      </c>
      <c r="Z100" s="230">
        <v>43333</v>
      </c>
      <c r="AA100" s="207">
        <f t="shared" si="38"/>
        <v>1.4432880252925022</v>
      </c>
      <c r="AB100" s="233">
        <v>1302</v>
      </c>
      <c r="AC100" s="207">
        <f t="shared" si="52"/>
        <v>0.61904761904761907</v>
      </c>
      <c r="AD100" s="208">
        <f t="shared" si="39"/>
        <v>83.560794044665016</v>
      </c>
      <c r="AE100" s="218"/>
      <c r="AF100" s="218"/>
      <c r="AG100" s="218"/>
      <c r="AH100" s="350">
        <v>66870</v>
      </c>
      <c r="AI100" s="354">
        <f t="shared" si="40"/>
        <v>480</v>
      </c>
    </row>
    <row r="101" spans="1:46" s="143" customFormat="1" x14ac:dyDescent="0.35">
      <c r="A101" s="143">
        <v>37</v>
      </c>
      <c r="B101" s="143">
        <f t="shared" si="30"/>
        <v>36</v>
      </c>
      <c r="C101" s="144">
        <v>46153</v>
      </c>
      <c r="D101" s="143" t="s">
        <v>99</v>
      </c>
      <c r="G101" s="144">
        <v>46158.833333333336</v>
      </c>
      <c r="H101" s="143" t="s">
        <v>57</v>
      </c>
      <c r="I101" s="37">
        <f t="shared" si="31"/>
        <v>738</v>
      </c>
      <c r="J101" s="38" t="str">
        <f t="shared" si="32"/>
        <v>Too early</v>
      </c>
      <c r="K101" s="31" t="str">
        <f t="shared" si="49"/>
        <v>Too early</v>
      </c>
      <c r="L101" s="39">
        <f t="shared" si="33"/>
        <v>62140</v>
      </c>
      <c r="M101" s="32">
        <f t="shared" si="34"/>
        <v>103334</v>
      </c>
      <c r="N101" s="195">
        <f t="shared" si="35"/>
        <v>0.60135095902607083</v>
      </c>
      <c r="O101" s="31" t="str">
        <f t="shared" si="36"/>
        <v>Too early</v>
      </c>
      <c r="P101" s="241">
        <v>68</v>
      </c>
      <c r="Q101" s="400">
        <f t="shared" si="50"/>
        <v>632</v>
      </c>
      <c r="R101" s="206" t="str">
        <f>IF(B101&lt;7,(P101/VLOOKUP(B101,'Sales Pacing'!$A$23:$E$36,2)),"Too early")</f>
        <v>Too early</v>
      </c>
      <c r="S101" s="401" t="str">
        <f t="shared" si="51"/>
        <v>Too early</v>
      </c>
      <c r="T101" s="226">
        <v>4810</v>
      </c>
      <c r="U101" s="230">
        <v>60000</v>
      </c>
      <c r="V101" s="237">
        <f t="shared" si="37"/>
        <v>8.0166666666666664E-2</v>
      </c>
      <c r="W101" s="207" t="str">
        <f t="shared" si="41"/>
        <v>Too early</v>
      </c>
      <c r="X101" s="222">
        <v>670</v>
      </c>
      <c r="Y101" s="226">
        <v>57330</v>
      </c>
      <c r="Z101" s="230">
        <v>43334</v>
      </c>
      <c r="AA101" s="207">
        <f t="shared" si="38"/>
        <v>1.3229796464669774</v>
      </c>
      <c r="AB101" s="233">
        <v>1302</v>
      </c>
      <c r="AC101" s="207">
        <f t="shared" si="52"/>
        <v>0.56682027649769584</v>
      </c>
      <c r="AD101" s="208">
        <f t="shared" si="39"/>
        <v>84.200542005420061</v>
      </c>
      <c r="AE101" s="218"/>
      <c r="AF101" s="218"/>
      <c r="AG101" s="218"/>
      <c r="AH101" s="350">
        <v>61446</v>
      </c>
      <c r="AI101" s="354">
        <f t="shared" si="40"/>
        <v>694</v>
      </c>
    </row>
    <row r="102" spans="1:46" s="147" customFormat="1" x14ac:dyDescent="0.35">
      <c r="A102" s="147">
        <v>37</v>
      </c>
      <c r="B102" s="147">
        <f t="shared" si="30"/>
        <v>36</v>
      </c>
      <c r="C102" s="148">
        <v>46153</v>
      </c>
      <c r="D102" s="147" t="s">
        <v>99</v>
      </c>
      <c r="G102" s="148">
        <v>46159.583333333336</v>
      </c>
      <c r="H102" s="147" t="s">
        <v>57</v>
      </c>
      <c r="I102" s="149">
        <f t="shared" si="31"/>
        <v>493</v>
      </c>
      <c r="J102" s="33" t="str">
        <f t="shared" si="32"/>
        <v>Too early</v>
      </c>
      <c r="K102" s="34" t="str">
        <f t="shared" si="49"/>
        <v>Too early</v>
      </c>
      <c r="L102" s="35">
        <f t="shared" si="33"/>
        <v>39232</v>
      </c>
      <c r="M102" s="36">
        <f t="shared" si="34"/>
        <v>103333</v>
      </c>
      <c r="N102" s="196">
        <f t="shared" si="35"/>
        <v>0.3796657408572286</v>
      </c>
      <c r="O102" s="34" t="str">
        <f t="shared" si="36"/>
        <v>Too early</v>
      </c>
      <c r="P102" s="243">
        <v>106</v>
      </c>
      <c r="Q102" s="400">
        <f t="shared" si="50"/>
        <v>915</v>
      </c>
      <c r="R102" s="209" t="str">
        <f>IF(B102&lt;7,(P102/VLOOKUP(B102,'Sales Pacing'!$A$23:$E$36,2)),"Too early")</f>
        <v>Too early</v>
      </c>
      <c r="S102" s="401" t="str">
        <f t="shared" si="51"/>
        <v>Too early</v>
      </c>
      <c r="T102" s="227">
        <v>8365</v>
      </c>
      <c r="U102" s="231">
        <v>60000</v>
      </c>
      <c r="V102" s="238">
        <f t="shared" si="37"/>
        <v>0.13941666666666666</v>
      </c>
      <c r="W102" s="210" t="str">
        <f t="shared" si="41"/>
        <v>Too early</v>
      </c>
      <c r="X102" s="223">
        <v>387</v>
      </c>
      <c r="Y102" s="227">
        <v>30867</v>
      </c>
      <c r="Z102" s="231">
        <v>43333</v>
      </c>
      <c r="AA102" s="210">
        <f t="shared" si="38"/>
        <v>0.71232086400664618</v>
      </c>
      <c r="AB102" s="234">
        <v>1302</v>
      </c>
      <c r="AC102" s="402">
        <f t="shared" si="52"/>
        <v>0.37864823348694315</v>
      </c>
      <c r="AD102" s="211">
        <f t="shared" si="39"/>
        <v>79.578093306288039</v>
      </c>
      <c r="AE102" s="219"/>
      <c r="AF102" s="219"/>
      <c r="AG102" s="219"/>
      <c r="AH102" s="352">
        <v>39232</v>
      </c>
      <c r="AI102" s="354">
        <f t="shared" si="40"/>
        <v>0</v>
      </c>
    </row>
    <row r="103" spans="1:46" s="186" customFormat="1" x14ac:dyDescent="0.35">
      <c r="A103" s="186">
        <v>38</v>
      </c>
      <c r="B103" s="186">
        <f t="shared" si="30"/>
        <v>37</v>
      </c>
      <c r="C103" s="187">
        <v>46160</v>
      </c>
      <c r="D103" s="186" t="s">
        <v>71</v>
      </c>
      <c r="G103" s="198"/>
      <c r="H103" s="199"/>
      <c r="I103" s="200">
        <f t="shared" si="31"/>
        <v>0</v>
      </c>
      <c r="J103" s="201" t="str">
        <f t="shared" si="32"/>
        <v>Too early</v>
      </c>
      <c r="K103" s="202"/>
      <c r="L103" s="203">
        <f t="shared" si="33"/>
        <v>0</v>
      </c>
      <c r="M103" s="204">
        <f t="shared" si="34"/>
        <v>0</v>
      </c>
      <c r="N103" s="205" t="e">
        <f t="shared" si="35"/>
        <v>#DIV/0!</v>
      </c>
      <c r="O103" s="202"/>
      <c r="P103" s="224"/>
      <c r="Q103" s="224"/>
      <c r="R103" s="212" t="str">
        <f>IF(B103&lt;7,(P103/VLOOKUP(B103,'Sales Pacing'!$A$23:$E$36,2)),"Too early")</f>
        <v>Too early</v>
      </c>
      <c r="S103" s="212"/>
      <c r="T103" s="228"/>
      <c r="U103" s="228"/>
      <c r="V103" s="239" t="str">
        <f t="shared" si="37"/>
        <v/>
      </c>
      <c r="W103" s="213"/>
      <c r="X103" s="224"/>
      <c r="Y103" s="228"/>
      <c r="Z103" s="228"/>
      <c r="AA103" s="213" t="s">
        <v>55</v>
      </c>
      <c r="AB103" s="224"/>
      <c r="AC103" s="213" t="e">
        <f t="shared" si="44"/>
        <v>#DIV/0!</v>
      </c>
      <c r="AD103" s="214" t="e">
        <f t="shared" si="39"/>
        <v>#DIV/0!</v>
      </c>
      <c r="AE103" s="220"/>
      <c r="AF103" s="220"/>
      <c r="AG103" s="220"/>
      <c r="AH103" s="351">
        <v>0</v>
      </c>
    </row>
    <row r="104" spans="1:46" s="297" customFormat="1" x14ac:dyDescent="0.35">
      <c r="A104" s="143">
        <v>38</v>
      </c>
      <c r="B104" s="143">
        <v>45</v>
      </c>
      <c r="C104" s="144">
        <v>46160</v>
      </c>
      <c r="D104" s="143" t="s">
        <v>100</v>
      </c>
      <c r="E104" s="143"/>
      <c r="F104" s="143"/>
      <c r="G104" s="144">
        <v>46163</v>
      </c>
      <c r="H104" s="143" t="s">
        <v>52</v>
      </c>
      <c r="I104" s="309">
        <f>P104+X104</f>
        <v>105</v>
      </c>
      <c r="J104" s="305" t="str">
        <f>IF(R104="Too early",R104,R104+X104)</f>
        <v>Too early</v>
      </c>
      <c r="K104" s="31" t="str">
        <f t="shared" ref="K104:K113" si="53">IF(J104="Too early",J104,J104/AB104)</f>
        <v>Too early</v>
      </c>
      <c r="L104" s="306">
        <f>T104+Y104</f>
        <v>8896</v>
      </c>
      <c r="M104" s="307">
        <f>U104+Z104</f>
        <v>112468</v>
      </c>
      <c r="N104" s="308">
        <f>L104/M104</f>
        <v>7.9098054557740868E-2</v>
      </c>
      <c r="O104" s="31" t="str">
        <f t="shared" si="36"/>
        <v>Too early</v>
      </c>
      <c r="P104" s="241">
        <v>105</v>
      </c>
      <c r="Q104" s="400">
        <f t="shared" ref="Q104:Q113" si="54">AB104-X104</f>
        <v>1590</v>
      </c>
      <c r="R104" s="206" t="str">
        <f>IF(B104&lt;7,(P104/VLOOKUP(B104,'Sales Pacing'!$A$23:$E$36,2)),"Too early")</f>
        <v>Too early</v>
      </c>
      <c r="S104" s="401" t="str">
        <f t="shared" ref="S104:S113" si="55">IF(R104="Too early","Too early",R104/Q104)</f>
        <v>Too early</v>
      </c>
      <c r="T104" s="226">
        <v>8896</v>
      </c>
      <c r="U104" s="230">
        <v>112468</v>
      </c>
      <c r="V104" s="237">
        <f>IF(T104&gt;0,T104/U104,"")</f>
        <v>7.9098054557740868E-2</v>
      </c>
      <c r="W104" s="207" t="str">
        <f t="shared" si="41"/>
        <v>Too early</v>
      </c>
      <c r="X104" s="222"/>
      <c r="Y104" s="226"/>
      <c r="Z104" s="230"/>
      <c r="AA104" s="207" t="str">
        <f t="shared" si="38"/>
        <v/>
      </c>
      <c r="AB104" s="233">
        <v>1590</v>
      </c>
      <c r="AC104" s="207"/>
      <c r="AD104" s="299">
        <f>L104/I104</f>
        <v>84.723809523809521</v>
      </c>
      <c r="AE104" s="218"/>
      <c r="AF104" s="218"/>
      <c r="AG104" s="218"/>
      <c r="AH104" s="350">
        <v>8896</v>
      </c>
      <c r="AI104" s="354">
        <f t="shared" si="40"/>
        <v>0</v>
      </c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</row>
    <row r="105" spans="1:46" s="297" customFormat="1" x14ac:dyDescent="0.35">
      <c r="A105" s="147">
        <v>38</v>
      </c>
      <c r="B105" s="147">
        <v>45</v>
      </c>
      <c r="C105" s="148">
        <v>46160</v>
      </c>
      <c r="D105" s="147" t="s">
        <v>100</v>
      </c>
      <c r="E105" s="147"/>
      <c r="F105" s="147"/>
      <c r="G105" s="148">
        <v>46164</v>
      </c>
      <c r="H105" s="147" t="s">
        <v>52</v>
      </c>
      <c r="I105" s="293">
        <f>P105+X105</f>
        <v>173</v>
      </c>
      <c r="J105" s="293" t="str">
        <f>IF(R105="Too early",R105,R105+X105)</f>
        <v>Too early</v>
      </c>
      <c r="K105" s="34" t="str">
        <f t="shared" si="53"/>
        <v>Too early</v>
      </c>
      <c r="L105" s="294">
        <f>T105+Y105</f>
        <v>15962</v>
      </c>
      <c r="M105" s="299">
        <f>U105+Z105</f>
        <v>112468</v>
      </c>
      <c r="N105" s="295">
        <f>L105/M105</f>
        <v>0.14192481416936373</v>
      </c>
      <c r="O105" s="34" t="str">
        <f t="shared" si="36"/>
        <v>Too early</v>
      </c>
      <c r="P105" s="243">
        <v>173</v>
      </c>
      <c r="Q105" s="400">
        <f t="shared" si="54"/>
        <v>1590</v>
      </c>
      <c r="R105" s="209" t="str">
        <f>IF(B105&lt;7,(P105/VLOOKUP(B105,'Sales Pacing'!$A$23:$E$36,2)),"Too early")</f>
        <v>Too early</v>
      </c>
      <c r="S105" s="401" t="str">
        <f t="shared" si="55"/>
        <v>Too early</v>
      </c>
      <c r="T105" s="227">
        <v>15962</v>
      </c>
      <c r="U105" s="231">
        <v>112468</v>
      </c>
      <c r="V105" s="238">
        <f>IF(T105&gt;0,T105/U105,"")</f>
        <v>0.14192481416936373</v>
      </c>
      <c r="W105" s="210" t="str">
        <f t="shared" si="41"/>
        <v>Too early</v>
      </c>
      <c r="X105" s="223"/>
      <c r="Y105" s="227"/>
      <c r="Z105" s="231"/>
      <c r="AA105" s="210" t="str">
        <f t="shared" si="38"/>
        <v/>
      </c>
      <c r="AB105" s="234">
        <v>1590</v>
      </c>
      <c r="AC105" s="210"/>
      <c r="AD105" s="299">
        <f>L105/I105</f>
        <v>92.265895953757223</v>
      </c>
      <c r="AE105" s="219"/>
      <c r="AF105" s="219"/>
      <c r="AG105" s="219"/>
      <c r="AH105" s="350">
        <v>13502</v>
      </c>
      <c r="AI105" s="354">
        <f t="shared" si="40"/>
        <v>2460</v>
      </c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</row>
    <row r="106" spans="1:46" s="143" customFormat="1" x14ac:dyDescent="0.35">
      <c r="A106" s="143">
        <v>39</v>
      </c>
      <c r="B106" s="143">
        <f t="shared" si="30"/>
        <v>38</v>
      </c>
      <c r="C106" s="144">
        <v>46167</v>
      </c>
      <c r="D106" s="143" t="s">
        <v>101</v>
      </c>
      <c r="G106" s="144">
        <v>46170.833333333336</v>
      </c>
      <c r="H106" s="143" t="s">
        <v>68</v>
      </c>
      <c r="I106" s="37">
        <f t="shared" si="31"/>
        <v>17</v>
      </c>
      <c r="J106" s="38" t="str">
        <f t="shared" si="32"/>
        <v>Too early</v>
      </c>
      <c r="K106" s="31" t="str">
        <f t="shared" si="53"/>
        <v>Too early</v>
      </c>
      <c r="L106" s="39">
        <f t="shared" si="33"/>
        <v>1680</v>
      </c>
      <c r="M106" s="32">
        <v>9000</v>
      </c>
      <c r="N106" s="195">
        <f t="shared" si="35"/>
        <v>0.18666666666666668</v>
      </c>
      <c r="O106" s="31" t="str">
        <f t="shared" si="36"/>
        <v>Too early</v>
      </c>
      <c r="P106" s="222">
        <v>17</v>
      </c>
      <c r="Q106" s="400">
        <f t="shared" si="54"/>
        <v>100</v>
      </c>
      <c r="R106" s="206" t="str">
        <f>IF(B106&lt;7,(P106/VLOOKUP(B106,'Sales Pacing'!$A$23:$E$36,2)),"Too early")</f>
        <v>Too early</v>
      </c>
      <c r="S106" s="401" t="str">
        <f t="shared" si="55"/>
        <v>Too early</v>
      </c>
      <c r="T106" s="226">
        <v>1680</v>
      </c>
      <c r="U106" s="230">
        <v>9000</v>
      </c>
      <c r="V106" s="237">
        <f t="shared" si="37"/>
        <v>0.18666666666666668</v>
      </c>
      <c r="W106" s="207" t="str">
        <f t="shared" si="41"/>
        <v>Too early</v>
      </c>
      <c r="X106" s="222"/>
      <c r="Y106" s="226"/>
      <c r="Z106" s="230"/>
      <c r="AA106" s="207" t="str">
        <f t="shared" si="38"/>
        <v/>
      </c>
      <c r="AB106" s="233">
        <v>100</v>
      </c>
      <c r="AC106" s="207">
        <f t="shared" si="44"/>
        <v>0.17</v>
      </c>
      <c r="AD106" s="208">
        <f t="shared" si="39"/>
        <v>98.82352941176471</v>
      </c>
      <c r="AE106" s="218"/>
      <c r="AF106" s="218"/>
      <c r="AG106" s="218"/>
      <c r="AH106" s="350">
        <v>1680</v>
      </c>
      <c r="AI106" s="354">
        <f t="shared" si="40"/>
        <v>0</v>
      </c>
    </row>
    <row r="107" spans="1:46" s="143" customFormat="1" x14ac:dyDescent="0.35">
      <c r="A107" s="143">
        <v>39</v>
      </c>
      <c r="B107" s="143">
        <f t="shared" si="30"/>
        <v>38</v>
      </c>
      <c r="C107" s="144">
        <v>46167</v>
      </c>
      <c r="D107" s="143" t="s">
        <v>102</v>
      </c>
      <c r="G107" s="144">
        <v>46171.833333333336</v>
      </c>
      <c r="H107" s="143" t="s">
        <v>62</v>
      </c>
      <c r="I107" s="37">
        <f t="shared" si="31"/>
        <v>606</v>
      </c>
      <c r="J107" s="38" t="str">
        <f t="shared" si="32"/>
        <v>Too early</v>
      </c>
      <c r="K107" s="31" t="str">
        <f t="shared" si="53"/>
        <v>Too early</v>
      </c>
      <c r="L107" s="39">
        <f t="shared" si="33"/>
        <v>39072</v>
      </c>
      <c r="M107" s="32">
        <f t="shared" si="34"/>
        <v>51666</v>
      </c>
      <c r="N107" s="195">
        <f t="shared" si="35"/>
        <v>0.75624201602601326</v>
      </c>
      <c r="O107" s="31" t="str">
        <f t="shared" si="36"/>
        <v>Too early</v>
      </c>
      <c r="P107" s="241">
        <v>42</v>
      </c>
      <c r="Q107" s="400">
        <f t="shared" si="54"/>
        <v>1026</v>
      </c>
      <c r="R107" s="206" t="str">
        <f>IF(B107&lt;7,(P107/VLOOKUP(B107,'Sales Pacing'!$A$23:$E$36,2)),"Too early")</f>
        <v>Too early</v>
      </c>
      <c r="S107" s="401" t="str">
        <f t="shared" si="55"/>
        <v>Too early</v>
      </c>
      <c r="T107" s="226">
        <v>1236</v>
      </c>
      <c r="U107" s="230">
        <v>20000</v>
      </c>
      <c r="V107" s="237">
        <f t="shared" si="37"/>
        <v>6.1800000000000001E-2</v>
      </c>
      <c r="W107" s="207" t="str">
        <f t="shared" si="41"/>
        <v>Too early</v>
      </c>
      <c r="X107" s="222">
        <v>564</v>
      </c>
      <c r="Y107" s="226">
        <v>37836</v>
      </c>
      <c r="Z107" s="230">
        <v>31666</v>
      </c>
      <c r="AA107" s="207">
        <f t="shared" si="38"/>
        <v>1.1948462072885746</v>
      </c>
      <c r="AB107" s="233">
        <v>1590</v>
      </c>
      <c r="AC107" s="207">
        <f t="shared" si="44"/>
        <v>0.38113207547169814</v>
      </c>
      <c r="AD107" s="208">
        <f t="shared" si="39"/>
        <v>64.475247524752476</v>
      </c>
      <c r="AE107" s="218"/>
      <c r="AF107" s="218"/>
      <c r="AG107" s="218"/>
      <c r="AH107" s="350">
        <v>38803.300000000003</v>
      </c>
      <c r="AI107" s="354">
        <f t="shared" si="40"/>
        <v>268.69999999999709</v>
      </c>
    </row>
    <row r="108" spans="1:46" s="143" customFormat="1" x14ac:dyDescent="0.35">
      <c r="A108" s="143">
        <v>39</v>
      </c>
      <c r="B108" s="143">
        <f t="shared" si="30"/>
        <v>38</v>
      </c>
      <c r="C108" s="144">
        <v>46167</v>
      </c>
      <c r="D108" s="143" t="s">
        <v>103</v>
      </c>
      <c r="G108" s="144">
        <v>46172.833333333336</v>
      </c>
      <c r="H108" s="143" t="s">
        <v>62</v>
      </c>
      <c r="I108" s="37">
        <f t="shared" si="31"/>
        <v>610</v>
      </c>
      <c r="J108" s="38" t="str">
        <f t="shared" si="32"/>
        <v>Too early</v>
      </c>
      <c r="K108" s="31" t="str">
        <f t="shared" si="53"/>
        <v>Too early</v>
      </c>
      <c r="L108" s="39">
        <f t="shared" si="33"/>
        <v>38345</v>
      </c>
      <c r="M108" s="32">
        <f t="shared" si="34"/>
        <v>51667</v>
      </c>
      <c r="N108" s="195">
        <f t="shared" si="35"/>
        <v>0.74215650221611473</v>
      </c>
      <c r="O108" s="31" t="str">
        <f t="shared" si="36"/>
        <v>Too early</v>
      </c>
      <c r="P108" s="241">
        <v>45</v>
      </c>
      <c r="Q108" s="400">
        <f t="shared" si="54"/>
        <v>1025</v>
      </c>
      <c r="R108" s="206" t="str">
        <f>IF(B108&lt;7,(P108/VLOOKUP(B108,'Sales Pacing'!$A$23:$E$36,2)),"Too early")</f>
        <v>Too early</v>
      </c>
      <c r="S108" s="401" t="str">
        <f t="shared" si="55"/>
        <v>Too early</v>
      </c>
      <c r="T108" s="226">
        <v>1485</v>
      </c>
      <c r="U108" s="230">
        <v>20000</v>
      </c>
      <c r="V108" s="237">
        <f t="shared" si="37"/>
        <v>7.4249999999999997E-2</v>
      </c>
      <c r="W108" s="207" t="str">
        <f t="shared" si="41"/>
        <v>Too early</v>
      </c>
      <c r="X108" s="222">
        <v>565</v>
      </c>
      <c r="Y108" s="226">
        <v>36860</v>
      </c>
      <c r="Z108" s="230">
        <v>31667</v>
      </c>
      <c r="AA108" s="207">
        <f t="shared" si="38"/>
        <v>1.1639877474973948</v>
      </c>
      <c r="AB108" s="233">
        <v>1590</v>
      </c>
      <c r="AC108" s="207">
        <f t="shared" si="44"/>
        <v>0.38364779874213839</v>
      </c>
      <c r="AD108" s="208">
        <f t="shared" si="39"/>
        <v>62.860655737704917</v>
      </c>
      <c r="AE108" s="218"/>
      <c r="AF108" s="218"/>
      <c r="AG108" s="218"/>
      <c r="AH108" s="350">
        <v>38191</v>
      </c>
      <c r="AI108" s="354">
        <f t="shared" si="40"/>
        <v>154</v>
      </c>
    </row>
    <row r="109" spans="1:46" s="147" customFormat="1" x14ac:dyDescent="0.35">
      <c r="A109" s="147">
        <v>39</v>
      </c>
      <c r="B109" s="147">
        <f t="shared" si="30"/>
        <v>38</v>
      </c>
      <c r="C109" s="148">
        <v>46167</v>
      </c>
      <c r="D109" s="147" t="s">
        <v>104</v>
      </c>
      <c r="G109" s="148">
        <v>46173.583333333336</v>
      </c>
      <c r="H109" s="147" t="s">
        <v>62</v>
      </c>
      <c r="I109" s="149">
        <f t="shared" si="31"/>
        <v>625</v>
      </c>
      <c r="J109" s="33" t="str">
        <f t="shared" si="32"/>
        <v>Too early</v>
      </c>
      <c r="K109" s="34" t="str">
        <f t="shared" si="53"/>
        <v>Too early</v>
      </c>
      <c r="L109" s="35">
        <f t="shared" si="33"/>
        <v>39402.5</v>
      </c>
      <c r="M109" s="36">
        <f t="shared" si="34"/>
        <v>51667</v>
      </c>
      <c r="N109" s="196">
        <f t="shared" si="35"/>
        <v>0.76262411210250258</v>
      </c>
      <c r="O109" s="34" t="str">
        <f t="shared" si="36"/>
        <v>Too early</v>
      </c>
      <c r="P109" s="243">
        <v>64</v>
      </c>
      <c r="Q109" s="400">
        <f t="shared" si="54"/>
        <v>1029</v>
      </c>
      <c r="R109" s="209" t="str">
        <f>IF(B109&lt;7,(P109/VLOOKUP(B109,'Sales Pacing'!$A$23:$E$36,2)),"Too early")</f>
        <v>Too early</v>
      </c>
      <c r="S109" s="401" t="str">
        <f t="shared" si="55"/>
        <v>Too early</v>
      </c>
      <c r="T109" s="227">
        <v>2881</v>
      </c>
      <c r="U109" s="231">
        <v>20000</v>
      </c>
      <c r="V109" s="238">
        <f t="shared" si="37"/>
        <v>0.14405000000000001</v>
      </c>
      <c r="W109" s="210" t="str">
        <f t="shared" si="41"/>
        <v>Too early</v>
      </c>
      <c r="X109" s="223">
        <v>561</v>
      </c>
      <c r="Y109" s="227">
        <v>36521.5</v>
      </c>
      <c r="Z109" s="231">
        <v>31667</v>
      </c>
      <c r="AA109" s="210">
        <f t="shared" si="38"/>
        <v>1.1532983863327755</v>
      </c>
      <c r="AB109" s="234">
        <v>1590</v>
      </c>
      <c r="AC109" s="210">
        <f t="shared" si="44"/>
        <v>0.39308176100628933</v>
      </c>
      <c r="AD109" s="211">
        <f t="shared" si="39"/>
        <v>63.043999999999997</v>
      </c>
      <c r="AE109" s="219"/>
      <c r="AF109" s="219"/>
      <c r="AG109" s="219"/>
      <c r="AH109" s="352">
        <v>39100.5</v>
      </c>
      <c r="AI109" s="354">
        <f t="shared" si="40"/>
        <v>302</v>
      </c>
    </row>
    <row r="110" spans="1:46" s="143" customFormat="1" x14ac:dyDescent="0.35">
      <c r="A110" s="143">
        <v>40</v>
      </c>
      <c r="B110" s="143">
        <f t="shared" si="30"/>
        <v>39</v>
      </c>
      <c r="C110" s="144">
        <v>46174</v>
      </c>
      <c r="D110" s="143" t="s">
        <v>105</v>
      </c>
      <c r="G110" s="144">
        <v>46177.833333333336</v>
      </c>
      <c r="H110" s="143" t="s">
        <v>68</v>
      </c>
      <c r="I110" s="37">
        <f t="shared" si="31"/>
        <v>20</v>
      </c>
      <c r="J110" s="38" t="str">
        <f t="shared" si="32"/>
        <v>Too early</v>
      </c>
      <c r="K110" s="31" t="str">
        <f t="shared" si="53"/>
        <v>Too early</v>
      </c>
      <c r="L110" s="39">
        <f t="shared" si="33"/>
        <v>2100</v>
      </c>
      <c r="M110" s="32">
        <v>9000</v>
      </c>
      <c r="N110" s="195">
        <f t="shared" si="35"/>
        <v>0.23333333333333334</v>
      </c>
      <c r="O110" s="31" t="str">
        <f t="shared" si="36"/>
        <v>Too early</v>
      </c>
      <c r="P110" s="222">
        <v>20</v>
      </c>
      <c r="Q110" s="400">
        <f t="shared" si="54"/>
        <v>100</v>
      </c>
      <c r="R110" s="206" t="str">
        <f>IF(B110&lt;7,(P110/VLOOKUP(B110,'Sales Pacing'!$A$23:$E$36,2)),"Too early")</f>
        <v>Too early</v>
      </c>
      <c r="S110" s="401" t="str">
        <f t="shared" si="55"/>
        <v>Too early</v>
      </c>
      <c r="T110" s="226">
        <v>2100</v>
      </c>
      <c r="U110" s="230">
        <v>9000</v>
      </c>
      <c r="V110" s="237">
        <f t="shared" si="37"/>
        <v>0.23333333333333334</v>
      </c>
      <c r="W110" s="207" t="str">
        <f t="shared" si="41"/>
        <v>Too early</v>
      </c>
      <c r="X110" s="222"/>
      <c r="Y110" s="226"/>
      <c r="Z110" s="230"/>
      <c r="AA110" s="207" t="str">
        <f t="shared" si="38"/>
        <v/>
      </c>
      <c r="AB110" s="233">
        <v>100</v>
      </c>
      <c r="AC110" s="207">
        <f t="shared" si="44"/>
        <v>0.2</v>
      </c>
      <c r="AD110" s="208">
        <f t="shared" si="39"/>
        <v>105</v>
      </c>
      <c r="AE110" s="218"/>
      <c r="AF110" s="218"/>
      <c r="AG110" s="218"/>
      <c r="AH110" s="350">
        <v>2100</v>
      </c>
      <c r="AI110" s="354">
        <f t="shared" si="40"/>
        <v>0</v>
      </c>
    </row>
    <row r="111" spans="1:46" s="143" customFormat="1" x14ac:dyDescent="0.35">
      <c r="A111" s="143">
        <v>40</v>
      </c>
      <c r="B111" s="143">
        <f t="shared" si="30"/>
        <v>39</v>
      </c>
      <c r="C111" s="144">
        <v>46174</v>
      </c>
      <c r="D111" s="143" t="s">
        <v>106</v>
      </c>
      <c r="G111" s="144">
        <v>46178.833333333336</v>
      </c>
      <c r="H111" s="143" t="s">
        <v>62</v>
      </c>
      <c r="I111" s="37">
        <f t="shared" si="31"/>
        <v>625</v>
      </c>
      <c r="J111" s="38" t="str">
        <f t="shared" si="32"/>
        <v>Too early</v>
      </c>
      <c r="K111" s="31" t="str">
        <f t="shared" si="53"/>
        <v>Too early</v>
      </c>
      <c r="L111" s="39">
        <f t="shared" si="33"/>
        <v>41287</v>
      </c>
      <c r="M111" s="32">
        <f t="shared" si="34"/>
        <v>66666</v>
      </c>
      <c r="N111" s="195">
        <f t="shared" si="35"/>
        <v>0.61931119311193117</v>
      </c>
      <c r="O111" s="31" t="str">
        <f t="shared" si="36"/>
        <v>Too early</v>
      </c>
      <c r="P111" s="241">
        <v>47</v>
      </c>
      <c r="Q111" s="400">
        <f t="shared" si="54"/>
        <v>1012</v>
      </c>
      <c r="R111" s="206" t="str">
        <f>IF(B111&lt;7,(P111/VLOOKUP(B111,'Sales Pacing'!$A$23:$E$36,2)),"Too early")</f>
        <v>Too early</v>
      </c>
      <c r="S111" s="401" t="str">
        <f t="shared" si="55"/>
        <v>Too early</v>
      </c>
      <c r="T111" s="226">
        <v>2422</v>
      </c>
      <c r="U111" s="230">
        <v>30000</v>
      </c>
      <c r="V111" s="237">
        <f t="shared" si="37"/>
        <v>8.0733333333333338E-2</v>
      </c>
      <c r="W111" s="207" t="str">
        <f t="shared" si="41"/>
        <v>Too early</v>
      </c>
      <c r="X111" s="222">
        <v>578</v>
      </c>
      <c r="Y111" s="226">
        <v>38865</v>
      </c>
      <c r="Z111" s="230">
        <v>36666</v>
      </c>
      <c r="AA111" s="207">
        <f t="shared" si="38"/>
        <v>1.0599738177057765</v>
      </c>
      <c r="AB111" s="233">
        <v>1590</v>
      </c>
      <c r="AC111" s="207">
        <f t="shared" si="44"/>
        <v>0.39308176100628933</v>
      </c>
      <c r="AD111" s="208">
        <f t="shared" si="39"/>
        <v>66.059200000000004</v>
      </c>
      <c r="AE111" s="218"/>
      <c r="AF111" s="218"/>
      <c r="AG111" s="218"/>
      <c r="AH111" s="350">
        <v>40824.300000000003</v>
      </c>
      <c r="AI111" s="354">
        <f t="shared" si="40"/>
        <v>462.69999999999709</v>
      </c>
    </row>
    <row r="112" spans="1:46" s="143" customFormat="1" x14ac:dyDescent="0.35">
      <c r="A112" s="143">
        <v>40</v>
      </c>
      <c r="B112" s="143">
        <f t="shared" si="30"/>
        <v>39</v>
      </c>
      <c r="C112" s="144">
        <v>46174</v>
      </c>
      <c r="D112" s="143" t="s">
        <v>106</v>
      </c>
      <c r="G112" s="144">
        <v>46179.833333333336</v>
      </c>
      <c r="H112" s="143" t="s">
        <v>62</v>
      </c>
      <c r="I112" s="37">
        <f t="shared" si="31"/>
        <v>671</v>
      </c>
      <c r="J112" s="38" t="str">
        <f t="shared" si="32"/>
        <v>Too early</v>
      </c>
      <c r="K112" s="31" t="str">
        <f t="shared" si="53"/>
        <v>Too early</v>
      </c>
      <c r="L112" s="39">
        <f t="shared" si="33"/>
        <v>44841.9</v>
      </c>
      <c r="M112" s="32">
        <f t="shared" si="34"/>
        <v>66667</v>
      </c>
      <c r="N112" s="195">
        <f t="shared" si="35"/>
        <v>0.67262513687431569</v>
      </c>
      <c r="O112" s="31" t="str">
        <f t="shared" si="36"/>
        <v>Too early</v>
      </c>
      <c r="P112" s="241">
        <v>72</v>
      </c>
      <c r="Q112" s="400">
        <f t="shared" si="54"/>
        <v>991</v>
      </c>
      <c r="R112" s="206" t="str">
        <f>IF(B112&lt;7,(P112/VLOOKUP(B112,'Sales Pacing'!$A$23:$E$36,2)),"Too early")</f>
        <v>Too early</v>
      </c>
      <c r="S112" s="401" t="str">
        <f t="shared" si="55"/>
        <v>Too early</v>
      </c>
      <c r="T112" s="226">
        <v>4136</v>
      </c>
      <c r="U112" s="230">
        <v>30000</v>
      </c>
      <c r="V112" s="237">
        <f t="shared" si="37"/>
        <v>0.13786666666666667</v>
      </c>
      <c r="W112" s="207" t="str">
        <f t="shared" si="41"/>
        <v>Too early</v>
      </c>
      <c r="X112" s="222">
        <v>599</v>
      </c>
      <c r="Y112" s="226">
        <v>40705.9</v>
      </c>
      <c r="Z112" s="230">
        <v>36667</v>
      </c>
      <c r="AA112" s="207">
        <f t="shared" si="38"/>
        <v>1.1101508168107563</v>
      </c>
      <c r="AB112" s="233">
        <v>1590</v>
      </c>
      <c r="AC112" s="207">
        <f t="shared" si="44"/>
        <v>0.42201257861635222</v>
      </c>
      <c r="AD112" s="208">
        <f t="shared" si="39"/>
        <v>66.828464977645311</v>
      </c>
      <c r="AE112" s="218"/>
      <c r="AF112" s="218"/>
      <c r="AG112" s="218"/>
      <c r="AH112" s="350">
        <v>44284.9</v>
      </c>
      <c r="AI112" s="354">
        <f t="shared" si="40"/>
        <v>557</v>
      </c>
    </row>
    <row r="113" spans="1:35" s="147" customFormat="1" x14ac:dyDescent="0.35">
      <c r="A113" s="147">
        <v>40</v>
      </c>
      <c r="B113" s="147">
        <f t="shared" si="30"/>
        <v>39</v>
      </c>
      <c r="C113" s="148">
        <v>46174</v>
      </c>
      <c r="D113" s="147" t="s">
        <v>106</v>
      </c>
      <c r="G113" s="148">
        <v>46180.583333333336</v>
      </c>
      <c r="H113" s="147" t="s">
        <v>62</v>
      </c>
      <c r="I113" s="149">
        <f t="shared" si="31"/>
        <v>710</v>
      </c>
      <c r="J113" s="33" t="str">
        <f t="shared" si="32"/>
        <v>Too early</v>
      </c>
      <c r="K113" s="34" t="str">
        <f t="shared" si="53"/>
        <v>Too early</v>
      </c>
      <c r="L113" s="35">
        <f t="shared" si="33"/>
        <v>45381.599999999999</v>
      </c>
      <c r="M113" s="36">
        <f t="shared" si="34"/>
        <v>66667</v>
      </c>
      <c r="N113" s="196">
        <f t="shared" si="35"/>
        <v>0.68072059639701799</v>
      </c>
      <c r="O113" s="34" t="str">
        <f t="shared" si="36"/>
        <v>Too early</v>
      </c>
      <c r="P113" s="243">
        <v>80</v>
      </c>
      <c r="Q113" s="400">
        <f t="shared" si="54"/>
        <v>960</v>
      </c>
      <c r="R113" s="209" t="str">
        <f>IF(B113&lt;7,(P113/VLOOKUP(B113,'Sales Pacing'!$A$23:$E$36,2)),"Too early")</f>
        <v>Too early</v>
      </c>
      <c r="S113" s="401" t="str">
        <f t="shared" si="55"/>
        <v>Too early</v>
      </c>
      <c r="T113" s="227">
        <v>4749</v>
      </c>
      <c r="U113" s="231">
        <v>30000</v>
      </c>
      <c r="V113" s="238">
        <f t="shared" si="37"/>
        <v>0.1583</v>
      </c>
      <c r="W113" s="210" t="str">
        <f t="shared" si="41"/>
        <v>Too early</v>
      </c>
      <c r="X113" s="223">
        <v>630</v>
      </c>
      <c r="Y113" s="227">
        <v>40632.6</v>
      </c>
      <c r="Z113" s="231">
        <v>36667</v>
      </c>
      <c r="AA113" s="210">
        <f t="shared" si="38"/>
        <v>1.1081517440750539</v>
      </c>
      <c r="AB113" s="234">
        <v>1590</v>
      </c>
      <c r="AC113" s="210">
        <f t="shared" si="44"/>
        <v>0.44654088050314467</v>
      </c>
      <c r="AD113" s="211">
        <f t="shared" si="39"/>
        <v>63.917746478873241</v>
      </c>
      <c r="AE113" s="219"/>
      <c r="AF113" s="219"/>
      <c r="AG113" s="219"/>
      <c r="AH113" s="352">
        <v>44558.6</v>
      </c>
      <c r="AI113" s="354">
        <f t="shared" si="40"/>
        <v>823</v>
      </c>
    </row>
    <row r="114" spans="1:35" s="186" customFormat="1" x14ac:dyDescent="0.35">
      <c r="A114" s="186">
        <v>41</v>
      </c>
      <c r="B114" s="186">
        <f t="shared" si="30"/>
        <v>40</v>
      </c>
      <c r="C114" s="187">
        <v>46181</v>
      </c>
      <c r="D114" s="186" t="s">
        <v>71</v>
      </c>
      <c r="G114" s="198"/>
      <c r="H114" s="199"/>
      <c r="I114" s="200">
        <f t="shared" si="31"/>
        <v>0</v>
      </c>
      <c r="J114" s="201" t="str">
        <f t="shared" si="32"/>
        <v>Too early</v>
      </c>
      <c r="K114" s="202"/>
      <c r="L114" s="203">
        <f t="shared" si="33"/>
        <v>0</v>
      </c>
      <c r="M114" s="204">
        <f t="shared" si="34"/>
        <v>0</v>
      </c>
      <c r="N114" s="205" t="e">
        <f t="shared" si="35"/>
        <v>#DIV/0!</v>
      </c>
      <c r="O114" s="202"/>
      <c r="P114" s="224"/>
      <c r="Q114" s="224"/>
      <c r="R114" s="212" t="str">
        <f>IF(B114&lt;7,(P114/VLOOKUP(B114,'Sales Pacing'!$A$23:$E$36,2)),"Too early")</f>
        <v>Too early</v>
      </c>
      <c r="S114" s="212"/>
      <c r="T114" s="228"/>
      <c r="U114" s="228"/>
      <c r="V114" s="239" t="str">
        <f t="shared" si="37"/>
        <v/>
      </c>
      <c r="W114" s="213"/>
      <c r="X114" s="224"/>
      <c r="Y114" s="228"/>
      <c r="Z114" s="228"/>
      <c r="AA114" s="213" t="s">
        <v>55</v>
      </c>
      <c r="AB114" s="224"/>
      <c r="AC114" s="213" t="e">
        <f t="shared" si="44"/>
        <v>#DIV/0!</v>
      </c>
      <c r="AD114" s="214" t="e">
        <f t="shared" si="39"/>
        <v>#DIV/0!</v>
      </c>
      <c r="AE114" s="220"/>
      <c r="AF114" s="220"/>
      <c r="AG114" s="220"/>
      <c r="AH114" s="351">
        <v>0</v>
      </c>
    </row>
    <row r="115" spans="1:35" s="143" customFormat="1" x14ac:dyDescent="0.35">
      <c r="A115" s="143">
        <v>42</v>
      </c>
      <c r="B115" s="143">
        <f t="shared" si="30"/>
        <v>41</v>
      </c>
      <c r="C115" s="177">
        <v>46188</v>
      </c>
      <c r="D115" s="178" t="s">
        <v>107</v>
      </c>
      <c r="E115" s="178"/>
      <c r="F115" s="178"/>
      <c r="G115" s="177">
        <v>46192.833333333336</v>
      </c>
      <c r="H115" s="178" t="s">
        <v>62</v>
      </c>
      <c r="I115" s="37">
        <f t="shared" si="31"/>
        <v>455</v>
      </c>
      <c r="J115" s="38" t="str">
        <f t="shared" si="32"/>
        <v>Too early</v>
      </c>
      <c r="K115" s="31" t="str">
        <f>IF(J115="Too early",J115,J115/AB115)</f>
        <v>Too early</v>
      </c>
      <c r="L115" s="39">
        <f t="shared" si="33"/>
        <v>30788</v>
      </c>
      <c r="M115" s="32">
        <f t="shared" si="34"/>
        <v>60000</v>
      </c>
      <c r="N115" s="195">
        <f t="shared" si="35"/>
        <v>0.51313333333333333</v>
      </c>
      <c r="O115" s="31" t="str">
        <f t="shared" si="36"/>
        <v>Too early</v>
      </c>
      <c r="P115" s="241">
        <v>77</v>
      </c>
      <c r="Q115" s="400">
        <f>AB115-X115</f>
        <v>1212</v>
      </c>
      <c r="R115" s="206" t="str">
        <f>IF(B115&lt;7,(P115/VLOOKUP(B115,'Sales Pacing'!$A$23:$E$36,2)),"Too early")</f>
        <v>Too early</v>
      </c>
      <c r="S115" s="401" t="str">
        <f>IF(R115="Too early","Too early",R115/Q115)</f>
        <v>Too early</v>
      </c>
      <c r="T115" s="226">
        <v>4547</v>
      </c>
      <c r="U115" s="230">
        <v>30000</v>
      </c>
      <c r="V115" s="237">
        <f t="shared" si="37"/>
        <v>0.15156666666666666</v>
      </c>
      <c r="W115" s="207" t="str">
        <f t="shared" si="41"/>
        <v>Too early</v>
      </c>
      <c r="X115" s="222">
        <v>378</v>
      </c>
      <c r="Y115" s="226">
        <v>26241</v>
      </c>
      <c r="Z115" s="230">
        <v>30000</v>
      </c>
      <c r="AA115" s="207">
        <f t="shared" si="38"/>
        <v>0.87470000000000003</v>
      </c>
      <c r="AB115" s="233">
        <v>1590</v>
      </c>
      <c r="AC115" s="207">
        <f t="shared" si="44"/>
        <v>0.28616352201257861</v>
      </c>
      <c r="AD115" s="208">
        <f t="shared" si="39"/>
        <v>67.665934065934067</v>
      </c>
      <c r="AE115" s="218"/>
      <c r="AF115" s="218"/>
      <c r="AG115" s="218"/>
      <c r="AH115" s="350">
        <v>30715</v>
      </c>
      <c r="AI115" s="354">
        <f t="shared" si="40"/>
        <v>73</v>
      </c>
    </row>
    <row r="116" spans="1:35" s="143" customFormat="1" x14ac:dyDescent="0.35">
      <c r="A116" s="143">
        <v>42</v>
      </c>
      <c r="B116" s="143">
        <f t="shared" si="30"/>
        <v>41</v>
      </c>
      <c r="C116" s="144">
        <v>46188</v>
      </c>
      <c r="D116" s="143" t="s">
        <v>107</v>
      </c>
      <c r="G116" s="144">
        <v>46193.833333333336</v>
      </c>
      <c r="H116" s="143" t="s">
        <v>62</v>
      </c>
      <c r="I116" s="37">
        <f t="shared" si="31"/>
        <v>755</v>
      </c>
      <c r="J116" s="38" t="str">
        <f t="shared" si="32"/>
        <v>Too early</v>
      </c>
      <c r="K116" s="31" t="str">
        <f>IF(J116="Too early",J116,J116/AB116)</f>
        <v>Too early</v>
      </c>
      <c r="L116" s="39">
        <f t="shared" si="33"/>
        <v>48511</v>
      </c>
      <c r="M116" s="32">
        <f t="shared" si="34"/>
        <v>70000</v>
      </c>
      <c r="N116" s="195">
        <f t="shared" si="35"/>
        <v>0.69301428571428569</v>
      </c>
      <c r="O116" s="31" t="str">
        <f t="shared" si="36"/>
        <v>Too early</v>
      </c>
      <c r="P116" s="241">
        <v>175</v>
      </c>
      <c r="Q116" s="400">
        <f>AB116-X116</f>
        <v>1010</v>
      </c>
      <c r="R116" s="206" t="str">
        <f>IF(B116&lt;7,(P116/VLOOKUP(B116,'Sales Pacing'!$A$23:$E$36,2)),"Too early")</f>
        <v>Too early</v>
      </c>
      <c r="S116" s="401" t="str">
        <f>IF(R116="Too early","Too early",R116/Q116)</f>
        <v>Too early</v>
      </c>
      <c r="T116" s="226">
        <v>10702</v>
      </c>
      <c r="U116" s="230">
        <v>27500</v>
      </c>
      <c r="V116" s="237">
        <f t="shared" si="37"/>
        <v>0.38916363636363638</v>
      </c>
      <c r="W116" s="207" t="str">
        <f t="shared" si="41"/>
        <v>Too early</v>
      </c>
      <c r="X116" s="222">
        <v>580</v>
      </c>
      <c r="Y116" s="226">
        <v>37809</v>
      </c>
      <c r="Z116" s="230">
        <v>42500</v>
      </c>
      <c r="AA116" s="207">
        <f t="shared" si="38"/>
        <v>0.8896235294117647</v>
      </c>
      <c r="AB116" s="233">
        <v>1590</v>
      </c>
      <c r="AC116" s="207">
        <f t="shared" si="44"/>
        <v>0.47484276729559749</v>
      </c>
      <c r="AD116" s="208">
        <f t="shared" si="39"/>
        <v>64.252980132450332</v>
      </c>
      <c r="AE116" s="218"/>
      <c r="AF116" s="218"/>
      <c r="AG116" s="218"/>
      <c r="AH116" s="350">
        <v>48379</v>
      </c>
      <c r="AI116" s="354">
        <f t="shared" si="40"/>
        <v>132</v>
      </c>
    </row>
    <row r="117" spans="1:35" s="147" customFormat="1" x14ac:dyDescent="0.35">
      <c r="A117" s="147">
        <v>42</v>
      </c>
      <c r="B117" s="147">
        <f t="shared" si="30"/>
        <v>41</v>
      </c>
      <c r="C117" s="148">
        <v>46188</v>
      </c>
      <c r="D117" s="147" t="s">
        <v>107</v>
      </c>
      <c r="G117" s="148">
        <v>46194.583333333336</v>
      </c>
      <c r="H117" s="147" t="s">
        <v>62</v>
      </c>
      <c r="I117" s="149">
        <f t="shared" si="31"/>
        <v>723</v>
      </c>
      <c r="J117" s="33" t="str">
        <f t="shared" si="32"/>
        <v>Too early</v>
      </c>
      <c r="K117" s="34" t="str">
        <f>IF(J117="Too early",J117,J117/AB117)</f>
        <v>Too early</v>
      </c>
      <c r="L117" s="35">
        <f t="shared" si="33"/>
        <v>46260</v>
      </c>
      <c r="M117" s="36">
        <f t="shared" si="34"/>
        <v>70000</v>
      </c>
      <c r="N117" s="196">
        <f t="shared" si="35"/>
        <v>0.66085714285714281</v>
      </c>
      <c r="O117" s="34" t="str">
        <f t="shared" si="36"/>
        <v>Too early</v>
      </c>
      <c r="P117" s="243">
        <v>167</v>
      </c>
      <c r="Q117" s="400">
        <f>AB117-X117</f>
        <v>1034</v>
      </c>
      <c r="R117" s="209" t="str">
        <f>IF(B117&lt;7,(P117/VLOOKUP(B117,'Sales Pacing'!$A$23:$E$36,2)),"Too early")</f>
        <v>Too early</v>
      </c>
      <c r="S117" s="401" t="str">
        <f>IF(R117="Too early","Too early",R117/Q117)</f>
        <v>Too early</v>
      </c>
      <c r="T117" s="227">
        <v>9899</v>
      </c>
      <c r="U117" s="231">
        <v>27500</v>
      </c>
      <c r="V117" s="238">
        <f t="shared" si="37"/>
        <v>0.35996363636363637</v>
      </c>
      <c r="W117" s="210" t="str">
        <f t="shared" si="41"/>
        <v>Too early</v>
      </c>
      <c r="X117" s="223">
        <v>556</v>
      </c>
      <c r="Y117" s="227">
        <v>36361</v>
      </c>
      <c r="Z117" s="231">
        <v>42500</v>
      </c>
      <c r="AA117" s="210">
        <f t="shared" si="38"/>
        <v>0.85555294117647063</v>
      </c>
      <c r="AB117" s="234">
        <v>1590</v>
      </c>
      <c r="AC117" s="210">
        <f t="shared" si="44"/>
        <v>0.45471698113207548</v>
      </c>
      <c r="AD117" s="211">
        <f t="shared" si="39"/>
        <v>63.983402489626556</v>
      </c>
      <c r="AE117" s="219"/>
      <c r="AF117" s="219"/>
      <c r="AG117" s="219"/>
      <c r="AH117" s="352">
        <v>45890</v>
      </c>
      <c r="AI117" s="356">
        <f t="shared" si="40"/>
        <v>370</v>
      </c>
    </row>
    <row r="118" spans="1:35" ht="14.4" x14ac:dyDescent="0.3">
      <c r="A118" s="403"/>
      <c r="B118" s="403"/>
      <c r="C118" s="403"/>
      <c r="D118" s="403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9"/>
      <c r="P118" s="20"/>
      <c r="Q118" s="21"/>
      <c r="R118" s="21"/>
      <c r="S118" s="21"/>
      <c r="T118" s="18"/>
      <c r="U118" s="18"/>
      <c r="V118" s="18"/>
      <c r="W118" s="1"/>
      <c r="X118" s="4"/>
      <c r="Y118" s="18"/>
      <c r="Z118" s="22"/>
      <c r="AA118" s="18"/>
      <c r="AB118" s="17"/>
      <c r="AC118" s="19"/>
      <c r="AD118" s="19"/>
      <c r="AE118" s="23"/>
      <c r="AF118" s="18"/>
      <c r="AG118" s="24"/>
      <c r="AI118" s="357">
        <f>SUM(AI6:AI117)</f>
        <v>107211.79999999997</v>
      </c>
    </row>
    <row r="119" spans="1:35" ht="14.4" x14ac:dyDescent="0.3">
      <c r="A119" s="1"/>
      <c r="B119" s="1"/>
      <c r="C119" s="1"/>
      <c r="D119" s="319" t="s">
        <v>108</v>
      </c>
      <c r="E119" s="320"/>
      <c r="F119" s="320"/>
      <c r="G119" s="320"/>
      <c r="H119" s="320"/>
      <c r="I119" s="321">
        <f t="shared" ref="I119:I125" si="56">SUMIF($H$118:$H$167,D119,$I$118:$I$167)</f>
        <v>0</v>
      </c>
      <c r="J119" s="322">
        <f>I119</f>
        <v>0</v>
      </c>
      <c r="K119" s="31"/>
      <c r="L119" s="44">
        <f t="shared" ref="L119:L125" si="57">SUMIF($H$118:$H$167,D119,$L$118:$L$167)</f>
        <v>0</v>
      </c>
      <c r="M119" s="44">
        <v>2139000</v>
      </c>
      <c r="N119" s="192"/>
      <c r="O119" s="31" t="str">
        <f>IF(L119&gt;0,L119/M119,"")</f>
        <v/>
      </c>
      <c r="P119" s="43">
        <f t="shared" ref="P119:P125" si="58">SUMIF($H$118:$H$167,$D119,P$118:P$167)</f>
        <v>0</v>
      </c>
      <c r="Q119" s="43"/>
      <c r="R119" s="43">
        <f>P119</f>
        <v>0</v>
      </c>
      <c r="S119" s="43"/>
      <c r="T119" s="44">
        <f t="shared" ref="T119:T125" si="59">SUMIF($H$118:$H$167,$D119,T$118:T$167)</f>
        <v>0</v>
      </c>
      <c r="U119" s="44">
        <v>704000</v>
      </c>
      <c r="V119" s="192"/>
      <c r="W119" s="31" t="str">
        <f>IF(T119&gt;0,T119/U119,"")</f>
        <v/>
      </c>
      <c r="X119" s="42">
        <f t="shared" ref="X119:Y125" si="60">SUMIF($H$118:$H$167,$D119,X$118:X$167)</f>
        <v>0</v>
      </c>
      <c r="Y119" s="44">
        <f t="shared" si="60"/>
        <v>0</v>
      </c>
      <c r="Z119" s="45">
        <v>1435000</v>
      </c>
      <c r="AA119" s="31" t="str">
        <f>IF(Y119&gt;0,Y119/Z119,"")</f>
        <v/>
      </c>
      <c r="AB119" s="42">
        <f t="shared" ref="AB119:AB125" si="61">SUMIF($H$118:$H$167,D119,$AB$118:$AB$167)</f>
        <v>0</v>
      </c>
      <c r="AC119" s="46" t="e">
        <f t="shared" ref="AC119:AC126" si="62">I119/AB119</f>
        <v>#DIV/0!</v>
      </c>
      <c r="AD119" s="47" t="e">
        <f t="shared" ref="AD119:AD126" si="63">L119/I119</f>
        <v>#DIV/0!</v>
      </c>
      <c r="AE119" s="48"/>
      <c r="AF119" s="49"/>
      <c r="AG119" s="50"/>
    </row>
    <row r="120" spans="1:35" ht="14.4" x14ac:dyDescent="0.3">
      <c r="A120" s="1"/>
      <c r="B120" s="1"/>
      <c r="C120" s="1"/>
      <c r="D120" s="331" t="s">
        <v>109</v>
      </c>
      <c r="E120" s="332"/>
      <c r="F120" s="332"/>
      <c r="G120" s="332"/>
      <c r="H120" s="332"/>
      <c r="I120" s="333">
        <f t="shared" si="56"/>
        <v>0</v>
      </c>
      <c r="J120" s="334">
        <f t="shared" ref="J120:J125" si="64">I120</f>
        <v>0</v>
      </c>
      <c r="K120" s="31"/>
      <c r="L120" s="44">
        <f t="shared" si="57"/>
        <v>0</v>
      </c>
      <c r="M120" s="44">
        <v>363000</v>
      </c>
      <c r="N120" s="192"/>
      <c r="O120" s="31" t="str">
        <f t="shared" ref="O120:O126" si="65">IF(L120&gt;0,L120/M120,"")</f>
        <v/>
      </c>
      <c r="P120" s="43">
        <f t="shared" si="58"/>
        <v>0</v>
      </c>
      <c r="Q120" s="43"/>
      <c r="R120" s="43">
        <f t="shared" ref="R120:R125" si="66">P120</f>
        <v>0</v>
      </c>
      <c r="S120" s="43"/>
      <c r="T120" s="44">
        <f t="shared" si="59"/>
        <v>0</v>
      </c>
      <c r="U120" s="44">
        <v>163000</v>
      </c>
      <c r="V120" s="192"/>
      <c r="W120" s="31" t="str">
        <f t="shared" ref="W120:W126" si="67">IF(T120&gt;0,T120/U120,"")</f>
        <v/>
      </c>
      <c r="X120" s="42">
        <f t="shared" si="60"/>
        <v>0</v>
      </c>
      <c r="Y120" s="44">
        <f t="shared" si="60"/>
        <v>0</v>
      </c>
      <c r="Z120" s="45">
        <v>200000</v>
      </c>
      <c r="AA120" s="31" t="str">
        <f t="shared" ref="AA120:AA125" si="68">IF(Y120&gt;0,Y120/Z120,"")</f>
        <v/>
      </c>
      <c r="AB120" s="42">
        <f t="shared" si="61"/>
        <v>0</v>
      </c>
      <c r="AC120" s="46" t="e">
        <f t="shared" si="62"/>
        <v>#DIV/0!</v>
      </c>
      <c r="AD120" s="51" t="e">
        <f t="shared" si="63"/>
        <v>#DIV/0!</v>
      </c>
      <c r="AE120" s="48"/>
      <c r="AF120" s="49"/>
      <c r="AG120" s="50"/>
    </row>
    <row r="121" spans="1:35" ht="14.4" x14ac:dyDescent="0.3">
      <c r="A121" s="1"/>
      <c r="B121" s="1"/>
      <c r="C121" s="1"/>
      <c r="D121" s="331" t="s">
        <v>110</v>
      </c>
      <c r="E121" s="332"/>
      <c r="F121" s="332"/>
      <c r="G121" s="332"/>
      <c r="H121" s="332"/>
      <c r="I121" s="333">
        <f t="shared" si="56"/>
        <v>0</v>
      </c>
      <c r="J121" s="334">
        <f t="shared" si="64"/>
        <v>0</v>
      </c>
      <c r="K121" s="31"/>
      <c r="L121" s="44">
        <f t="shared" si="57"/>
        <v>0</v>
      </c>
      <c r="M121" s="52">
        <v>1457000</v>
      </c>
      <c r="N121" s="193"/>
      <c r="O121" s="31" t="str">
        <f t="shared" si="65"/>
        <v/>
      </c>
      <c r="P121" s="43">
        <f t="shared" si="58"/>
        <v>0</v>
      </c>
      <c r="Q121" s="43"/>
      <c r="R121" s="43">
        <f t="shared" si="66"/>
        <v>0</v>
      </c>
      <c r="S121" s="43"/>
      <c r="T121" s="44">
        <f t="shared" si="59"/>
        <v>0</v>
      </c>
      <c r="U121" s="52">
        <v>838000</v>
      </c>
      <c r="V121" s="193"/>
      <c r="W121" s="31" t="str">
        <f t="shared" si="67"/>
        <v/>
      </c>
      <c r="X121" s="42">
        <f t="shared" si="60"/>
        <v>0</v>
      </c>
      <c r="Y121" s="44">
        <f t="shared" si="60"/>
        <v>0</v>
      </c>
      <c r="Z121" s="45">
        <v>619000</v>
      </c>
      <c r="AA121" s="31" t="str">
        <f t="shared" si="68"/>
        <v/>
      </c>
      <c r="AB121" s="42">
        <f t="shared" si="61"/>
        <v>0</v>
      </c>
      <c r="AC121" s="53" t="e">
        <f t="shared" si="62"/>
        <v>#DIV/0!</v>
      </c>
      <c r="AD121" s="47" t="e">
        <f t="shared" si="63"/>
        <v>#DIV/0!</v>
      </c>
      <c r="AE121" s="48"/>
      <c r="AF121" s="49"/>
      <c r="AG121" s="50"/>
    </row>
    <row r="122" spans="1:35" ht="14.4" x14ac:dyDescent="0.3">
      <c r="A122" s="1"/>
      <c r="B122" s="1"/>
      <c r="C122" s="1"/>
      <c r="D122" s="327" t="s">
        <v>111</v>
      </c>
      <c r="E122" s="328"/>
      <c r="F122" s="328"/>
      <c r="G122" s="328"/>
      <c r="H122" s="328"/>
      <c r="I122" s="329">
        <f t="shared" si="56"/>
        <v>0</v>
      </c>
      <c r="J122" s="330">
        <f t="shared" si="64"/>
        <v>0</v>
      </c>
      <c r="K122" s="31"/>
      <c r="L122" s="44">
        <f t="shared" si="57"/>
        <v>0</v>
      </c>
      <c r="M122" s="52">
        <v>525950</v>
      </c>
      <c r="N122" s="193"/>
      <c r="O122" s="31" t="str">
        <f t="shared" si="65"/>
        <v/>
      </c>
      <c r="P122" s="43">
        <f t="shared" si="58"/>
        <v>0</v>
      </c>
      <c r="Q122" s="43"/>
      <c r="R122" s="43">
        <f t="shared" si="66"/>
        <v>0</v>
      </c>
      <c r="S122" s="43"/>
      <c r="T122" s="44">
        <f t="shared" si="59"/>
        <v>0</v>
      </c>
      <c r="U122" s="52">
        <v>485000</v>
      </c>
      <c r="V122" s="193"/>
      <c r="W122" s="31" t="str">
        <f t="shared" si="67"/>
        <v/>
      </c>
      <c r="X122" s="42">
        <f t="shared" si="60"/>
        <v>0</v>
      </c>
      <c r="Y122" s="44">
        <f t="shared" si="60"/>
        <v>0</v>
      </c>
      <c r="Z122" s="45">
        <v>40950</v>
      </c>
      <c r="AA122" s="31" t="str">
        <f t="shared" si="68"/>
        <v/>
      </c>
      <c r="AB122" s="42">
        <f t="shared" si="61"/>
        <v>0</v>
      </c>
      <c r="AC122" s="53" t="e">
        <f t="shared" si="62"/>
        <v>#DIV/0!</v>
      </c>
      <c r="AD122" s="47" t="e">
        <f t="shared" si="63"/>
        <v>#DIV/0!</v>
      </c>
      <c r="AE122" s="48"/>
      <c r="AF122" s="49"/>
      <c r="AG122" s="50"/>
    </row>
    <row r="123" spans="1:35" ht="14.4" x14ac:dyDescent="0.3">
      <c r="A123" s="1"/>
      <c r="B123" s="1"/>
      <c r="C123" s="1"/>
      <c r="D123" s="323" t="s">
        <v>112</v>
      </c>
      <c r="E123" s="324"/>
      <c r="F123" s="324"/>
      <c r="G123" s="324"/>
      <c r="H123" s="324"/>
      <c r="I123" s="325">
        <f t="shared" si="56"/>
        <v>0</v>
      </c>
      <c r="J123" s="326">
        <f t="shared" si="64"/>
        <v>0</v>
      </c>
      <c r="K123" s="31"/>
      <c r="L123" s="44">
        <f t="shared" si="57"/>
        <v>0</v>
      </c>
      <c r="M123" s="56">
        <v>1745490</v>
      </c>
      <c r="N123" s="193"/>
      <c r="O123" s="31" t="str">
        <f t="shared" si="65"/>
        <v/>
      </c>
      <c r="P123" s="43">
        <f t="shared" si="58"/>
        <v>0</v>
      </c>
      <c r="Q123" s="43"/>
      <c r="R123" s="43">
        <f t="shared" si="66"/>
        <v>0</v>
      </c>
      <c r="S123" s="43"/>
      <c r="T123" s="44">
        <f t="shared" si="59"/>
        <v>0</v>
      </c>
      <c r="U123" s="56">
        <v>1745490</v>
      </c>
      <c r="V123" s="193"/>
      <c r="W123" s="31" t="str">
        <f t="shared" si="67"/>
        <v/>
      </c>
      <c r="X123" s="42">
        <f t="shared" si="60"/>
        <v>0</v>
      </c>
      <c r="Y123" s="44">
        <f t="shared" si="60"/>
        <v>0</v>
      </c>
      <c r="Z123" s="57">
        <v>0</v>
      </c>
      <c r="AA123" s="31" t="str">
        <f t="shared" si="68"/>
        <v/>
      </c>
      <c r="AB123" s="42">
        <f t="shared" si="61"/>
        <v>0</v>
      </c>
      <c r="AC123" s="53" t="e">
        <f t="shared" si="62"/>
        <v>#DIV/0!</v>
      </c>
      <c r="AD123" s="51" t="e">
        <f t="shared" si="63"/>
        <v>#DIV/0!</v>
      </c>
      <c r="AE123" s="58"/>
      <c r="AF123" s="59"/>
      <c r="AG123" s="60"/>
    </row>
    <row r="124" spans="1:35" ht="14.4" x14ac:dyDescent="0.3">
      <c r="A124" s="1"/>
      <c r="B124" s="1"/>
      <c r="C124" s="1"/>
      <c r="D124" s="323" t="s">
        <v>113</v>
      </c>
      <c r="E124" s="324"/>
      <c r="F124" s="324"/>
      <c r="G124" s="324"/>
      <c r="H124" s="324"/>
      <c r="I124" s="325">
        <f t="shared" si="56"/>
        <v>0</v>
      </c>
      <c r="J124" s="326">
        <f t="shared" si="64"/>
        <v>0</v>
      </c>
      <c r="K124" s="31"/>
      <c r="L124" s="44">
        <f t="shared" si="57"/>
        <v>0</v>
      </c>
      <c r="M124" s="61">
        <v>38200</v>
      </c>
      <c r="N124" s="192"/>
      <c r="O124" s="31" t="str">
        <f t="shared" si="65"/>
        <v/>
      </c>
      <c r="P124" s="43">
        <f t="shared" si="58"/>
        <v>0</v>
      </c>
      <c r="Q124" s="43"/>
      <c r="R124" s="43">
        <f t="shared" si="66"/>
        <v>0</v>
      </c>
      <c r="S124" s="43"/>
      <c r="T124" s="44">
        <f t="shared" si="59"/>
        <v>0</v>
      </c>
      <c r="U124" s="56">
        <v>38200</v>
      </c>
      <c r="V124" s="193"/>
      <c r="W124" s="31" t="str">
        <f t="shared" si="67"/>
        <v/>
      </c>
      <c r="X124" s="42">
        <f t="shared" si="60"/>
        <v>0</v>
      </c>
      <c r="Y124" s="44">
        <f t="shared" si="60"/>
        <v>0</v>
      </c>
      <c r="Z124" s="57">
        <v>0</v>
      </c>
      <c r="AA124" s="31" t="str">
        <f t="shared" si="68"/>
        <v/>
      </c>
      <c r="AB124" s="42">
        <f t="shared" si="61"/>
        <v>0</v>
      </c>
      <c r="AC124" s="53" t="e">
        <f t="shared" si="62"/>
        <v>#DIV/0!</v>
      </c>
      <c r="AD124" s="56" t="e">
        <f t="shared" si="63"/>
        <v>#DIV/0!</v>
      </c>
      <c r="AE124" s="58"/>
      <c r="AF124" s="59"/>
      <c r="AG124" s="60"/>
    </row>
    <row r="125" spans="1:35" ht="14.4" x14ac:dyDescent="0.3">
      <c r="A125" s="1"/>
      <c r="B125" s="1"/>
      <c r="C125" s="1"/>
      <c r="D125" s="323" t="s">
        <v>114</v>
      </c>
      <c r="E125" s="339"/>
      <c r="F125" s="339"/>
      <c r="G125" s="339"/>
      <c r="H125" s="339"/>
      <c r="I125" s="325">
        <f t="shared" si="56"/>
        <v>0</v>
      </c>
      <c r="J125" s="326">
        <f t="shared" si="64"/>
        <v>0</v>
      </c>
      <c r="K125" s="31"/>
      <c r="L125" s="44">
        <f t="shared" si="57"/>
        <v>0</v>
      </c>
      <c r="M125" s="52"/>
      <c r="N125" s="193"/>
      <c r="O125" s="31" t="str">
        <f t="shared" si="65"/>
        <v/>
      </c>
      <c r="P125" s="43">
        <f t="shared" si="58"/>
        <v>0</v>
      </c>
      <c r="Q125" s="43"/>
      <c r="R125" s="43">
        <f t="shared" si="66"/>
        <v>0</v>
      </c>
      <c r="S125" s="43"/>
      <c r="T125" s="44">
        <f t="shared" si="59"/>
        <v>0</v>
      </c>
      <c r="U125" s="52"/>
      <c r="V125" s="193"/>
      <c r="W125" s="31" t="str">
        <f t="shared" si="67"/>
        <v/>
      </c>
      <c r="X125" s="42">
        <f t="shared" si="60"/>
        <v>0</v>
      </c>
      <c r="Y125" s="44">
        <f t="shared" si="60"/>
        <v>0</v>
      </c>
      <c r="Z125" s="45">
        <v>0</v>
      </c>
      <c r="AA125" s="31" t="str">
        <f t="shared" si="68"/>
        <v/>
      </c>
      <c r="AB125" s="42">
        <f t="shared" si="61"/>
        <v>0</v>
      </c>
      <c r="AC125" s="46" t="e">
        <f t="shared" si="62"/>
        <v>#DIV/0!</v>
      </c>
      <c r="AD125" s="47" t="e">
        <f t="shared" si="63"/>
        <v>#DIV/0!</v>
      </c>
      <c r="AE125" s="48"/>
      <c r="AF125" s="49"/>
      <c r="AG125" s="63"/>
    </row>
    <row r="126" spans="1:35" ht="14.4" x14ac:dyDescent="0.3">
      <c r="A126" s="64"/>
      <c r="B126" s="64"/>
      <c r="C126" s="64"/>
      <c r="D126" s="335" t="s">
        <v>115</v>
      </c>
      <c r="E126" s="336"/>
      <c r="F126" s="336"/>
      <c r="G126" s="336"/>
      <c r="H126" s="336"/>
      <c r="I126" s="337">
        <f>SUM(I119:I125)</f>
        <v>0</v>
      </c>
      <c r="J126" s="338">
        <f>SUM(J119:J125)</f>
        <v>0</v>
      </c>
      <c r="K126" s="31"/>
      <c r="L126" s="67">
        <f>SUM(L119:L125)</f>
        <v>0</v>
      </c>
      <c r="M126" s="67">
        <f>SUM(M119:M125)</f>
        <v>6268640</v>
      </c>
      <c r="N126" s="194"/>
      <c r="O126" s="31" t="str">
        <f t="shared" si="65"/>
        <v/>
      </c>
      <c r="P126" s="67">
        <f>SUM(P119:P125)</f>
        <v>0</v>
      </c>
      <c r="Q126" s="67"/>
      <c r="R126" s="67">
        <f>SUM(R119:R125)</f>
        <v>0</v>
      </c>
      <c r="S126" s="67"/>
      <c r="T126" s="68">
        <f>SUM(T119:T125)</f>
        <v>0</v>
      </c>
      <c r="U126" s="69">
        <f>SUM(U119:U125)</f>
        <v>3973690</v>
      </c>
      <c r="V126" s="236"/>
      <c r="W126" s="31" t="str">
        <f t="shared" si="67"/>
        <v/>
      </c>
      <c r="X126" s="67">
        <f>SUM(X119,X120,X121,X122,X123,X124,X125)</f>
        <v>0</v>
      </c>
      <c r="Y126" s="70">
        <f>SUM(Y119,Y120,Y121,Y122,Y123,Y124,Y125)</f>
        <v>0</v>
      </c>
      <c r="Z126" s="69">
        <v>2169893</v>
      </c>
      <c r="AA126" s="31" t="str">
        <f>IF(Y126&gt;0,Y126/Z126,"")</f>
        <v/>
      </c>
      <c r="AB126" s="71">
        <f>SUM(AB119:AB125)</f>
        <v>0</v>
      </c>
      <c r="AC126" s="72" t="e">
        <f t="shared" si="62"/>
        <v>#DIV/0!</v>
      </c>
      <c r="AD126" s="73" t="e">
        <f t="shared" si="63"/>
        <v>#DIV/0!</v>
      </c>
      <c r="AE126" s="74"/>
      <c r="AF126" s="75"/>
      <c r="AG126" s="76"/>
    </row>
    <row r="127" spans="1:35" ht="14.4" x14ac:dyDescent="0.3">
      <c r="A127" s="1"/>
      <c r="B127" s="1"/>
      <c r="C127" s="1"/>
      <c r="D127" s="1"/>
      <c r="E127" s="1"/>
      <c r="F127" s="1"/>
      <c r="G127" s="1"/>
      <c r="H127" s="1"/>
      <c r="I127" s="77"/>
      <c r="J127" s="78"/>
      <c r="K127" s="77"/>
      <c r="L127" s="79"/>
      <c r="M127" s="79"/>
      <c r="N127" s="79"/>
      <c r="O127" s="1"/>
      <c r="P127" s="4"/>
      <c r="Q127" s="1"/>
      <c r="R127" s="1"/>
      <c r="S127" s="1"/>
      <c r="T127" s="80"/>
      <c r="U127" s="1"/>
      <c r="V127" s="1"/>
      <c r="W127" s="31"/>
      <c r="X127" s="4"/>
      <c r="Y127" s="81"/>
      <c r="Z127" s="81"/>
      <c r="AA127" s="31" t="str">
        <f>IF(Y126&gt;0,Y126/Z127,"")</f>
        <v/>
      </c>
      <c r="AB127" s="4"/>
      <c r="AC127" s="1"/>
      <c r="AD127" s="1"/>
      <c r="AE127" s="1"/>
      <c r="AF127" s="1"/>
      <c r="AG127" s="1"/>
    </row>
    <row r="128" spans="1:35" ht="14.4" x14ac:dyDescent="0.3">
      <c r="A128" s="1"/>
      <c r="B128" s="1"/>
      <c r="C128" s="1"/>
      <c r="D128" s="1"/>
      <c r="E128" s="1"/>
      <c r="F128" s="1"/>
      <c r="G128" s="1"/>
      <c r="H128" s="1"/>
      <c r="I128" s="77"/>
      <c r="J128" s="82"/>
      <c r="K128" s="81"/>
      <c r="L128" s="81"/>
      <c r="M128" s="81"/>
      <c r="N128" s="81"/>
      <c r="O128" s="1"/>
      <c r="P128" s="4"/>
      <c r="Q128" s="1"/>
      <c r="R128" s="1"/>
      <c r="S128" s="1"/>
      <c r="T128" s="1"/>
      <c r="U128" s="1"/>
      <c r="V128" s="1"/>
      <c r="W128" s="31"/>
      <c r="X128" s="4"/>
      <c r="Y128" s="81"/>
      <c r="Z128" s="81"/>
      <c r="AA128" s="81"/>
      <c r="AB128" s="4"/>
      <c r="AC128" s="1"/>
      <c r="AD128" s="1"/>
      <c r="AE128" s="1"/>
      <c r="AF128" s="1"/>
      <c r="AG128" s="1"/>
    </row>
    <row r="129" spans="1:33" ht="14.4" x14ac:dyDescent="0.3">
      <c r="A129" s="403"/>
      <c r="B129" s="403"/>
      <c r="C129" s="403"/>
      <c r="D129" s="403"/>
      <c r="E129" s="1"/>
      <c r="F129" s="1"/>
      <c r="G129" s="1"/>
      <c r="H129" s="1"/>
      <c r="I129" s="4"/>
      <c r="J129" s="1"/>
      <c r="K129" s="1"/>
      <c r="L129" s="1"/>
      <c r="M129" s="1"/>
      <c r="N129" s="1"/>
      <c r="O129" s="1"/>
      <c r="P129" s="4"/>
      <c r="Q129" s="1"/>
      <c r="R129" s="1"/>
      <c r="S129" s="1"/>
      <c r="T129" s="1"/>
      <c r="U129" s="1"/>
      <c r="V129" s="1"/>
      <c r="W129" s="1"/>
      <c r="X129" s="4"/>
      <c r="Y129" s="1"/>
      <c r="Z129" s="1"/>
      <c r="AA129" s="1"/>
      <c r="AB129" s="4"/>
      <c r="AC129" s="403"/>
      <c r="AD129" s="403"/>
      <c r="AE129" s="403"/>
      <c r="AF129" s="403"/>
      <c r="AG129" s="1"/>
    </row>
    <row r="130" spans="1:33" ht="14.4" x14ac:dyDescent="0.3">
      <c r="A130" s="403"/>
      <c r="B130" s="403"/>
      <c r="C130" s="403"/>
      <c r="D130" s="403"/>
      <c r="E130" s="1"/>
      <c r="F130" s="1"/>
      <c r="G130" s="1"/>
      <c r="H130" s="1"/>
      <c r="I130" s="4"/>
      <c r="J130" s="25" t="s">
        <v>116</v>
      </c>
      <c r="K130" s="1"/>
      <c r="L130" s="1"/>
      <c r="M130" s="1"/>
      <c r="N130" s="1"/>
      <c r="O130" s="1"/>
      <c r="P130" s="4"/>
      <c r="Q130" s="1"/>
      <c r="R130" s="1"/>
      <c r="S130" s="1"/>
      <c r="T130" s="1"/>
      <c r="U130" s="1"/>
      <c r="V130" s="1"/>
      <c r="W130" s="1"/>
      <c r="X130" s="4"/>
      <c r="Y130" s="1"/>
      <c r="Z130" s="1"/>
      <c r="AA130" s="1"/>
      <c r="AB130" s="4"/>
      <c r="AC130" s="403"/>
      <c r="AD130" s="403"/>
      <c r="AE130" s="403"/>
      <c r="AF130" s="403"/>
      <c r="AG130" s="1"/>
    </row>
    <row r="131" spans="1:33" ht="14.4" x14ac:dyDescent="0.3">
      <c r="A131" s="403"/>
      <c r="B131" s="403"/>
      <c r="C131" s="403"/>
      <c r="D131" s="403"/>
      <c r="E131" s="1"/>
      <c r="F131" s="1"/>
      <c r="G131" s="1"/>
      <c r="H131" s="1"/>
      <c r="I131" s="4"/>
      <c r="J131" s="1" t="s">
        <v>117</v>
      </c>
      <c r="K131" s="1"/>
      <c r="L131" s="1"/>
      <c r="M131" s="1"/>
      <c r="N131" s="1"/>
      <c r="O131" s="1"/>
      <c r="P131" s="4"/>
      <c r="Q131" s="1"/>
      <c r="R131" s="1"/>
      <c r="S131" s="1"/>
      <c r="T131" s="1"/>
      <c r="U131" s="1"/>
      <c r="V131" s="1"/>
      <c r="W131" s="1"/>
      <c r="X131" s="4"/>
      <c r="Y131" s="1"/>
      <c r="Z131" s="1"/>
      <c r="AA131" s="1"/>
      <c r="AB131" s="4"/>
      <c r="AC131" s="403"/>
      <c r="AD131" s="403"/>
      <c r="AE131" s="403"/>
      <c r="AF131" s="403"/>
      <c r="AG131" s="1"/>
    </row>
    <row r="132" spans="1:33" ht="14.4" x14ac:dyDescent="0.3">
      <c r="A132" s="403"/>
      <c r="B132" s="403"/>
      <c r="C132" s="403"/>
      <c r="D132" s="403"/>
      <c r="E132" s="1"/>
      <c r="F132" s="1"/>
      <c r="G132" s="1"/>
      <c r="H132" s="1"/>
      <c r="I132" s="4"/>
      <c r="J132" s="26" t="s">
        <v>118</v>
      </c>
      <c r="K132" s="1"/>
      <c r="L132" s="1"/>
      <c r="M132" s="1"/>
      <c r="N132" s="1"/>
      <c r="O132" s="1"/>
      <c r="P132" s="4"/>
      <c r="Q132" s="1"/>
      <c r="R132" s="1"/>
      <c r="S132" s="1"/>
      <c r="T132" s="1"/>
      <c r="U132" s="1"/>
      <c r="V132" s="1"/>
      <c r="W132" s="1"/>
      <c r="X132" s="4"/>
      <c r="Y132" s="1"/>
      <c r="Z132" s="1"/>
      <c r="AA132" s="1"/>
      <c r="AB132" s="4"/>
      <c r="AC132" s="403"/>
      <c r="AD132" s="403"/>
      <c r="AE132" s="403"/>
      <c r="AF132" s="403"/>
      <c r="AG132" s="1"/>
    </row>
    <row r="133" spans="1:33" ht="14.4" x14ac:dyDescent="0.3">
      <c r="A133" s="403"/>
      <c r="B133" s="403"/>
      <c r="C133" s="403"/>
      <c r="D133" s="403"/>
      <c r="E133" s="1"/>
      <c r="F133" s="1"/>
      <c r="G133" s="1"/>
      <c r="H133" s="1"/>
      <c r="I133" s="4"/>
      <c r="J133" s="1" t="s">
        <v>119</v>
      </c>
      <c r="K133" s="1"/>
      <c r="L133" s="1"/>
      <c r="M133" s="1"/>
      <c r="N133" s="1"/>
      <c r="O133" s="1"/>
      <c r="P133" s="4"/>
      <c r="Q133" s="1"/>
      <c r="R133" s="1"/>
      <c r="S133" s="1"/>
      <c r="T133" s="1"/>
      <c r="U133" s="1"/>
      <c r="V133" s="1"/>
      <c r="W133" s="1"/>
      <c r="X133" s="4"/>
      <c r="Y133" s="1"/>
      <c r="Z133" s="1"/>
      <c r="AA133" s="1"/>
      <c r="AB133" s="4"/>
      <c r="AC133" s="403"/>
      <c r="AD133" s="403"/>
      <c r="AE133" s="403"/>
      <c r="AF133" s="403"/>
      <c r="AG133" s="1"/>
    </row>
    <row r="134" spans="1:33" ht="14.4" x14ac:dyDescent="0.3">
      <c r="A134" s="403"/>
      <c r="B134" s="403"/>
      <c r="C134" s="403"/>
      <c r="D134" s="403"/>
      <c r="E134" s="1"/>
      <c r="F134" s="1"/>
      <c r="G134" s="1"/>
      <c r="H134" s="1"/>
      <c r="I134" s="4"/>
      <c r="J134" s="1" t="s">
        <v>120</v>
      </c>
      <c r="K134" s="1"/>
      <c r="L134" s="1"/>
      <c r="M134" s="1"/>
      <c r="N134" s="1"/>
      <c r="O134" s="1"/>
      <c r="P134" s="4"/>
      <c r="Q134" s="1"/>
      <c r="R134" s="1"/>
      <c r="S134" s="1"/>
      <c r="T134" s="1"/>
      <c r="U134" s="1"/>
      <c r="V134" s="1"/>
      <c r="W134" s="1"/>
      <c r="X134" s="4"/>
      <c r="Y134" s="1"/>
      <c r="Z134" s="1"/>
      <c r="AA134" s="1"/>
      <c r="AB134" s="4"/>
      <c r="AC134" s="403"/>
      <c r="AD134" s="403"/>
      <c r="AE134" s="403"/>
      <c r="AF134" s="403"/>
      <c r="AG134" s="1"/>
    </row>
    <row r="135" spans="1:33" ht="14.4" x14ac:dyDescent="0.3">
      <c r="A135" s="403"/>
      <c r="B135" s="403"/>
      <c r="C135" s="403"/>
      <c r="D135" s="403"/>
      <c r="E135" s="1"/>
      <c r="F135" s="1"/>
      <c r="G135" s="1"/>
      <c r="H135" s="1"/>
      <c r="I135" s="4"/>
      <c r="J135" s="1"/>
      <c r="K135" s="1"/>
      <c r="L135" s="1"/>
      <c r="M135" s="1"/>
      <c r="N135" s="1"/>
      <c r="O135" s="1"/>
      <c r="P135" s="4"/>
      <c r="Q135" s="1"/>
      <c r="R135" s="1"/>
      <c r="S135" s="1"/>
      <c r="T135" s="1"/>
      <c r="U135" s="1"/>
      <c r="V135" s="1"/>
      <c r="W135" s="1"/>
      <c r="X135" s="4"/>
      <c r="Y135" s="1"/>
      <c r="Z135" s="1"/>
      <c r="AA135" s="1"/>
      <c r="AB135" s="4"/>
      <c r="AC135" s="403"/>
      <c r="AD135" s="403"/>
      <c r="AE135" s="403"/>
      <c r="AF135" s="403"/>
      <c r="AG135" s="1"/>
    </row>
    <row r="136" spans="1:33" ht="14.4" x14ac:dyDescent="0.3">
      <c r="A136" s="403"/>
      <c r="B136" s="403"/>
      <c r="C136" s="403"/>
      <c r="D136" s="403"/>
      <c r="E136" s="1"/>
      <c r="F136" s="1"/>
      <c r="G136" s="1"/>
      <c r="H136" s="1"/>
      <c r="I136" s="4"/>
      <c r="J136" s="1"/>
      <c r="K136" s="1"/>
      <c r="L136" s="1"/>
      <c r="M136" s="1"/>
      <c r="N136" s="1"/>
      <c r="O136" s="1"/>
      <c r="P136" s="4"/>
      <c r="Q136" s="1"/>
      <c r="R136" s="1"/>
      <c r="S136" s="1"/>
      <c r="T136" s="1"/>
      <c r="U136" s="1"/>
      <c r="V136" s="1"/>
      <c r="W136" s="1"/>
      <c r="X136" s="4"/>
      <c r="Y136" s="1"/>
      <c r="Z136" s="1"/>
      <c r="AA136" s="1"/>
      <c r="AB136" s="4"/>
      <c r="AC136" s="403"/>
      <c r="AD136" s="403"/>
      <c r="AE136" s="403"/>
      <c r="AF136" s="403"/>
      <c r="AG136" s="1"/>
    </row>
  </sheetData>
  <autoFilter ref="A1:AI127" xr:uid="{65861D9D-DF6D-458E-8EEC-6179E128FC3E}">
    <filterColumn colId="0" showButton="0"/>
    <filterColumn colId="2" showButton="0"/>
    <filterColumn colId="27" showButton="0"/>
    <filterColumn colId="28" showButton="0"/>
    <filterColumn colId="29" showButton="0"/>
    <filterColumn colId="30" showButton="0"/>
    <filterColumn colId="31" showButton="0"/>
  </autoFilter>
  <mergeCells count="54">
    <mergeCell ref="AB1:AG1"/>
    <mergeCell ref="A2:B2"/>
    <mergeCell ref="C2:D2"/>
    <mergeCell ref="AC2:AD2"/>
    <mergeCell ref="AE2:AF2"/>
    <mergeCell ref="D5:F5"/>
    <mergeCell ref="A1:B1"/>
    <mergeCell ref="C1:D1"/>
    <mergeCell ref="I1:I3"/>
    <mergeCell ref="J1:J3"/>
    <mergeCell ref="A3:B3"/>
    <mergeCell ref="C3:D3"/>
    <mergeCell ref="AC3:AD3"/>
    <mergeCell ref="AE3:AF3"/>
    <mergeCell ref="A4:B4"/>
    <mergeCell ref="I4:O4"/>
    <mergeCell ref="P4:W4"/>
    <mergeCell ref="X4:AA4"/>
    <mergeCell ref="AB4:AD4"/>
    <mergeCell ref="AE4:AG4"/>
    <mergeCell ref="A129:B129"/>
    <mergeCell ref="C129:D129"/>
    <mergeCell ref="AC129:AD129"/>
    <mergeCell ref="AE129:AF129"/>
    <mergeCell ref="A118:B118"/>
    <mergeCell ref="C118:D118"/>
    <mergeCell ref="A130:B130"/>
    <mergeCell ref="C130:D130"/>
    <mergeCell ref="AC130:AD130"/>
    <mergeCell ref="AE130:AF130"/>
    <mergeCell ref="A131:B131"/>
    <mergeCell ref="C131:D131"/>
    <mergeCell ref="AC131:AD131"/>
    <mergeCell ref="AE131:AF131"/>
    <mergeCell ref="A132:B132"/>
    <mergeCell ref="C132:D132"/>
    <mergeCell ref="AC132:AD132"/>
    <mergeCell ref="AE132:AF132"/>
    <mergeCell ref="A133:B133"/>
    <mergeCell ref="C133:D133"/>
    <mergeCell ref="AC133:AD133"/>
    <mergeCell ref="AE133:AF133"/>
    <mergeCell ref="A136:B136"/>
    <mergeCell ref="C136:D136"/>
    <mergeCell ref="AC136:AD136"/>
    <mergeCell ref="AE136:AF136"/>
    <mergeCell ref="A134:B134"/>
    <mergeCell ref="C134:D134"/>
    <mergeCell ref="AC134:AD134"/>
    <mergeCell ref="AE134:AF134"/>
    <mergeCell ref="A135:B135"/>
    <mergeCell ref="C135:D135"/>
    <mergeCell ref="AC135:AD135"/>
    <mergeCell ref="AE135:AF135"/>
  </mergeCells>
  <conditionalFormatting sqref="K6:K117">
    <cfRule type="cellIs" dxfId="109" priority="76" operator="greaterThanOrEqual">
      <formula>0.85</formula>
    </cfRule>
    <cfRule type="cellIs" dxfId="108" priority="75" operator="between">
      <formula>0.85</formula>
      <formula>0.7</formula>
    </cfRule>
    <cfRule type="cellIs" dxfId="107" priority="74" operator="lessThanOrEqual">
      <formula>0.7</formula>
    </cfRule>
    <cfRule type="cellIs" dxfId="106" priority="73" operator="equal">
      <formula>"Too early"</formula>
    </cfRule>
    <cfRule type="cellIs" dxfId="105" priority="52" stopIfTrue="1" operator="equal">
      <formula>""</formula>
    </cfRule>
  </conditionalFormatting>
  <conditionalFormatting sqref="K119:K126">
    <cfRule type="cellIs" dxfId="104" priority="84" operator="greaterThanOrEqual">
      <formula>0.85</formula>
    </cfRule>
    <cfRule type="cellIs" dxfId="103" priority="82" operator="lessThanOrEqual">
      <formula>0.7</formula>
    </cfRule>
    <cfRule type="cellIs" dxfId="102" priority="81" operator="equal">
      <formula>""</formula>
    </cfRule>
    <cfRule type="cellIs" dxfId="101" priority="83" operator="between">
      <formula>0.85</formula>
      <formula>0.7</formula>
    </cfRule>
  </conditionalFormatting>
  <conditionalFormatting sqref="O21:O117">
    <cfRule type="cellIs" dxfId="100" priority="72" operator="greaterThanOrEqual">
      <formula>0.95</formula>
    </cfRule>
    <cfRule type="cellIs" dxfId="99" priority="71" operator="between">
      <formula>0.95</formula>
      <formula>0.85</formula>
    </cfRule>
    <cfRule type="cellIs" dxfId="98" priority="70" operator="lessThanOrEqual">
      <formula>0.85</formula>
    </cfRule>
    <cfRule type="cellIs" dxfId="97" priority="48" stopIfTrue="1" operator="equal">
      <formula>""</formula>
    </cfRule>
    <cfRule type="cellIs" dxfId="96" priority="69" operator="equal">
      <formula>"Too early"</formula>
    </cfRule>
  </conditionalFormatting>
  <conditionalFormatting sqref="O119:O126">
    <cfRule type="cellIs" dxfId="95" priority="92" operator="greaterThanOrEqual">
      <formula>0.95</formula>
    </cfRule>
    <cfRule type="cellIs" dxfId="94" priority="89" operator="equal">
      <formula>""</formula>
    </cfRule>
    <cfRule type="cellIs" dxfId="93" priority="90" operator="lessThanOrEqual">
      <formula>0.8</formula>
    </cfRule>
    <cfRule type="cellIs" dxfId="92" priority="91" operator="between">
      <formula>0.95</formula>
      <formula>0.8</formula>
    </cfRule>
  </conditionalFormatting>
  <conditionalFormatting sqref="S6">
    <cfRule type="cellIs" priority="37" operator="equal">
      <formula>"Too early"</formula>
    </cfRule>
  </conditionalFormatting>
  <conditionalFormatting sqref="S6:S8">
    <cfRule type="cellIs" dxfId="91" priority="46" operator="lessThan">
      <formula>0.9</formula>
    </cfRule>
    <cfRule type="cellIs" dxfId="90" priority="44" operator="greaterThan">
      <formula>1</formula>
    </cfRule>
    <cfRule type="cellIs" dxfId="89" priority="45" operator="between">
      <formula>0.9</formula>
      <formula>1</formula>
    </cfRule>
  </conditionalFormatting>
  <conditionalFormatting sqref="S10:S29">
    <cfRule type="cellIs" dxfId="88" priority="35" operator="between">
      <formula>0.9</formula>
      <formula>1</formula>
    </cfRule>
    <cfRule type="cellIs" dxfId="87" priority="34" operator="greaterThan">
      <formula>1</formula>
    </cfRule>
    <cfRule type="cellIs" dxfId="86" priority="36" operator="lessThan">
      <formula>0.9</formula>
    </cfRule>
  </conditionalFormatting>
  <conditionalFormatting sqref="S21:S29">
    <cfRule type="cellIs" priority="33" stopIfTrue="1" operator="equal">
      <formula>"Too early"</formula>
    </cfRule>
  </conditionalFormatting>
  <conditionalFormatting sqref="S31:S50">
    <cfRule type="cellIs" priority="29" stopIfTrue="1" operator="equal">
      <formula>"Too early"</formula>
    </cfRule>
    <cfRule type="cellIs" dxfId="85" priority="32" operator="lessThan">
      <formula>0.9</formula>
    </cfRule>
    <cfRule type="cellIs" dxfId="84" priority="30" operator="greaterThan">
      <formula>1</formula>
    </cfRule>
    <cfRule type="cellIs" dxfId="83" priority="31" operator="between">
      <formula>0.9</formula>
      <formula>1</formula>
    </cfRule>
  </conditionalFormatting>
  <conditionalFormatting sqref="S52:S77">
    <cfRule type="cellIs" dxfId="82" priority="26" operator="greaterThan">
      <formula>1</formula>
    </cfRule>
    <cfRule type="cellIs" dxfId="81" priority="27" operator="between">
      <formula>0.9</formula>
      <formula>1</formula>
    </cfRule>
    <cfRule type="cellIs" dxfId="80" priority="28" operator="lessThan">
      <formula>0.9</formula>
    </cfRule>
    <cfRule type="cellIs" priority="25" stopIfTrue="1" operator="equal">
      <formula>"Too early"</formula>
    </cfRule>
  </conditionalFormatting>
  <conditionalFormatting sqref="S79:S81">
    <cfRule type="cellIs" dxfId="79" priority="23" operator="between">
      <formula>0.9</formula>
      <formula>1</formula>
    </cfRule>
    <cfRule type="cellIs" dxfId="78" priority="22" operator="greaterThan">
      <formula>1</formula>
    </cfRule>
    <cfRule type="cellIs" dxfId="77" priority="24" operator="lessThan">
      <formula>0.9</formula>
    </cfRule>
    <cfRule type="cellIs" priority="21" stopIfTrue="1" operator="equal">
      <formula>"Too early"</formula>
    </cfRule>
  </conditionalFormatting>
  <conditionalFormatting sqref="S83:S87">
    <cfRule type="cellIs" dxfId="76" priority="20" operator="lessThan">
      <formula>0.9</formula>
    </cfRule>
    <cfRule type="cellIs" dxfId="75" priority="18" operator="greaterThan">
      <formula>1</formula>
    </cfRule>
    <cfRule type="cellIs" priority="17" stopIfTrue="1" operator="equal">
      <formula>"Too early"</formula>
    </cfRule>
    <cfRule type="cellIs" dxfId="74" priority="19" operator="between">
      <formula>0.9</formula>
      <formula>1</formula>
    </cfRule>
  </conditionalFormatting>
  <conditionalFormatting sqref="S89:S94">
    <cfRule type="cellIs" dxfId="73" priority="16" operator="lessThan">
      <formula>0.9</formula>
    </cfRule>
    <cfRule type="cellIs" dxfId="72" priority="15" operator="between">
      <formula>0.9</formula>
      <formula>1</formula>
    </cfRule>
    <cfRule type="cellIs" dxfId="71" priority="14" operator="greaterThan">
      <formula>1</formula>
    </cfRule>
    <cfRule type="cellIs" priority="13" stopIfTrue="1" operator="equal">
      <formula>"Too early"</formula>
    </cfRule>
  </conditionalFormatting>
  <conditionalFormatting sqref="S97:S102">
    <cfRule type="cellIs" priority="9" stopIfTrue="1" operator="equal">
      <formula>"Too early"</formula>
    </cfRule>
    <cfRule type="cellIs" dxfId="70" priority="10" operator="greaterThan">
      <formula>1</formula>
    </cfRule>
    <cfRule type="cellIs" dxfId="69" priority="12" operator="lessThan">
      <formula>0.9</formula>
    </cfRule>
    <cfRule type="cellIs" dxfId="68" priority="11" operator="between">
      <formula>0.9</formula>
      <formula>1</formula>
    </cfRule>
  </conditionalFormatting>
  <conditionalFormatting sqref="S104:S113">
    <cfRule type="cellIs" dxfId="67" priority="8" operator="lessThan">
      <formula>0.9</formula>
    </cfRule>
    <cfRule type="cellIs" dxfId="66" priority="7" operator="between">
      <formula>0.9</formula>
      <formula>1</formula>
    </cfRule>
    <cfRule type="cellIs" dxfId="65" priority="6" operator="greaterThan">
      <formula>1</formula>
    </cfRule>
    <cfRule type="cellIs" priority="5" stopIfTrue="1" operator="equal">
      <formula>"Too early"</formula>
    </cfRule>
  </conditionalFormatting>
  <conditionalFormatting sqref="S115:S117">
    <cfRule type="cellIs" dxfId="64" priority="2" operator="greaterThan">
      <formula>1</formula>
    </cfRule>
    <cfRule type="cellIs" dxfId="63" priority="3" operator="between">
      <formula>0.9</formula>
      <formula>1</formula>
    </cfRule>
    <cfRule type="cellIs" priority="1" stopIfTrue="1" operator="equal">
      <formula>"Too early"</formula>
    </cfRule>
    <cfRule type="cellIs" dxfId="62" priority="4" operator="lessThan">
      <formula>0.9</formula>
    </cfRule>
  </conditionalFormatting>
  <conditionalFormatting sqref="W21:W117">
    <cfRule type="cellIs" dxfId="61" priority="53" operator="equal">
      <formula>"Too early"</formula>
    </cfRule>
    <cfRule type="cellIs" dxfId="60" priority="54" operator="lessThanOrEqual">
      <formula>0.85</formula>
    </cfRule>
    <cfRule type="cellIs" dxfId="59" priority="55" operator="between">
      <formula>0.95</formula>
      <formula>0.85</formula>
    </cfRule>
    <cfRule type="cellIs" dxfId="58" priority="56" operator="greaterThanOrEqual">
      <formula>0.95</formula>
    </cfRule>
    <cfRule type="cellIs" dxfId="57" priority="49" stopIfTrue="1" operator="equal">
      <formula>""</formula>
    </cfRule>
  </conditionalFormatting>
  <conditionalFormatting sqref="W119:W128">
    <cfRule type="cellIs" dxfId="56" priority="96" operator="greaterThanOrEqual">
      <formula>0.95</formula>
    </cfRule>
    <cfRule type="cellIs" dxfId="55" priority="93" operator="equal">
      <formula>""</formula>
    </cfRule>
    <cfRule type="cellIs" dxfId="54" priority="94" operator="lessThanOrEqual">
      <formula>0.8</formula>
    </cfRule>
    <cfRule type="cellIs" dxfId="53" priority="95" operator="between">
      <formula>0.95</formula>
      <formula>0.8</formula>
    </cfRule>
  </conditionalFormatting>
  <conditionalFormatting sqref="AA30:AA117">
    <cfRule type="cellIs" dxfId="52" priority="61" operator="equal">
      <formula>""</formula>
    </cfRule>
    <cfRule type="cellIs" dxfId="51" priority="62" operator="lessThanOrEqual">
      <formula>0.8</formula>
    </cfRule>
    <cfRule type="cellIs" dxfId="50" priority="63" operator="between">
      <formula>0.95</formula>
      <formula>0.8</formula>
    </cfRule>
    <cfRule type="cellIs" dxfId="49" priority="64" operator="greaterThanOrEqual">
      <formula>0.95</formula>
    </cfRule>
    <cfRule type="cellIs" dxfId="48" priority="47" stopIfTrue="1" operator="equal">
      <formula>"N/A"</formula>
    </cfRule>
  </conditionalFormatting>
  <conditionalFormatting sqref="AA119:AA127">
    <cfRule type="cellIs" dxfId="47" priority="85" operator="equal">
      <formula>""</formula>
    </cfRule>
    <cfRule type="cellIs" dxfId="46" priority="87" operator="between">
      <formula>0.95</formula>
      <formula>0.8</formula>
    </cfRule>
    <cfRule type="cellIs" dxfId="45" priority="88" operator="greaterThanOrEqual">
      <formula>0.95</formula>
    </cfRule>
    <cfRule type="cellIs" dxfId="44" priority="86" operator="lessThanOrEqual">
      <formula>0.8</formula>
    </cfRule>
  </conditionalFormatting>
  <conditionalFormatting sqref="AC6:AC117">
    <cfRule type="cellIs" dxfId="43" priority="57" operator="equal">
      <formula>""</formula>
    </cfRule>
    <cfRule type="cellIs" dxfId="42" priority="58" operator="lessThanOrEqual">
      <formula>0.7</formula>
    </cfRule>
    <cfRule type="cellIs" dxfId="41" priority="59" operator="between">
      <formula>0.85</formula>
      <formula>0.7</formula>
    </cfRule>
    <cfRule type="cellIs" dxfId="40" priority="60" operator="greaterThanOrEqual">
      <formula>0.85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R11"/>
  <sheetViews>
    <sheetView workbookViewId="0"/>
  </sheetViews>
  <sheetFormatPr defaultRowHeight="14.4" x14ac:dyDescent="0.3"/>
  <cols>
    <col min="1" max="1" width="24.109375" customWidth="1"/>
  </cols>
  <sheetData>
    <row r="1" spans="1:18" x14ac:dyDescent="0.3">
      <c r="A1" t="s">
        <v>18</v>
      </c>
      <c r="B1" t="s">
        <v>121</v>
      </c>
      <c r="C1" t="s">
        <v>121</v>
      </c>
      <c r="D1" t="s">
        <v>121</v>
      </c>
      <c r="E1" t="s">
        <v>121</v>
      </c>
      <c r="F1" t="s">
        <v>122</v>
      </c>
      <c r="G1" t="s">
        <v>123</v>
      </c>
      <c r="H1" t="s">
        <v>123</v>
      </c>
      <c r="N1" s="388"/>
      <c r="O1" s="412" t="s">
        <v>18</v>
      </c>
      <c r="P1" s="413"/>
      <c r="Q1" s="413"/>
      <c r="R1" s="413"/>
    </row>
    <row r="2" spans="1:18" ht="53.4" x14ac:dyDescent="0.3">
      <c r="A2" t="s">
        <v>124</v>
      </c>
      <c r="B2" s="312">
        <v>45880</v>
      </c>
      <c r="C2" s="312">
        <v>45887</v>
      </c>
      <c r="D2" s="312">
        <v>45894</v>
      </c>
      <c r="E2" s="312">
        <v>45901</v>
      </c>
      <c r="F2" s="312">
        <v>45903</v>
      </c>
      <c r="G2" s="312">
        <v>45908</v>
      </c>
      <c r="H2" s="312">
        <v>45915</v>
      </c>
      <c r="I2" t="s">
        <v>125</v>
      </c>
      <c r="N2" s="389" t="s">
        <v>126</v>
      </c>
      <c r="O2" s="390" t="s">
        <v>62</v>
      </c>
      <c r="P2" s="390" t="s">
        <v>57</v>
      </c>
      <c r="Q2" s="390" t="s">
        <v>52</v>
      </c>
      <c r="R2" s="390" t="s">
        <v>127</v>
      </c>
    </row>
    <row r="3" spans="1:18" x14ac:dyDescent="0.3">
      <c r="B3">
        <v>5</v>
      </c>
      <c r="C3">
        <v>4</v>
      </c>
      <c r="D3" s="391">
        <v>3</v>
      </c>
      <c r="E3" s="391">
        <v>2</v>
      </c>
      <c r="F3" s="392"/>
      <c r="G3" s="391">
        <v>1</v>
      </c>
      <c r="H3" s="391">
        <v>0</v>
      </c>
      <c r="N3" s="389"/>
      <c r="O3" s="26"/>
      <c r="P3" s="26"/>
      <c r="Q3" s="26"/>
      <c r="R3" s="26"/>
    </row>
    <row r="4" spans="1:18" x14ac:dyDescent="0.3">
      <c r="A4" s="312" t="s">
        <v>128</v>
      </c>
      <c r="B4">
        <v>60</v>
      </c>
      <c r="C4">
        <v>160</v>
      </c>
      <c r="D4">
        <v>205</v>
      </c>
      <c r="E4">
        <v>262</v>
      </c>
      <c r="F4">
        <v>280</v>
      </c>
      <c r="I4">
        <f>1590-689</f>
        <v>901</v>
      </c>
      <c r="N4" s="389">
        <v>0</v>
      </c>
      <c r="O4" s="393">
        <v>1</v>
      </c>
      <c r="P4" s="393">
        <v>1</v>
      </c>
      <c r="Q4" s="393">
        <v>1</v>
      </c>
      <c r="R4" s="393">
        <v>1</v>
      </c>
    </row>
    <row r="5" spans="1:18" x14ac:dyDescent="0.3">
      <c r="A5" s="312" t="s">
        <v>129</v>
      </c>
      <c r="B5">
        <v>63</v>
      </c>
      <c r="C5">
        <v>206</v>
      </c>
      <c r="D5">
        <v>250</v>
      </c>
      <c r="E5">
        <v>294</v>
      </c>
      <c r="F5">
        <v>309</v>
      </c>
      <c r="I5">
        <f>1590-613</f>
        <v>977</v>
      </c>
      <c r="N5" s="388">
        <v>1</v>
      </c>
      <c r="O5" s="393">
        <v>0.59</v>
      </c>
      <c r="P5" s="393">
        <v>0.59</v>
      </c>
      <c r="Q5" s="393">
        <v>0.59</v>
      </c>
      <c r="R5" s="393">
        <v>0.59</v>
      </c>
    </row>
    <row r="6" spans="1:18" x14ac:dyDescent="0.3">
      <c r="A6" s="312" t="s">
        <v>130</v>
      </c>
      <c r="B6">
        <v>57</v>
      </c>
      <c r="C6">
        <v>219</v>
      </c>
      <c r="D6">
        <v>296</v>
      </c>
      <c r="E6">
        <v>322</v>
      </c>
      <c r="F6">
        <v>338</v>
      </c>
      <c r="I6">
        <f>1590-374</f>
        <v>1216</v>
      </c>
      <c r="N6" s="388">
        <v>2</v>
      </c>
      <c r="O6" s="394">
        <v>0.46</v>
      </c>
      <c r="P6" s="394">
        <v>0.46</v>
      </c>
      <c r="Q6" s="394">
        <v>0.46</v>
      </c>
      <c r="R6" s="394">
        <v>0.46</v>
      </c>
    </row>
    <row r="7" spans="1:18" x14ac:dyDescent="0.3">
      <c r="A7" s="312" t="s">
        <v>131</v>
      </c>
      <c r="B7" s="391">
        <f>$I$7*$J$7*P9</f>
        <v>255</v>
      </c>
      <c r="C7" s="391">
        <f>$I$7*$J$7*P8</f>
        <v>280.5</v>
      </c>
      <c r="D7" s="391">
        <f>$I$7*$J$7*P7</f>
        <v>331.5</v>
      </c>
      <c r="E7" s="391">
        <f>$I$7*$J$7*P6</f>
        <v>391</v>
      </c>
      <c r="F7" s="391">
        <v>410</v>
      </c>
      <c r="G7" s="391">
        <f>$I$7*$J$7*P5</f>
        <v>501.5</v>
      </c>
      <c r="H7" s="391">
        <f>$I$7*$J$7*P4</f>
        <v>850</v>
      </c>
      <c r="I7">
        <v>1000</v>
      </c>
      <c r="J7" s="128">
        <v>0.85</v>
      </c>
      <c r="N7" s="388">
        <v>3</v>
      </c>
      <c r="O7" s="393">
        <v>0.39</v>
      </c>
      <c r="P7" s="393">
        <v>0.39</v>
      </c>
      <c r="Q7" s="393">
        <v>0.39</v>
      </c>
      <c r="R7" s="393">
        <v>0.39</v>
      </c>
    </row>
    <row r="8" spans="1:18" x14ac:dyDescent="0.3">
      <c r="A8" s="312" t="s">
        <v>132</v>
      </c>
      <c r="B8" s="391">
        <f>AVERAGE(B4:B6)-B7</f>
        <v>-195</v>
      </c>
      <c r="C8" s="391">
        <f>AVERAGE(C4:C6)-C7</f>
        <v>-85.5</v>
      </c>
      <c r="D8" s="391">
        <f>AVERAGE(D4:D6)-D7</f>
        <v>-81.166666666666657</v>
      </c>
      <c r="E8" s="391">
        <f>AVERAGE(E4:E6)-E7</f>
        <v>-98.333333333333314</v>
      </c>
      <c r="F8" s="391">
        <f>AVERAGE(F4:F6)-F7</f>
        <v>-101</v>
      </c>
      <c r="N8" s="389">
        <v>4</v>
      </c>
      <c r="O8" s="393">
        <v>0.33</v>
      </c>
      <c r="P8" s="393">
        <v>0.33</v>
      </c>
      <c r="Q8" s="393">
        <v>0.33</v>
      </c>
      <c r="R8" s="393">
        <v>0.33</v>
      </c>
    </row>
    <row r="9" spans="1:18" x14ac:dyDescent="0.3">
      <c r="A9" s="312"/>
      <c r="N9" s="26">
        <v>5</v>
      </c>
      <c r="O9" s="393">
        <v>0.3</v>
      </c>
      <c r="P9" s="393">
        <v>0.3</v>
      </c>
      <c r="Q9" s="393">
        <v>0.3</v>
      </c>
      <c r="R9" s="393">
        <v>0.3</v>
      </c>
    </row>
    <row r="10" spans="1:18" x14ac:dyDescent="0.3">
      <c r="A10" s="312"/>
      <c r="N10" s="26">
        <v>6</v>
      </c>
      <c r="O10" s="393">
        <v>0.27</v>
      </c>
      <c r="P10" s="393">
        <v>0.27</v>
      </c>
      <c r="Q10" s="393">
        <v>0.27</v>
      </c>
      <c r="R10" s="393">
        <v>0.27</v>
      </c>
    </row>
    <row r="11" spans="1:18" x14ac:dyDescent="0.3">
      <c r="A11" s="312"/>
    </row>
  </sheetData>
  <mergeCells count="1">
    <mergeCell ref="O1:R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V11"/>
  <sheetViews>
    <sheetView workbookViewId="0"/>
  </sheetViews>
  <sheetFormatPr defaultRowHeight="14.4" x14ac:dyDescent="0.3"/>
  <cols>
    <col min="1" max="1" width="24.88671875" customWidth="1"/>
  </cols>
  <sheetData>
    <row r="1" spans="1:22" x14ac:dyDescent="0.3">
      <c r="A1" t="s">
        <v>18</v>
      </c>
      <c r="B1" t="s">
        <v>121</v>
      </c>
      <c r="C1" t="s">
        <v>121</v>
      </c>
      <c r="D1" t="s">
        <v>121</v>
      </c>
      <c r="E1" t="s">
        <v>121</v>
      </c>
      <c r="F1" t="s">
        <v>122</v>
      </c>
      <c r="G1" t="s">
        <v>123</v>
      </c>
      <c r="H1" t="s">
        <v>123</v>
      </c>
      <c r="R1" s="388"/>
      <c r="S1" s="412" t="s">
        <v>18</v>
      </c>
      <c r="T1" s="413"/>
      <c r="U1" s="413"/>
      <c r="V1" s="413"/>
    </row>
    <row r="2" spans="1:22" ht="53.4" x14ac:dyDescent="0.3">
      <c r="A2" t="s">
        <v>124</v>
      </c>
      <c r="B2" s="312">
        <v>45880</v>
      </c>
      <c r="C2" s="312">
        <v>45887</v>
      </c>
      <c r="D2" s="312">
        <v>45894</v>
      </c>
      <c r="E2" s="312">
        <v>45901</v>
      </c>
      <c r="F2" s="312">
        <v>45903</v>
      </c>
      <c r="G2" s="312">
        <v>45908</v>
      </c>
      <c r="H2" s="312">
        <v>45915</v>
      </c>
      <c r="I2" s="312">
        <v>45922</v>
      </c>
      <c r="J2" s="312">
        <v>45929</v>
      </c>
      <c r="K2" s="312">
        <v>45936</v>
      </c>
      <c r="L2" t="s">
        <v>125</v>
      </c>
      <c r="Q2" s="389" t="s">
        <v>126</v>
      </c>
      <c r="R2" s="390" t="s">
        <v>62</v>
      </c>
      <c r="S2" s="390" t="s">
        <v>57</v>
      </c>
      <c r="T2" s="390" t="s">
        <v>52</v>
      </c>
      <c r="U2" s="390" t="s">
        <v>127</v>
      </c>
    </row>
    <row r="3" spans="1:22" x14ac:dyDescent="0.3">
      <c r="B3">
        <v>8</v>
      </c>
      <c r="C3">
        <v>7</v>
      </c>
      <c r="D3">
        <v>6</v>
      </c>
      <c r="E3">
        <v>5</v>
      </c>
      <c r="G3">
        <v>4</v>
      </c>
      <c r="H3" s="391">
        <v>3</v>
      </c>
      <c r="I3" s="391">
        <v>2</v>
      </c>
      <c r="J3" s="391">
        <v>1</v>
      </c>
      <c r="K3" s="391">
        <v>0</v>
      </c>
      <c r="Q3" s="389"/>
      <c r="R3" s="26"/>
      <c r="S3" s="26"/>
      <c r="T3" s="26"/>
      <c r="U3" s="26"/>
    </row>
    <row r="4" spans="1:22" x14ac:dyDescent="0.3">
      <c r="A4" s="312" t="s">
        <v>128</v>
      </c>
      <c r="B4">
        <v>60</v>
      </c>
      <c r="C4">
        <v>100</v>
      </c>
      <c r="D4">
        <v>106</v>
      </c>
      <c r="E4">
        <v>135</v>
      </c>
      <c r="F4">
        <v>136</v>
      </c>
      <c r="L4">
        <f>1433-543</f>
        <v>890</v>
      </c>
      <c r="Q4" s="389">
        <v>0</v>
      </c>
      <c r="R4" s="393">
        <v>1</v>
      </c>
      <c r="S4" s="393">
        <v>1</v>
      </c>
      <c r="T4" s="393">
        <v>1</v>
      </c>
      <c r="U4" s="393">
        <v>1</v>
      </c>
    </row>
    <row r="5" spans="1:22" x14ac:dyDescent="0.3">
      <c r="A5" s="312" t="s">
        <v>129</v>
      </c>
      <c r="B5">
        <v>63</v>
      </c>
      <c r="C5">
        <v>98</v>
      </c>
      <c r="D5">
        <v>115</v>
      </c>
      <c r="E5">
        <v>130</v>
      </c>
      <c r="F5">
        <v>136</v>
      </c>
      <c r="L5">
        <f>1433-581</f>
        <v>852</v>
      </c>
      <c r="Q5" s="388">
        <v>1</v>
      </c>
      <c r="R5" s="393">
        <v>0.59</v>
      </c>
      <c r="S5" s="393">
        <v>0.59</v>
      </c>
      <c r="T5" s="393">
        <v>0.59</v>
      </c>
      <c r="U5" s="393">
        <v>0.59</v>
      </c>
    </row>
    <row r="6" spans="1:22" x14ac:dyDescent="0.3">
      <c r="A6" s="312" t="s">
        <v>130</v>
      </c>
      <c r="B6">
        <v>57</v>
      </c>
      <c r="C6">
        <v>137</v>
      </c>
      <c r="D6">
        <v>154</v>
      </c>
      <c r="E6">
        <v>174</v>
      </c>
      <c r="F6">
        <v>184</v>
      </c>
      <c r="L6">
        <f>1433-613</f>
        <v>820</v>
      </c>
      <c r="Q6" s="388">
        <v>2</v>
      </c>
      <c r="R6" s="394">
        <v>0.46</v>
      </c>
      <c r="S6" s="394">
        <v>0.46</v>
      </c>
      <c r="T6" s="394">
        <v>0.46</v>
      </c>
      <c r="U6" s="394">
        <v>0.46</v>
      </c>
    </row>
    <row r="7" spans="1:22" x14ac:dyDescent="0.3">
      <c r="A7" s="312" t="s">
        <v>131</v>
      </c>
      <c r="B7" s="391"/>
      <c r="C7" s="391"/>
      <c r="D7" s="391">
        <f>$L$7*0.85*R10</f>
        <v>195.07500000000002</v>
      </c>
      <c r="E7" s="391">
        <f>$L$7*0.85*R9</f>
        <v>216.75</v>
      </c>
      <c r="F7" s="391">
        <v>225</v>
      </c>
      <c r="G7" s="391">
        <f>$L$7*0.85*R8</f>
        <v>238.42500000000001</v>
      </c>
      <c r="H7" s="391">
        <f>$L$7*0.85*R7</f>
        <v>281.77500000000003</v>
      </c>
      <c r="I7" s="391">
        <f>$L$7*0.85*R6</f>
        <v>332.35</v>
      </c>
      <c r="J7" s="391">
        <f>$L$7*0.85*R5</f>
        <v>426.27499999999998</v>
      </c>
      <c r="K7" s="391">
        <f>$L$7*0.85*R4</f>
        <v>722.5</v>
      </c>
      <c r="L7">
        <v>850</v>
      </c>
      <c r="M7" s="128">
        <v>0.85</v>
      </c>
      <c r="Q7" s="388">
        <v>3</v>
      </c>
      <c r="R7" s="393">
        <v>0.39</v>
      </c>
      <c r="S7" s="393">
        <v>0.39</v>
      </c>
      <c r="T7" s="393">
        <v>0.39</v>
      </c>
      <c r="U7" s="393">
        <v>0.39</v>
      </c>
    </row>
    <row r="8" spans="1:22" x14ac:dyDescent="0.3">
      <c r="A8" s="312" t="s">
        <v>132</v>
      </c>
      <c r="B8" s="391"/>
      <c r="C8" s="391"/>
      <c r="D8" s="391">
        <f>AVERAGE(D4:D6)-D7</f>
        <v>-70.075000000000017</v>
      </c>
      <c r="E8" s="391">
        <f>AVERAGE(E4:E6)-E7</f>
        <v>-70.416666666666657</v>
      </c>
      <c r="F8" s="391">
        <f>AVERAGE(F4:F6)-F7</f>
        <v>-73</v>
      </c>
      <c r="G8" s="391"/>
      <c r="Q8" s="389">
        <v>4</v>
      </c>
      <c r="R8" s="393">
        <v>0.33</v>
      </c>
      <c r="S8" s="393">
        <v>0.33</v>
      </c>
      <c r="T8" s="393">
        <v>0.33</v>
      </c>
      <c r="U8" s="393">
        <v>0.33</v>
      </c>
    </row>
    <row r="9" spans="1:22" x14ac:dyDescent="0.3">
      <c r="A9" s="312"/>
      <c r="Q9" s="26">
        <v>5</v>
      </c>
      <c r="R9" s="393">
        <v>0.3</v>
      </c>
      <c r="S9" s="393">
        <v>0.3</v>
      </c>
      <c r="T9" s="393">
        <v>0.3</v>
      </c>
      <c r="U9" s="393">
        <v>0.3</v>
      </c>
    </row>
    <row r="10" spans="1:22" x14ac:dyDescent="0.3">
      <c r="A10" s="312"/>
      <c r="Q10" s="26">
        <v>6</v>
      </c>
      <c r="R10" s="393">
        <v>0.27</v>
      </c>
      <c r="S10" s="393">
        <v>0.27</v>
      </c>
      <c r="T10" s="393">
        <v>0.27</v>
      </c>
      <c r="U10" s="393">
        <v>0.27</v>
      </c>
    </row>
    <row r="11" spans="1:22" x14ac:dyDescent="0.3">
      <c r="A11" s="312"/>
    </row>
  </sheetData>
  <mergeCells count="1">
    <mergeCell ref="S1:V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23" workbookViewId="0">
      <selection activeCell="L24" sqref="L24"/>
    </sheetView>
  </sheetViews>
  <sheetFormatPr defaultColWidth="12.5546875" defaultRowHeight="15.6" x14ac:dyDescent="0.3"/>
  <cols>
    <col min="1" max="2" width="12.5546875" style="83"/>
    <col min="3" max="3" width="12.33203125" style="83" customWidth="1"/>
    <col min="4" max="4" width="9.44140625" style="83" bestFit="1" customWidth="1"/>
    <col min="5" max="5" width="12.6640625" style="83" customWidth="1"/>
    <col min="6" max="6" width="12.33203125" style="83" customWidth="1"/>
    <col min="7" max="7" width="11.5546875" style="83" customWidth="1"/>
    <col min="8" max="8" width="15.33203125" style="83" customWidth="1"/>
    <col min="9" max="9" width="12.33203125" style="83" customWidth="1"/>
    <col min="10" max="10" width="9.44140625" style="83" bestFit="1" customWidth="1"/>
    <col min="11" max="11" width="12.6640625" style="83" customWidth="1"/>
    <col min="12" max="12" width="16" style="83" customWidth="1"/>
    <col min="13" max="13" width="3.33203125" style="83" customWidth="1"/>
    <col min="14" max="14" width="11.109375" style="83" customWidth="1"/>
    <col min="15" max="15" width="9.109375" style="83"/>
    <col min="16" max="16" width="12.88671875" style="83" customWidth="1"/>
    <col min="17" max="17" width="14.44140625" style="83" bestFit="1" customWidth="1"/>
    <col min="18" max="18" width="17.6640625" style="83" bestFit="1" customWidth="1"/>
    <col min="19" max="19" width="9.109375" style="83"/>
    <col min="20" max="20" width="15.5546875" style="83" bestFit="1" customWidth="1"/>
    <col min="21" max="21" width="12.33203125" style="83" customWidth="1"/>
    <col min="22" max="22" width="9.109375" style="83"/>
    <col min="23" max="23" width="14.88671875" style="83" bestFit="1" customWidth="1"/>
    <col min="24" max="16384" width="12.5546875" style="83"/>
  </cols>
  <sheetData>
    <row r="1" spans="1:23" x14ac:dyDescent="0.3">
      <c r="B1" s="83" t="s">
        <v>133</v>
      </c>
      <c r="E1" s="84" t="s">
        <v>3</v>
      </c>
      <c r="F1" s="84"/>
      <c r="G1" s="84"/>
      <c r="J1" s="376" t="s">
        <v>134</v>
      </c>
      <c r="K1" s="376"/>
    </row>
    <row r="2" spans="1:23" x14ac:dyDescent="0.3">
      <c r="B2" s="83" t="s">
        <v>135</v>
      </c>
      <c r="E2" s="85" t="s">
        <v>136</v>
      </c>
      <c r="F2" s="86"/>
      <c r="G2" s="86"/>
      <c r="J2" s="87" t="s">
        <v>137</v>
      </c>
      <c r="K2" s="87"/>
      <c r="N2" s="137" t="s">
        <v>62</v>
      </c>
      <c r="S2" s="414" t="s">
        <v>138</v>
      </c>
      <c r="T2" s="414"/>
    </row>
    <row r="3" spans="1:23" x14ac:dyDescent="0.3">
      <c r="E3" s="88" t="s">
        <v>139</v>
      </c>
      <c r="F3" s="89"/>
      <c r="G3" s="89"/>
      <c r="J3" s="90" t="s">
        <v>140</v>
      </c>
      <c r="K3" s="90"/>
      <c r="N3" s="91">
        <v>0.72</v>
      </c>
      <c r="O3" s="83" t="s">
        <v>141</v>
      </c>
      <c r="S3" s="83" t="s">
        <v>142</v>
      </c>
      <c r="T3" s="83" t="s">
        <v>143</v>
      </c>
    </row>
    <row r="4" spans="1:23" x14ac:dyDescent="0.3">
      <c r="O4" s="92">
        <f>O8/S8*S4</f>
        <v>190.76951550216057</v>
      </c>
      <c r="P4" s="93">
        <f>P8/O8*O4</f>
        <v>67934.778672760774</v>
      </c>
      <c r="Q4" s="92">
        <f>Q8/S8*S4</f>
        <v>2954.7347372317399</v>
      </c>
      <c r="R4" s="93">
        <f>R8/Q8*Q4</f>
        <v>1567065.2213272392</v>
      </c>
      <c r="S4" s="275">
        <f>T4/(T8/S8)</f>
        <v>3145.5042527339006</v>
      </c>
      <c r="T4" s="276">
        <v>1635000</v>
      </c>
      <c r="U4" s="277" t="s">
        <v>144</v>
      </c>
    </row>
    <row r="5" spans="1:23" x14ac:dyDescent="0.3">
      <c r="B5" s="137" t="s">
        <v>145</v>
      </c>
      <c r="O5" s="92">
        <f>O9/S9*S5</f>
        <v>8.670865068310464</v>
      </c>
      <c r="P5" s="93">
        <f>P9/O9*O5</f>
        <v>2639.154412273163</v>
      </c>
      <c r="Q5" s="92">
        <f>Q9/S9*S5</f>
        <v>267.83338766558995</v>
      </c>
      <c r="R5" s="93">
        <f>R9/Q9*Q5</f>
        <v>147753.14647976376</v>
      </c>
      <c r="S5" s="92">
        <f>T5/(T8/S8)</f>
        <v>276.50425273390039</v>
      </c>
      <c r="T5" s="93">
        <f>T4-T8</f>
        <v>143724</v>
      </c>
      <c r="U5" s="83" t="s">
        <v>146</v>
      </c>
      <c r="W5" s="94"/>
    </row>
    <row r="6" spans="1:23" x14ac:dyDescent="0.3">
      <c r="C6" s="415" t="s">
        <v>147</v>
      </c>
      <c r="D6" s="415"/>
      <c r="E6" s="415"/>
      <c r="F6" s="415" t="s">
        <v>148</v>
      </c>
      <c r="G6" s="415"/>
      <c r="H6" s="415"/>
      <c r="I6" s="415" t="s">
        <v>144</v>
      </c>
      <c r="J6" s="415"/>
      <c r="K6" s="415"/>
      <c r="N6" s="137" t="s">
        <v>149</v>
      </c>
      <c r="W6" s="94"/>
    </row>
    <row r="7" spans="1:23" x14ac:dyDescent="0.3">
      <c r="A7" s="83" t="s">
        <v>150</v>
      </c>
      <c r="C7" s="95" t="s">
        <v>151</v>
      </c>
      <c r="D7" s="95" t="s">
        <v>152</v>
      </c>
      <c r="E7" s="95" t="s">
        <v>153</v>
      </c>
      <c r="F7" s="95" t="s">
        <v>151</v>
      </c>
      <c r="G7" s="95" t="s">
        <v>152</v>
      </c>
      <c r="H7" s="95" t="s">
        <v>153</v>
      </c>
      <c r="I7" s="95" t="s">
        <v>151</v>
      </c>
      <c r="J7" s="95" t="s">
        <v>152</v>
      </c>
      <c r="K7" s="95" t="s">
        <v>153</v>
      </c>
      <c r="L7" s="96" t="s">
        <v>154</v>
      </c>
      <c r="O7" s="83" t="s">
        <v>155</v>
      </c>
      <c r="P7" s="83" t="s">
        <v>156</v>
      </c>
      <c r="Q7" s="83" t="s">
        <v>157</v>
      </c>
      <c r="R7" s="83" t="s">
        <v>158</v>
      </c>
      <c r="S7" s="83" t="s">
        <v>159</v>
      </c>
      <c r="T7" s="83" t="s">
        <v>160</v>
      </c>
      <c r="U7" s="96" t="s">
        <v>161</v>
      </c>
    </row>
    <row r="8" spans="1:23" s="97" customFormat="1" x14ac:dyDescent="0.3">
      <c r="A8" s="97" t="s">
        <v>162</v>
      </c>
      <c r="I8" s="98">
        <f>I16</f>
        <v>2456</v>
      </c>
      <c r="J8" s="98"/>
      <c r="K8" s="99">
        <f>K16</f>
        <v>1408430</v>
      </c>
      <c r="L8" s="100"/>
      <c r="N8" s="97" t="s">
        <v>163</v>
      </c>
      <c r="O8" s="101">
        <f>O21</f>
        <v>174</v>
      </c>
      <c r="P8" s="102">
        <f t="shared" ref="P8:T8" si="0">P21</f>
        <v>61963</v>
      </c>
      <c r="Q8" s="101">
        <f t="shared" si="0"/>
        <v>2695</v>
      </c>
      <c r="R8" s="102">
        <f t="shared" si="0"/>
        <v>1429313</v>
      </c>
      <c r="S8" s="101">
        <f t="shared" si="0"/>
        <v>2869</v>
      </c>
      <c r="T8" s="102">
        <f t="shared" si="0"/>
        <v>1491276</v>
      </c>
      <c r="U8" s="103"/>
      <c r="W8" s="98"/>
    </row>
    <row r="9" spans="1:23" x14ac:dyDescent="0.3">
      <c r="A9" s="83">
        <v>1</v>
      </c>
      <c r="B9" s="104">
        <v>45747</v>
      </c>
      <c r="C9" s="105">
        <v>30</v>
      </c>
      <c r="D9" s="106">
        <f>C9/'Sales Pacing'!B3</f>
        <v>713.33333333333337</v>
      </c>
      <c r="E9" s="107">
        <v>16220</v>
      </c>
      <c r="F9" s="105">
        <v>898</v>
      </c>
      <c r="G9" s="106">
        <f>F9/'Sales Pacing'!E3</f>
        <v>3554.0218281036837</v>
      </c>
      <c r="H9" s="107">
        <v>527973</v>
      </c>
      <c r="I9" s="108">
        <f>C9+F9</f>
        <v>928</v>
      </c>
      <c r="J9" s="106">
        <f>D9+G9</f>
        <v>4267.3551614370172</v>
      </c>
      <c r="K9" s="109">
        <f>E9+H9</f>
        <v>544193</v>
      </c>
      <c r="L9" s="110"/>
      <c r="N9" s="104">
        <v>45383</v>
      </c>
      <c r="O9" s="108">
        <v>27</v>
      </c>
      <c r="P9" s="109">
        <v>8218</v>
      </c>
      <c r="Q9" s="108">
        <v>834</v>
      </c>
      <c r="R9" s="109">
        <v>460085</v>
      </c>
      <c r="S9" s="108">
        <f t="shared" ref="S9:T21" si="1">O9+Q9</f>
        <v>861</v>
      </c>
      <c r="T9" s="109">
        <f t="shared" si="1"/>
        <v>468303</v>
      </c>
      <c r="U9" s="96"/>
    </row>
    <row r="10" spans="1:23" x14ac:dyDescent="0.3">
      <c r="A10" s="83">
        <v>2</v>
      </c>
      <c r="B10" s="104">
        <v>45754</v>
      </c>
      <c r="C10" s="105">
        <v>39</v>
      </c>
      <c r="D10" s="106">
        <f>C10/'Sales Pacing'!B4</f>
        <v>642</v>
      </c>
      <c r="E10" s="107">
        <v>21024</v>
      </c>
      <c r="F10" s="105">
        <v>1136</v>
      </c>
      <c r="G10" s="106">
        <f>F10/'Sales Pacing'!E4</f>
        <v>3593.8233369683753</v>
      </c>
      <c r="H10" s="107">
        <v>652031</v>
      </c>
      <c r="I10" s="108">
        <f t="shared" ref="I10:K21" si="2">C10+F10</f>
        <v>1175</v>
      </c>
      <c r="J10" s="106">
        <f t="shared" si="2"/>
        <v>4235.8233369683749</v>
      </c>
      <c r="K10" s="109">
        <f t="shared" si="2"/>
        <v>673055</v>
      </c>
      <c r="L10" s="110">
        <f t="shared" ref="L10:L15" si="3">IF(K10&gt;0,K10-K9,0)</f>
        <v>128862</v>
      </c>
      <c r="N10" s="104">
        <f t="shared" ref="N10:N20" si="4">N9+7</f>
        <v>45390</v>
      </c>
      <c r="O10" s="108">
        <v>32</v>
      </c>
      <c r="P10" s="109">
        <v>12068</v>
      </c>
      <c r="Q10" s="108">
        <v>1194</v>
      </c>
      <c r="R10" s="109">
        <v>655718</v>
      </c>
      <c r="S10" s="108">
        <f t="shared" si="1"/>
        <v>1226</v>
      </c>
      <c r="T10" s="109">
        <f t="shared" si="1"/>
        <v>667786</v>
      </c>
      <c r="U10" s="110">
        <f t="shared" ref="U10:U21" si="5">IF(T10&gt;0,T10-T9,0)</f>
        <v>199483</v>
      </c>
    </row>
    <row r="11" spans="1:23" x14ac:dyDescent="0.3">
      <c r="A11" s="83">
        <v>3</v>
      </c>
      <c r="B11" s="104">
        <v>45761</v>
      </c>
      <c r="C11" s="105">
        <v>50</v>
      </c>
      <c r="D11" s="106">
        <f>C11/'Sales Pacing'!B5</f>
        <v>455.31914893617022</v>
      </c>
      <c r="E11" s="107">
        <v>27424</v>
      </c>
      <c r="F11" s="105">
        <v>1387</v>
      </c>
      <c r="G11" s="106">
        <f>F11/'Sales Pacing'!E5</f>
        <v>3529.5499999999997</v>
      </c>
      <c r="H11" s="107">
        <v>817109</v>
      </c>
      <c r="I11" s="108">
        <f t="shared" si="2"/>
        <v>1437</v>
      </c>
      <c r="J11" s="106">
        <f t="shared" si="2"/>
        <v>3984.8691489361699</v>
      </c>
      <c r="K11" s="109">
        <f t="shared" si="2"/>
        <v>844533</v>
      </c>
      <c r="L11" s="110">
        <f t="shared" si="3"/>
        <v>171478</v>
      </c>
      <c r="N11" s="104">
        <f t="shared" si="4"/>
        <v>45397</v>
      </c>
      <c r="O11" s="108">
        <v>36</v>
      </c>
      <c r="P11" s="109">
        <v>13657</v>
      </c>
      <c r="Q11" s="108">
        <v>1434</v>
      </c>
      <c r="R11" s="109">
        <v>789833</v>
      </c>
      <c r="S11" s="108">
        <f t="shared" si="1"/>
        <v>1470</v>
      </c>
      <c r="T11" s="109">
        <f t="shared" si="1"/>
        <v>803490</v>
      </c>
      <c r="U11" s="110">
        <f t="shared" si="5"/>
        <v>135704</v>
      </c>
      <c r="W11" s="111"/>
    </row>
    <row r="12" spans="1:23" x14ac:dyDescent="0.3">
      <c r="A12" s="83">
        <v>4</v>
      </c>
      <c r="B12" s="104">
        <v>45768</v>
      </c>
      <c r="C12" s="105">
        <v>76</v>
      </c>
      <c r="D12" s="106">
        <f>C12/'Sales Pacing'!B6</f>
        <v>591.41818181818189</v>
      </c>
      <c r="E12" s="107">
        <v>40984</v>
      </c>
      <c r="F12" s="105">
        <v>1739</v>
      </c>
      <c r="G12" s="106">
        <f>F12/'Sales Pacing'!E6</f>
        <v>3653.0333091962348</v>
      </c>
      <c r="H12" s="107">
        <v>1005395</v>
      </c>
      <c r="I12" s="108">
        <f t="shared" si="2"/>
        <v>1815</v>
      </c>
      <c r="J12" s="106">
        <f t="shared" si="2"/>
        <v>4244.4514910144171</v>
      </c>
      <c r="K12" s="109">
        <f t="shared" si="2"/>
        <v>1046379</v>
      </c>
      <c r="L12" s="110">
        <f t="shared" si="3"/>
        <v>201846</v>
      </c>
      <c r="N12" s="104">
        <f t="shared" si="4"/>
        <v>45404</v>
      </c>
      <c r="O12" s="108">
        <v>45</v>
      </c>
      <c r="P12" s="109">
        <v>17584</v>
      </c>
      <c r="Q12" s="108">
        <v>1789</v>
      </c>
      <c r="R12" s="109">
        <v>976040</v>
      </c>
      <c r="S12" s="108">
        <f t="shared" si="1"/>
        <v>1834</v>
      </c>
      <c r="T12" s="109">
        <f t="shared" si="1"/>
        <v>993624</v>
      </c>
      <c r="U12" s="110">
        <f t="shared" si="5"/>
        <v>190134</v>
      </c>
    </row>
    <row r="13" spans="1:23" x14ac:dyDescent="0.3">
      <c r="A13" s="86">
        <v>5</v>
      </c>
      <c r="B13" s="104">
        <f t="shared" ref="B13:B20" si="6">B12+7</f>
        <v>45775</v>
      </c>
      <c r="C13" s="105">
        <v>112</v>
      </c>
      <c r="D13" s="106">
        <f>C13/'Sales Pacing'!B7</f>
        <v>684.80000000000007</v>
      </c>
      <c r="E13" s="107">
        <v>54163</v>
      </c>
      <c r="F13" s="105">
        <v>2160</v>
      </c>
      <c r="G13" s="106">
        <f>F13/'Sales Pacing'!E7</f>
        <v>3788.4885126964932</v>
      </c>
      <c r="H13" s="107">
        <v>1232817</v>
      </c>
      <c r="I13" s="112">
        <f t="shared" si="2"/>
        <v>2272</v>
      </c>
      <c r="J13" s="106">
        <f t="shared" si="2"/>
        <v>4473.2885126964929</v>
      </c>
      <c r="K13" s="109">
        <f t="shared" si="2"/>
        <v>1286980</v>
      </c>
      <c r="L13" s="110">
        <f t="shared" si="3"/>
        <v>240601</v>
      </c>
      <c r="N13" s="104">
        <f t="shared" si="4"/>
        <v>45411</v>
      </c>
      <c r="O13" s="108">
        <v>47</v>
      </c>
      <c r="P13" s="109">
        <v>17987</v>
      </c>
      <c r="Q13" s="108">
        <v>2005</v>
      </c>
      <c r="R13" s="109">
        <v>1080463</v>
      </c>
      <c r="S13" s="108">
        <f t="shared" si="1"/>
        <v>2052</v>
      </c>
      <c r="T13" s="109">
        <f t="shared" si="1"/>
        <v>1098450</v>
      </c>
      <c r="U13" s="110">
        <f t="shared" si="5"/>
        <v>104826</v>
      </c>
    </row>
    <row r="14" spans="1:23" x14ac:dyDescent="0.3">
      <c r="A14" s="83">
        <v>6</v>
      </c>
      <c r="B14" s="104">
        <f t="shared" si="6"/>
        <v>45782</v>
      </c>
      <c r="C14" s="105">
        <v>121</v>
      </c>
      <c r="D14" s="106">
        <f>C14/'Sales Pacing'!B8</f>
        <v>533.89690721649481</v>
      </c>
      <c r="E14" s="107">
        <v>58153</v>
      </c>
      <c r="F14" s="105">
        <v>2252</v>
      </c>
      <c r="G14" s="106">
        <f>F14/'Sales Pacing'!E8</f>
        <v>3121.3817486860971</v>
      </c>
      <c r="H14" s="107">
        <v>1294295</v>
      </c>
      <c r="I14" s="113">
        <f t="shared" si="2"/>
        <v>2373</v>
      </c>
      <c r="J14" s="106">
        <f t="shared" si="2"/>
        <v>3655.2786559025917</v>
      </c>
      <c r="K14" s="114">
        <f t="shared" si="2"/>
        <v>1352448</v>
      </c>
      <c r="L14" s="110">
        <f t="shared" si="3"/>
        <v>65468</v>
      </c>
      <c r="N14" s="104">
        <f t="shared" si="4"/>
        <v>45418</v>
      </c>
      <c r="O14" s="108">
        <v>70</v>
      </c>
      <c r="P14" s="109">
        <v>26832</v>
      </c>
      <c r="Q14" s="108">
        <v>2362</v>
      </c>
      <c r="R14" s="109">
        <v>1271615</v>
      </c>
      <c r="S14" s="108">
        <f t="shared" si="1"/>
        <v>2432</v>
      </c>
      <c r="T14" s="109">
        <f t="shared" si="1"/>
        <v>1298447</v>
      </c>
      <c r="U14" s="110">
        <f t="shared" si="5"/>
        <v>199997</v>
      </c>
    </row>
    <row r="15" spans="1:23" x14ac:dyDescent="0.3">
      <c r="A15" s="83">
        <v>7</v>
      </c>
      <c r="B15" s="104">
        <f t="shared" si="6"/>
        <v>45789</v>
      </c>
      <c r="C15" s="105">
        <v>122</v>
      </c>
      <c r="D15" s="106">
        <f>C15/'Sales Pacing'!B9</f>
        <v>404.77519379844961</v>
      </c>
      <c r="E15" s="107">
        <v>59763</v>
      </c>
      <c r="F15" s="105">
        <v>2293</v>
      </c>
      <c r="G15" s="106">
        <f>F15/'Sales Pacing'!E9</f>
        <v>2534.0925714285713</v>
      </c>
      <c r="H15" s="107">
        <v>1322554</v>
      </c>
      <c r="I15" s="113">
        <f t="shared" si="2"/>
        <v>2415</v>
      </c>
      <c r="J15" s="106">
        <f t="shared" si="2"/>
        <v>2938.8677652270208</v>
      </c>
      <c r="K15" s="114">
        <f t="shared" si="2"/>
        <v>1382317</v>
      </c>
      <c r="L15" s="110">
        <f t="shared" si="3"/>
        <v>29869</v>
      </c>
      <c r="N15" s="104">
        <f t="shared" si="4"/>
        <v>45425</v>
      </c>
      <c r="O15" s="108">
        <v>76</v>
      </c>
      <c r="P15" s="109">
        <v>28802</v>
      </c>
      <c r="Q15" s="108">
        <v>2443</v>
      </c>
      <c r="R15" s="109">
        <v>1319275</v>
      </c>
      <c r="S15" s="108">
        <f t="shared" si="1"/>
        <v>2519</v>
      </c>
      <c r="T15" s="109">
        <f t="shared" si="1"/>
        <v>1348077</v>
      </c>
      <c r="U15" s="110">
        <f t="shared" si="5"/>
        <v>49630</v>
      </c>
    </row>
    <row r="16" spans="1:23" x14ac:dyDescent="0.3">
      <c r="A16" s="83">
        <v>8</v>
      </c>
      <c r="B16" s="104">
        <f t="shared" si="6"/>
        <v>45796</v>
      </c>
      <c r="C16" s="84">
        <v>134</v>
      </c>
      <c r="D16" s="106">
        <f>C16/'Sales Pacing'!B10</f>
        <v>382.34666666666669</v>
      </c>
      <c r="E16" s="115">
        <v>63528</v>
      </c>
      <c r="F16" s="116">
        <v>2322</v>
      </c>
      <c r="G16" s="106">
        <f>F16/'Sales Pacing'!E10</f>
        <v>2473.7869996327581</v>
      </c>
      <c r="H16" s="115">
        <v>1344902</v>
      </c>
      <c r="I16" s="113">
        <f t="shared" si="2"/>
        <v>2456</v>
      </c>
      <c r="J16" s="106">
        <f t="shared" si="2"/>
        <v>2856.1336662994249</v>
      </c>
      <c r="K16" s="114">
        <f t="shared" si="2"/>
        <v>1408430</v>
      </c>
      <c r="L16" s="110">
        <f>IF(K16&gt;0,K16-K15,0)</f>
        <v>26113</v>
      </c>
      <c r="N16" s="104">
        <f t="shared" si="4"/>
        <v>45432</v>
      </c>
      <c r="O16" s="108">
        <v>85</v>
      </c>
      <c r="P16" s="109">
        <v>30752</v>
      </c>
      <c r="Q16" s="108">
        <v>2473</v>
      </c>
      <c r="R16" s="109">
        <v>1329297</v>
      </c>
      <c r="S16" s="108">
        <f t="shared" si="1"/>
        <v>2558</v>
      </c>
      <c r="T16" s="109">
        <f t="shared" si="1"/>
        <v>1360049</v>
      </c>
      <c r="U16" s="110">
        <f t="shared" si="5"/>
        <v>11972</v>
      </c>
      <c r="W16" s="92"/>
    </row>
    <row r="17" spans="1:23" x14ac:dyDescent="0.3">
      <c r="A17" s="83">
        <v>9</v>
      </c>
      <c r="B17" s="104">
        <f t="shared" si="6"/>
        <v>45803</v>
      </c>
      <c r="C17" s="84">
        <v>146</v>
      </c>
      <c r="D17" s="106">
        <f>C17/'Sales Pacing'!B11</f>
        <v>369.75147928994079</v>
      </c>
      <c r="E17" s="115">
        <v>67946</v>
      </c>
      <c r="F17" s="116">
        <v>2345</v>
      </c>
      <c r="G17" s="106">
        <f>F17/'Sales Pacing'!E11</f>
        <v>2468.3762699564586</v>
      </c>
      <c r="H17" s="115">
        <v>1357272</v>
      </c>
      <c r="I17" s="113">
        <f t="shared" si="2"/>
        <v>2491</v>
      </c>
      <c r="J17" s="106">
        <f t="shared" si="2"/>
        <v>2838.1277492463996</v>
      </c>
      <c r="K17" s="114">
        <f t="shared" si="2"/>
        <v>1425218</v>
      </c>
      <c r="L17" s="110">
        <f t="shared" ref="L17:L20" si="7">IF(K17&gt;0,K17-K16,0)</f>
        <v>16788</v>
      </c>
      <c r="N17" s="104">
        <f t="shared" si="4"/>
        <v>45439</v>
      </c>
      <c r="O17" s="108">
        <v>91</v>
      </c>
      <c r="P17" s="109">
        <v>32154</v>
      </c>
      <c r="Q17" s="108">
        <v>2513</v>
      </c>
      <c r="R17" s="109">
        <v>1344658</v>
      </c>
      <c r="S17" s="108">
        <f t="shared" si="1"/>
        <v>2604</v>
      </c>
      <c r="T17" s="109">
        <f t="shared" si="1"/>
        <v>1376812</v>
      </c>
      <c r="U17" s="110">
        <f t="shared" si="5"/>
        <v>16763</v>
      </c>
      <c r="W17" s="92"/>
    </row>
    <row r="18" spans="1:23" x14ac:dyDescent="0.3">
      <c r="A18" s="83">
        <v>10</v>
      </c>
      <c r="B18" s="104">
        <f t="shared" si="6"/>
        <v>45810</v>
      </c>
      <c r="C18" s="84">
        <v>165</v>
      </c>
      <c r="D18" s="106">
        <f>C18/'Sales Pacing'!B12</f>
        <v>377.64705882352939</v>
      </c>
      <c r="E18" s="115">
        <v>75744</v>
      </c>
      <c r="F18" s="116">
        <v>2369</v>
      </c>
      <c r="G18" s="106">
        <f>F18/'Sales Pacing'!E12</f>
        <v>2461.4860315186247</v>
      </c>
      <c r="H18" s="115">
        <v>1380368</v>
      </c>
      <c r="I18" s="113">
        <f t="shared" si="2"/>
        <v>2534</v>
      </c>
      <c r="J18" s="106">
        <f t="shared" si="2"/>
        <v>2839.133090342154</v>
      </c>
      <c r="K18" s="114">
        <f t="shared" si="2"/>
        <v>1456112</v>
      </c>
      <c r="L18" s="110">
        <f t="shared" si="7"/>
        <v>30894</v>
      </c>
      <c r="N18" s="104">
        <f t="shared" si="4"/>
        <v>45446</v>
      </c>
      <c r="O18" s="108">
        <v>94</v>
      </c>
      <c r="P18" s="109">
        <v>32854</v>
      </c>
      <c r="Q18" s="108">
        <v>2608</v>
      </c>
      <c r="R18" s="109">
        <v>1391277</v>
      </c>
      <c r="S18" s="108">
        <f t="shared" si="1"/>
        <v>2702</v>
      </c>
      <c r="T18" s="109">
        <f t="shared" si="1"/>
        <v>1424131</v>
      </c>
      <c r="U18" s="110">
        <f t="shared" si="5"/>
        <v>47319</v>
      </c>
      <c r="W18" s="92"/>
    </row>
    <row r="19" spans="1:23" x14ac:dyDescent="0.3">
      <c r="A19" s="89">
        <v>11</v>
      </c>
      <c r="B19" s="104">
        <f t="shared" si="6"/>
        <v>45817</v>
      </c>
      <c r="C19" s="84">
        <v>186</v>
      </c>
      <c r="D19" s="106">
        <f>C19/'Sales Pacing'!B13</f>
        <v>396.05970149253727</v>
      </c>
      <c r="E19" s="115">
        <v>89633</v>
      </c>
      <c r="F19" s="116">
        <v>2384</v>
      </c>
      <c r="G19" s="106">
        <f>F19/'Sales Pacing'!E13</f>
        <v>2469.1124598357728</v>
      </c>
      <c r="H19" s="115">
        <v>1390065</v>
      </c>
      <c r="I19" s="117">
        <f t="shared" si="2"/>
        <v>2570</v>
      </c>
      <c r="J19" s="106">
        <f t="shared" si="2"/>
        <v>2865.1721613283103</v>
      </c>
      <c r="K19" s="114">
        <f t="shared" si="2"/>
        <v>1479698</v>
      </c>
      <c r="L19" s="110">
        <f t="shared" si="7"/>
        <v>23586</v>
      </c>
      <c r="N19" s="104">
        <f t="shared" si="4"/>
        <v>45453</v>
      </c>
      <c r="O19" s="108">
        <v>95</v>
      </c>
      <c r="P19" s="109">
        <v>33169</v>
      </c>
      <c r="Q19" s="108">
        <v>2628</v>
      </c>
      <c r="R19" s="109">
        <v>1398365</v>
      </c>
      <c r="S19" s="108">
        <f t="shared" si="1"/>
        <v>2723</v>
      </c>
      <c r="T19" s="109">
        <f t="shared" si="1"/>
        <v>1431534</v>
      </c>
      <c r="U19" s="110">
        <f t="shared" si="5"/>
        <v>7403</v>
      </c>
      <c r="W19" s="92"/>
    </row>
    <row r="20" spans="1:23" x14ac:dyDescent="0.3">
      <c r="A20" s="83">
        <v>12</v>
      </c>
      <c r="B20" s="104">
        <f t="shared" si="6"/>
        <v>45824</v>
      </c>
      <c r="C20" s="84">
        <v>205</v>
      </c>
      <c r="D20" s="106">
        <f>C20/'Sales Pacing'!B14</f>
        <v>404.33179723502309</v>
      </c>
      <c r="E20" s="115">
        <v>94753</v>
      </c>
      <c r="F20" s="116">
        <v>2413</v>
      </c>
      <c r="G20" s="106">
        <f>F20/'Sales Pacing'!E14</f>
        <v>2491.1434163701065</v>
      </c>
      <c r="H20" s="115">
        <v>1408181</v>
      </c>
      <c r="I20" s="113">
        <f t="shared" si="2"/>
        <v>2618</v>
      </c>
      <c r="J20" s="106">
        <f t="shared" si="2"/>
        <v>2895.4752136051297</v>
      </c>
      <c r="K20" s="114">
        <f t="shared" si="2"/>
        <v>1502934</v>
      </c>
      <c r="L20" s="110">
        <f t="shared" si="7"/>
        <v>23236</v>
      </c>
      <c r="N20" s="104">
        <f t="shared" si="4"/>
        <v>45460</v>
      </c>
      <c r="O20" s="108">
        <v>103</v>
      </c>
      <c r="P20" s="109">
        <v>35745</v>
      </c>
      <c r="Q20" s="108">
        <v>2655</v>
      </c>
      <c r="R20" s="109">
        <v>1411925</v>
      </c>
      <c r="S20" s="108">
        <f t="shared" si="1"/>
        <v>2758</v>
      </c>
      <c r="T20" s="109">
        <f t="shared" si="1"/>
        <v>1447670</v>
      </c>
      <c r="U20" s="110">
        <f t="shared" si="5"/>
        <v>16136</v>
      </c>
      <c r="W20" s="92"/>
    </row>
    <row r="21" spans="1:23" x14ac:dyDescent="0.3">
      <c r="A21" s="118" t="s">
        <v>164</v>
      </c>
      <c r="B21" s="373">
        <v>45901</v>
      </c>
      <c r="C21" s="84">
        <v>290</v>
      </c>
      <c r="D21" s="106">
        <f>C21/'Sales Pacing'!B15</f>
        <v>290</v>
      </c>
      <c r="E21" s="115">
        <v>131355</v>
      </c>
      <c r="F21" s="116">
        <v>2425</v>
      </c>
      <c r="G21" s="106">
        <f>F21/'Sales Pacing'!E15</f>
        <v>2425</v>
      </c>
      <c r="H21" s="115">
        <v>1410448</v>
      </c>
      <c r="I21" s="113">
        <f t="shared" si="2"/>
        <v>2715</v>
      </c>
      <c r="J21" s="106">
        <f t="shared" si="2"/>
        <v>2715</v>
      </c>
      <c r="K21" s="375">
        <f t="shared" si="2"/>
        <v>1541803</v>
      </c>
      <c r="L21" s="110">
        <f>IF(K21&gt;0,K21-K20,0)</f>
        <v>38869</v>
      </c>
      <c r="N21" s="119" t="s">
        <v>165</v>
      </c>
      <c r="O21" s="108">
        <v>174</v>
      </c>
      <c r="P21" s="109">
        <v>61963</v>
      </c>
      <c r="Q21" s="108">
        <v>2695</v>
      </c>
      <c r="R21" s="109">
        <v>1429313</v>
      </c>
      <c r="S21" s="108">
        <f t="shared" si="1"/>
        <v>2869</v>
      </c>
      <c r="T21" s="109">
        <f t="shared" si="1"/>
        <v>1491276</v>
      </c>
      <c r="U21" s="110">
        <f t="shared" si="5"/>
        <v>43606</v>
      </c>
      <c r="W21" s="92"/>
    </row>
    <row r="22" spans="1:23" x14ac:dyDescent="0.3">
      <c r="C22" s="108"/>
      <c r="D22" s="108"/>
      <c r="E22" s="109"/>
      <c r="F22" s="108"/>
      <c r="G22" s="108"/>
      <c r="H22" s="109"/>
      <c r="I22" s="108" t="s">
        <v>166</v>
      </c>
      <c r="J22" s="372">
        <f>J21/$S$4</f>
        <v>0.86313664896185416</v>
      </c>
      <c r="K22" s="242">
        <f>K21/$T$4</f>
        <v>0.94299877675840982</v>
      </c>
      <c r="L22" s="109"/>
      <c r="N22" s="104"/>
      <c r="T22" s="109"/>
    </row>
    <row r="23" spans="1:23" x14ac:dyDescent="0.3">
      <c r="B23" s="83" t="s">
        <v>167</v>
      </c>
      <c r="C23" s="108"/>
      <c r="D23" s="108"/>
      <c r="E23" s="109"/>
      <c r="F23" s="108"/>
      <c r="G23" s="108"/>
      <c r="H23" s="109"/>
      <c r="I23" s="108"/>
      <c r="J23" s="108"/>
      <c r="K23" s="109"/>
      <c r="L23" s="109"/>
    </row>
    <row r="24" spans="1:23" x14ac:dyDescent="0.3">
      <c r="B24" s="120">
        <f>F15/S8</f>
        <v>0.79923318229348206</v>
      </c>
      <c r="C24" s="108"/>
      <c r="D24" s="108"/>
      <c r="E24" s="109" t="s">
        <v>168</v>
      </c>
      <c r="F24" s="108"/>
      <c r="G24" s="108"/>
      <c r="H24" s="109"/>
      <c r="I24" s="108"/>
      <c r="J24" s="108"/>
      <c r="K24" s="242"/>
      <c r="L24" s="109"/>
      <c r="N24" s="137" t="s">
        <v>57</v>
      </c>
      <c r="S24" s="414" t="s">
        <v>169</v>
      </c>
      <c r="T24" s="414"/>
    </row>
    <row r="25" spans="1:23" x14ac:dyDescent="0.3">
      <c r="C25" s="108"/>
      <c r="D25" s="108"/>
      <c r="E25" s="109"/>
      <c r="F25" s="108"/>
      <c r="G25" s="108"/>
      <c r="H25" s="109"/>
      <c r="I25" s="108"/>
      <c r="J25" s="108"/>
      <c r="K25" s="109"/>
      <c r="L25" s="109"/>
      <c r="N25" s="91">
        <v>0.26</v>
      </c>
      <c r="O25" s="83" t="s">
        <v>141</v>
      </c>
      <c r="S25" s="83" t="s">
        <v>142</v>
      </c>
      <c r="T25" s="83" t="s">
        <v>143</v>
      </c>
    </row>
    <row r="26" spans="1:23" x14ac:dyDescent="0.3">
      <c r="C26" s="108"/>
      <c r="D26" s="108"/>
      <c r="E26" s="109"/>
      <c r="F26" s="108"/>
      <c r="G26" s="108"/>
      <c r="H26" s="109"/>
      <c r="I26" s="108"/>
      <c r="J26" s="108"/>
      <c r="K26" s="109"/>
      <c r="L26" s="109"/>
      <c r="O26" s="92">
        <f>O30/S30*S26</f>
        <v>240.07343118412092</v>
      </c>
      <c r="P26" s="93">
        <f>P30/O30*O26</f>
        <v>69318.269023589324</v>
      </c>
      <c r="Q26" s="92">
        <f>Q30/S30*S26</f>
        <v>1547.1398898532236</v>
      </c>
      <c r="R26" s="93">
        <f>R30/Q30*Q26</f>
        <v>549681.73097641056</v>
      </c>
      <c r="S26" s="275">
        <f>T26/(T30/S30)</f>
        <v>1787.2133210373447</v>
      </c>
      <c r="T26" s="276">
        <v>619000</v>
      </c>
      <c r="U26" s="277" t="s">
        <v>144</v>
      </c>
    </row>
    <row r="27" spans="1:23" x14ac:dyDescent="0.3">
      <c r="B27" s="137" t="s">
        <v>170</v>
      </c>
      <c r="O27" s="92">
        <f>O31/S31*S27</f>
        <v>3.2060948867812784</v>
      </c>
      <c r="P27" s="93">
        <f>P31/O31*O27</f>
        <v>1038.7747433171342</v>
      </c>
      <c r="Q27" s="92">
        <f>Q31/S31*S27</f>
        <v>109.00722615056347</v>
      </c>
      <c r="R27" s="93">
        <f>R31/Q31*Q27</f>
        <v>44362.73494839255</v>
      </c>
      <c r="S27" s="92">
        <f>T27/(T30/S30)</f>
        <v>112.21332103734474</v>
      </c>
      <c r="T27" s="93">
        <f>T26-T30</f>
        <v>38865</v>
      </c>
      <c r="U27" s="83" t="s">
        <v>146</v>
      </c>
      <c r="W27" s="94"/>
    </row>
    <row r="28" spans="1:23" x14ac:dyDescent="0.3">
      <c r="C28" s="415" t="s">
        <v>147</v>
      </c>
      <c r="D28" s="415"/>
      <c r="E28" s="415"/>
      <c r="F28" s="415" t="s">
        <v>148</v>
      </c>
      <c r="G28" s="415"/>
      <c r="H28" s="415"/>
      <c r="I28" s="415" t="s">
        <v>144</v>
      </c>
      <c r="J28" s="415"/>
      <c r="K28" s="415"/>
      <c r="N28" s="137" t="s">
        <v>171</v>
      </c>
    </row>
    <row r="29" spans="1:23" x14ac:dyDescent="0.3">
      <c r="C29" s="95" t="s">
        <v>151</v>
      </c>
      <c r="D29" s="95" t="s">
        <v>152</v>
      </c>
      <c r="E29" s="95" t="s">
        <v>153</v>
      </c>
      <c r="F29" s="95" t="s">
        <v>151</v>
      </c>
      <c r="G29" s="95" t="s">
        <v>152</v>
      </c>
      <c r="H29" s="95" t="s">
        <v>153</v>
      </c>
      <c r="I29" s="95" t="s">
        <v>151</v>
      </c>
      <c r="J29" s="95" t="s">
        <v>152</v>
      </c>
      <c r="K29" s="95" t="s">
        <v>153</v>
      </c>
      <c r="L29" s="96" t="s">
        <v>154</v>
      </c>
      <c r="O29" s="83" t="s">
        <v>155</v>
      </c>
      <c r="P29" s="83" t="s">
        <v>156</v>
      </c>
      <c r="Q29" s="83" t="s">
        <v>157</v>
      </c>
      <c r="R29" s="83" t="s">
        <v>158</v>
      </c>
      <c r="S29" s="83" t="s">
        <v>159</v>
      </c>
      <c r="T29" s="83" t="s">
        <v>160</v>
      </c>
      <c r="U29" s="96" t="s">
        <v>161</v>
      </c>
    </row>
    <row r="30" spans="1:23" s="97" customFormat="1" x14ac:dyDescent="0.3">
      <c r="A30" s="97" t="s">
        <v>162</v>
      </c>
      <c r="I30" s="98">
        <f>I38</f>
        <v>1561</v>
      </c>
      <c r="J30" s="98"/>
      <c r="K30" s="99">
        <f>K38</f>
        <v>591188</v>
      </c>
      <c r="L30" s="100"/>
      <c r="N30" s="97" t="s">
        <v>163</v>
      </c>
      <c r="O30" s="101">
        <f>O43</f>
        <v>225</v>
      </c>
      <c r="P30" s="101">
        <f t="shared" ref="P30:T30" si="8">P43</f>
        <v>64966</v>
      </c>
      <c r="Q30" s="101">
        <f t="shared" si="8"/>
        <v>1450</v>
      </c>
      <c r="R30" s="101">
        <f t="shared" si="8"/>
        <v>515169</v>
      </c>
      <c r="S30" s="101">
        <f t="shared" si="8"/>
        <v>1675</v>
      </c>
      <c r="T30" s="101">
        <f t="shared" si="8"/>
        <v>580135</v>
      </c>
      <c r="U30" s="100"/>
    </row>
    <row r="31" spans="1:23" x14ac:dyDescent="0.3">
      <c r="A31" s="83">
        <v>1</v>
      </c>
      <c r="B31" s="104">
        <v>45747</v>
      </c>
      <c r="C31" s="105">
        <v>38</v>
      </c>
      <c r="D31" s="106">
        <f>C31/'Sales Pacing'!C3</f>
        <v>1048.1666666666665</v>
      </c>
      <c r="E31" s="107">
        <v>13163</v>
      </c>
      <c r="F31" s="105">
        <v>636</v>
      </c>
      <c r="G31" s="106">
        <f>F31/'Sales Pacing'!F3</f>
        <v>5546.3926541320507</v>
      </c>
      <c r="H31" s="107">
        <v>258782</v>
      </c>
      <c r="I31" s="108">
        <f t="shared" ref="I31:K43" si="9">C31+F31</f>
        <v>674</v>
      </c>
      <c r="J31" s="106">
        <f t="shared" si="9"/>
        <v>6594.5593207987167</v>
      </c>
      <c r="K31" s="109">
        <f t="shared" si="9"/>
        <v>271945</v>
      </c>
      <c r="L31" s="110"/>
      <c r="N31" s="104">
        <v>45383</v>
      </c>
      <c r="O31" s="108">
        <v>2</v>
      </c>
      <c r="P31" s="109">
        <v>648</v>
      </c>
      <c r="Q31" s="108">
        <v>68</v>
      </c>
      <c r="R31" s="109">
        <v>27674</v>
      </c>
      <c r="S31" s="108">
        <f t="shared" ref="S31:T43" si="10">O31+Q31</f>
        <v>70</v>
      </c>
      <c r="T31" s="109">
        <f t="shared" si="10"/>
        <v>28322</v>
      </c>
      <c r="U31" s="96"/>
    </row>
    <row r="32" spans="1:23" x14ac:dyDescent="0.3">
      <c r="A32" s="83">
        <v>2</v>
      </c>
      <c r="B32" s="104">
        <v>45754</v>
      </c>
      <c r="C32" s="105">
        <v>44</v>
      </c>
      <c r="D32" s="106">
        <f>C32/'Sales Pacing'!C4</f>
        <v>606.83333333333326</v>
      </c>
      <c r="E32" s="107">
        <v>14651</v>
      </c>
      <c r="F32" s="105">
        <v>785</v>
      </c>
      <c r="G32" s="106">
        <f>F32/'Sales Pacing'!F4</f>
        <v>3783.5788739330269</v>
      </c>
      <c r="H32" s="107">
        <v>312531</v>
      </c>
      <c r="I32" s="108">
        <f t="shared" si="9"/>
        <v>829</v>
      </c>
      <c r="J32" s="106">
        <f t="shared" si="9"/>
        <v>4390.4122072663604</v>
      </c>
      <c r="K32" s="109">
        <f t="shared" si="9"/>
        <v>327182</v>
      </c>
      <c r="L32" s="110">
        <f t="shared" ref="L32:L43" si="11">IF(K32&gt;0,K32-K31,0)</f>
        <v>55237</v>
      </c>
      <c r="N32" s="104">
        <f t="shared" ref="N32:N42" si="12">N31+7</f>
        <v>45390</v>
      </c>
      <c r="O32" s="108">
        <v>54</v>
      </c>
      <c r="P32" s="109">
        <v>17576</v>
      </c>
      <c r="Q32" s="108">
        <v>181</v>
      </c>
      <c r="R32" s="109">
        <v>68648</v>
      </c>
      <c r="S32" s="108">
        <f t="shared" si="10"/>
        <v>235</v>
      </c>
      <c r="T32" s="109">
        <f t="shared" si="10"/>
        <v>86224</v>
      </c>
      <c r="U32" s="110">
        <f t="shared" ref="U32:U43" si="13">IF(T32&gt;0,T32-T31,0)</f>
        <v>57902</v>
      </c>
    </row>
    <row r="33" spans="1:23" x14ac:dyDescent="0.3">
      <c r="A33" s="83">
        <v>3</v>
      </c>
      <c r="B33" s="104">
        <v>45761</v>
      </c>
      <c r="C33" s="105">
        <v>54</v>
      </c>
      <c r="D33" s="106">
        <f>C33/'Sales Pacing'!C5</f>
        <v>616.34482758620686</v>
      </c>
      <c r="E33" s="107">
        <v>19061</v>
      </c>
      <c r="F33" s="105">
        <v>893</v>
      </c>
      <c r="G33" s="106">
        <f>F33/'Sales Pacing'!F5</f>
        <v>3135.2144042168406</v>
      </c>
      <c r="H33" s="107">
        <v>353304</v>
      </c>
      <c r="I33" s="108">
        <f t="shared" si="9"/>
        <v>947</v>
      </c>
      <c r="J33" s="106">
        <f t="shared" si="9"/>
        <v>3751.5592318030476</v>
      </c>
      <c r="K33" s="109">
        <f t="shared" si="9"/>
        <v>372365</v>
      </c>
      <c r="L33" s="110">
        <f t="shared" si="11"/>
        <v>45183</v>
      </c>
      <c r="N33" s="104">
        <f t="shared" si="12"/>
        <v>45397</v>
      </c>
      <c r="O33" s="108">
        <v>66</v>
      </c>
      <c r="P33" s="109">
        <v>20302</v>
      </c>
      <c r="Q33" s="108">
        <v>283</v>
      </c>
      <c r="R33" s="109">
        <v>105425</v>
      </c>
      <c r="S33" s="108">
        <f t="shared" si="10"/>
        <v>349</v>
      </c>
      <c r="T33" s="109">
        <f t="shared" si="10"/>
        <v>125727</v>
      </c>
      <c r="U33" s="110">
        <f t="shared" si="13"/>
        <v>39503</v>
      </c>
    </row>
    <row r="34" spans="1:23" x14ac:dyDescent="0.3">
      <c r="A34" s="83">
        <v>4</v>
      </c>
      <c r="B34" s="104">
        <v>45768</v>
      </c>
      <c r="C34" s="105">
        <v>60</v>
      </c>
      <c r="D34" s="106">
        <f>C34/'Sales Pacing'!C6</f>
        <v>484.39024390243907</v>
      </c>
      <c r="E34" s="107">
        <v>20782</v>
      </c>
      <c r="F34" s="105">
        <v>1067</v>
      </c>
      <c r="G34" s="106">
        <f>F34/'Sales Pacing'!F6</f>
        <v>2921.0750410175192</v>
      </c>
      <c r="H34" s="107">
        <v>417996</v>
      </c>
      <c r="I34" s="108">
        <f t="shared" si="9"/>
        <v>1127</v>
      </c>
      <c r="J34" s="106">
        <f t="shared" si="9"/>
        <v>3405.4652849199583</v>
      </c>
      <c r="K34" s="109">
        <f t="shared" si="9"/>
        <v>438778</v>
      </c>
      <c r="L34" s="110">
        <f t="shared" si="11"/>
        <v>66413</v>
      </c>
      <c r="N34" s="104">
        <f t="shared" si="12"/>
        <v>45404</v>
      </c>
      <c r="O34" s="108">
        <v>86</v>
      </c>
      <c r="P34" s="109">
        <v>26557</v>
      </c>
      <c r="Q34" s="108">
        <v>389</v>
      </c>
      <c r="R34" s="109">
        <v>146108</v>
      </c>
      <c r="S34" s="108">
        <f t="shared" si="10"/>
        <v>475</v>
      </c>
      <c r="T34" s="109">
        <f t="shared" si="10"/>
        <v>172665</v>
      </c>
      <c r="U34" s="110">
        <f t="shared" si="13"/>
        <v>46938</v>
      </c>
    </row>
    <row r="35" spans="1:23" x14ac:dyDescent="0.3">
      <c r="A35" s="86">
        <v>5</v>
      </c>
      <c r="B35" s="104">
        <f t="shared" ref="B35:B42" si="14">B34+7</f>
        <v>45775</v>
      </c>
      <c r="C35" s="105">
        <v>118</v>
      </c>
      <c r="D35" s="106">
        <f>C35/'Sales Pacing'!C7</f>
        <v>566.05797101449275</v>
      </c>
      <c r="E35" s="107">
        <v>38918</v>
      </c>
      <c r="F35" s="105">
        <v>1300</v>
      </c>
      <c r="G35" s="106">
        <f>F35/'Sales Pacing'!F7</f>
        <v>2887.9508729012855</v>
      </c>
      <c r="H35" s="107">
        <v>502867</v>
      </c>
      <c r="I35" s="112">
        <f t="shared" si="9"/>
        <v>1418</v>
      </c>
      <c r="J35" s="106">
        <f t="shared" si="9"/>
        <v>3454.008843915778</v>
      </c>
      <c r="K35" s="109">
        <f t="shared" si="9"/>
        <v>541785</v>
      </c>
      <c r="L35" s="110">
        <f t="shared" si="11"/>
        <v>103007</v>
      </c>
      <c r="N35" s="104">
        <f t="shared" si="12"/>
        <v>45411</v>
      </c>
      <c r="O35" s="108">
        <v>86</v>
      </c>
      <c r="P35" s="109">
        <v>26557</v>
      </c>
      <c r="Q35" s="108">
        <v>476</v>
      </c>
      <c r="R35" s="109">
        <v>178054</v>
      </c>
      <c r="S35" s="108">
        <f t="shared" si="10"/>
        <v>562</v>
      </c>
      <c r="T35" s="109">
        <f t="shared" si="10"/>
        <v>204611</v>
      </c>
      <c r="U35" s="110">
        <f t="shared" si="13"/>
        <v>31946</v>
      </c>
    </row>
    <row r="36" spans="1:23" x14ac:dyDescent="0.3">
      <c r="A36" s="83">
        <v>6</v>
      </c>
      <c r="B36" s="104">
        <f t="shared" si="14"/>
        <v>45782</v>
      </c>
      <c r="C36" s="105">
        <v>157</v>
      </c>
      <c r="D36" s="106">
        <f>C36/'Sales Pacing'!C8</f>
        <v>683.77631578947364</v>
      </c>
      <c r="E36" s="107">
        <v>51765</v>
      </c>
      <c r="F36" s="105">
        <v>1358</v>
      </c>
      <c r="G36" s="106">
        <f>F36/'Sales Pacing'!F8</f>
        <v>2121.6397891180291</v>
      </c>
      <c r="H36" s="107">
        <v>522161</v>
      </c>
      <c r="I36" s="108">
        <f t="shared" si="9"/>
        <v>1515</v>
      </c>
      <c r="J36" s="106">
        <f t="shared" si="9"/>
        <v>2805.4161049075028</v>
      </c>
      <c r="K36" s="114">
        <f t="shared" si="9"/>
        <v>573926</v>
      </c>
      <c r="L36" s="110">
        <f t="shared" si="11"/>
        <v>32141</v>
      </c>
      <c r="N36" s="104">
        <f t="shared" si="12"/>
        <v>45418</v>
      </c>
      <c r="O36" s="108">
        <v>98</v>
      </c>
      <c r="P36" s="109">
        <v>31472</v>
      </c>
      <c r="Q36" s="108">
        <v>806</v>
      </c>
      <c r="R36" s="109">
        <v>294720</v>
      </c>
      <c r="S36" s="108">
        <f t="shared" si="10"/>
        <v>904</v>
      </c>
      <c r="T36" s="109">
        <f t="shared" si="10"/>
        <v>326192</v>
      </c>
      <c r="U36" s="110">
        <f t="shared" si="13"/>
        <v>121581</v>
      </c>
    </row>
    <row r="37" spans="1:23" x14ac:dyDescent="0.3">
      <c r="A37" s="83">
        <v>7</v>
      </c>
      <c r="B37" s="104">
        <f t="shared" si="14"/>
        <v>45789</v>
      </c>
      <c r="C37" s="105">
        <v>165</v>
      </c>
      <c r="D37" s="106">
        <f>C37/'Sales Pacing'!C9</f>
        <v>593.64130434782601</v>
      </c>
      <c r="E37" s="107">
        <v>54301</v>
      </c>
      <c r="F37" s="105">
        <v>1365</v>
      </c>
      <c r="G37" s="106">
        <f>F37/'Sales Pacing'!F9</f>
        <v>1717.3750419561941</v>
      </c>
      <c r="H37" s="107">
        <v>525805</v>
      </c>
      <c r="I37" s="108">
        <f t="shared" si="9"/>
        <v>1530</v>
      </c>
      <c r="J37" s="106">
        <f t="shared" si="9"/>
        <v>2311.0163463040199</v>
      </c>
      <c r="K37" s="114">
        <f t="shared" si="9"/>
        <v>580106</v>
      </c>
      <c r="L37" s="110">
        <f t="shared" si="11"/>
        <v>6180</v>
      </c>
      <c r="N37" s="104">
        <f t="shared" si="12"/>
        <v>45425</v>
      </c>
      <c r="O37" s="83">
        <v>113</v>
      </c>
      <c r="P37" s="121">
        <v>36672</v>
      </c>
      <c r="Q37" s="122">
        <v>1031</v>
      </c>
      <c r="R37" s="121">
        <v>372369</v>
      </c>
      <c r="S37" s="108">
        <f t="shared" si="10"/>
        <v>1144</v>
      </c>
      <c r="T37" s="109">
        <f t="shared" si="10"/>
        <v>409041</v>
      </c>
      <c r="U37" s="110">
        <f t="shared" si="13"/>
        <v>82849</v>
      </c>
    </row>
    <row r="38" spans="1:23" x14ac:dyDescent="0.3">
      <c r="A38" s="83">
        <v>8</v>
      </c>
      <c r="B38" s="104">
        <f t="shared" si="14"/>
        <v>45796</v>
      </c>
      <c r="C38" s="116">
        <v>199</v>
      </c>
      <c r="D38" s="106">
        <f>C38/'Sales Pacing'!C10</f>
        <v>639.504854368932</v>
      </c>
      <c r="E38" s="115">
        <v>65018</v>
      </c>
      <c r="F38" s="116">
        <v>1362</v>
      </c>
      <c r="G38" s="106">
        <f>F38/'Sales Pacing'!F10</f>
        <v>1532.8470860296795</v>
      </c>
      <c r="H38" s="115">
        <v>526170</v>
      </c>
      <c r="I38" s="113">
        <f t="shared" si="9"/>
        <v>1561</v>
      </c>
      <c r="J38" s="106">
        <f t="shared" si="9"/>
        <v>2172.3519403986115</v>
      </c>
      <c r="K38" s="114">
        <f t="shared" si="9"/>
        <v>591188</v>
      </c>
      <c r="L38" s="110">
        <f t="shared" si="11"/>
        <v>11082</v>
      </c>
      <c r="N38" s="104">
        <f t="shared" si="12"/>
        <v>45432</v>
      </c>
      <c r="O38" s="108">
        <v>127</v>
      </c>
      <c r="P38" s="121">
        <v>40518</v>
      </c>
      <c r="Q38" s="122">
        <v>1267</v>
      </c>
      <c r="R38" s="121">
        <v>452816</v>
      </c>
      <c r="S38" s="108">
        <f t="shared" si="10"/>
        <v>1394</v>
      </c>
      <c r="T38" s="109">
        <f t="shared" si="10"/>
        <v>493334</v>
      </c>
      <c r="U38" s="110">
        <f t="shared" si="13"/>
        <v>84293</v>
      </c>
      <c r="W38" s="92"/>
    </row>
    <row r="39" spans="1:23" x14ac:dyDescent="0.3">
      <c r="A39" s="83">
        <v>9</v>
      </c>
      <c r="B39" s="104">
        <f t="shared" si="14"/>
        <v>45803</v>
      </c>
      <c r="C39" s="116">
        <v>220</v>
      </c>
      <c r="D39" s="106">
        <f>C39/'Sales Pacing'!C11</f>
        <v>568.90625</v>
      </c>
      <c r="E39" s="115">
        <v>73218</v>
      </c>
      <c r="F39" s="116">
        <v>1368</v>
      </c>
      <c r="G39" s="106">
        <f>F39/'Sales Pacing'!F11</f>
        <v>1451.7935022689851</v>
      </c>
      <c r="H39" s="115">
        <v>531352</v>
      </c>
      <c r="I39" s="108">
        <f t="shared" si="9"/>
        <v>1588</v>
      </c>
      <c r="J39" s="106">
        <f t="shared" si="9"/>
        <v>2020.6997522689851</v>
      </c>
      <c r="K39" s="114">
        <f t="shared" si="9"/>
        <v>604570</v>
      </c>
      <c r="L39" s="110">
        <f t="shared" si="11"/>
        <v>13382</v>
      </c>
      <c r="N39" s="104">
        <f t="shared" si="12"/>
        <v>45439</v>
      </c>
      <c r="O39" s="108">
        <v>160</v>
      </c>
      <c r="P39" s="121">
        <v>48485</v>
      </c>
      <c r="Q39" s="122">
        <v>1395</v>
      </c>
      <c r="R39" s="121">
        <v>497335</v>
      </c>
      <c r="S39" s="108">
        <f t="shared" si="10"/>
        <v>1555</v>
      </c>
      <c r="T39" s="109">
        <f t="shared" si="10"/>
        <v>545820</v>
      </c>
      <c r="U39" s="110">
        <f t="shared" si="13"/>
        <v>52486</v>
      </c>
      <c r="W39" s="92"/>
    </row>
    <row r="40" spans="1:23" x14ac:dyDescent="0.3">
      <c r="A40" s="89">
        <v>10</v>
      </c>
      <c r="B40" s="104">
        <f t="shared" si="14"/>
        <v>45810</v>
      </c>
      <c r="C40" s="116">
        <v>239</v>
      </c>
      <c r="D40" s="106">
        <f>C40/'Sales Pacing'!C12</f>
        <v>557.1056338028169</v>
      </c>
      <c r="E40" s="115">
        <v>80035</v>
      </c>
      <c r="F40" s="116">
        <v>1374</v>
      </c>
      <c r="G40" s="106">
        <f>F40/'Sales Pacing'!F12</f>
        <v>1439.257790435646</v>
      </c>
      <c r="H40" s="115">
        <v>536728</v>
      </c>
      <c r="I40" s="117">
        <f t="shared" si="9"/>
        <v>1613</v>
      </c>
      <c r="J40" s="106">
        <f t="shared" si="9"/>
        <v>1996.3634242384628</v>
      </c>
      <c r="K40" s="114">
        <f t="shared" si="9"/>
        <v>616763</v>
      </c>
      <c r="L40" s="110">
        <f t="shared" si="11"/>
        <v>12193</v>
      </c>
      <c r="N40" s="104">
        <f t="shared" si="12"/>
        <v>45446</v>
      </c>
      <c r="O40" s="122">
        <v>172</v>
      </c>
      <c r="P40" s="109">
        <v>51234</v>
      </c>
      <c r="Q40" s="108">
        <v>1411</v>
      </c>
      <c r="R40" s="109">
        <v>502695</v>
      </c>
      <c r="S40" s="108">
        <f t="shared" si="10"/>
        <v>1583</v>
      </c>
      <c r="T40" s="109">
        <f t="shared" si="10"/>
        <v>553929</v>
      </c>
      <c r="U40" s="110">
        <f t="shared" si="13"/>
        <v>8109</v>
      </c>
    </row>
    <row r="41" spans="1:23" x14ac:dyDescent="0.3">
      <c r="A41" s="83">
        <v>11</v>
      </c>
      <c r="B41" s="104">
        <f t="shared" si="14"/>
        <v>45817</v>
      </c>
      <c r="C41" s="116">
        <v>255</v>
      </c>
      <c r="D41" s="106">
        <f>C41/'Sales Pacing'!C13</f>
        <v>530.84905660377353</v>
      </c>
      <c r="E41" s="115">
        <v>89633</v>
      </c>
      <c r="F41" s="116">
        <v>1407</v>
      </c>
      <c r="G41" s="106">
        <f>F41/'Sales Pacing'!F13</f>
        <v>1457.5734767710057</v>
      </c>
      <c r="H41" s="115">
        <v>540393</v>
      </c>
      <c r="I41" s="108">
        <f t="shared" si="9"/>
        <v>1662</v>
      </c>
      <c r="J41" s="106">
        <f t="shared" si="9"/>
        <v>1988.4225333747793</v>
      </c>
      <c r="K41" s="114">
        <f t="shared" si="9"/>
        <v>630026</v>
      </c>
      <c r="L41" s="110">
        <f t="shared" si="11"/>
        <v>13263</v>
      </c>
      <c r="N41" s="104">
        <f t="shared" si="12"/>
        <v>45453</v>
      </c>
      <c r="O41" s="122">
        <v>187</v>
      </c>
      <c r="P41" s="109">
        <v>55826</v>
      </c>
      <c r="Q41" s="108">
        <v>1418</v>
      </c>
      <c r="R41" s="109">
        <v>505550</v>
      </c>
      <c r="S41" s="108">
        <f t="shared" si="10"/>
        <v>1605</v>
      </c>
      <c r="T41" s="109">
        <f t="shared" si="10"/>
        <v>561376</v>
      </c>
      <c r="U41" s="110">
        <f t="shared" si="13"/>
        <v>7447</v>
      </c>
    </row>
    <row r="42" spans="1:23" x14ac:dyDescent="0.3">
      <c r="A42" s="83">
        <v>12</v>
      </c>
      <c r="B42" s="104">
        <f t="shared" si="14"/>
        <v>45824</v>
      </c>
      <c r="C42" s="116">
        <v>270</v>
      </c>
      <c r="D42" s="106">
        <f>C42/'Sales Pacing'!C14</f>
        <v>470.36842105263156</v>
      </c>
      <c r="E42" s="115">
        <v>90711</v>
      </c>
      <c r="F42" s="116">
        <v>1383</v>
      </c>
      <c r="G42" s="106">
        <f>F42/'Sales Pacing'!F14</f>
        <v>1420.0539987644104</v>
      </c>
      <c r="H42" s="115">
        <v>543160</v>
      </c>
      <c r="I42" s="108">
        <f t="shared" si="9"/>
        <v>1653</v>
      </c>
      <c r="J42" s="106">
        <f t="shared" si="9"/>
        <v>1890.4224198170418</v>
      </c>
      <c r="K42" s="114">
        <f t="shared" si="9"/>
        <v>633871</v>
      </c>
      <c r="L42" s="110">
        <f t="shared" si="11"/>
        <v>3845</v>
      </c>
      <c r="N42" s="104">
        <f t="shared" si="12"/>
        <v>45460</v>
      </c>
      <c r="O42" s="122">
        <v>193</v>
      </c>
      <c r="P42" s="123">
        <v>57355</v>
      </c>
      <c r="Q42" s="124">
        <v>1434</v>
      </c>
      <c r="R42" s="123">
        <v>510568</v>
      </c>
      <c r="S42" s="108">
        <f t="shared" si="10"/>
        <v>1627</v>
      </c>
      <c r="T42" s="109">
        <f t="shared" si="10"/>
        <v>567923</v>
      </c>
      <c r="U42" s="110">
        <f t="shared" si="13"/>
        <v>6547</v>
      </c>
    </row>
    <row r="43" spans="1:23" x14ac:dyDescent="0.3">
      <c r="A43" s="118" t="s">
        <v>164</v>
      </c>
      <c r="B43" s="373">
        <v>45901</v>
      </c>
      <c r="C43" s="116">
        <v>365</v>
      </c>
      <c r="D43" s="106">
        <f>C43/'Sales Pacing'!C15</f>
        <v>365</v>
      </c>
      <c r="E43" s="115">
        <v>115755</v>
      </c>
      <c r="F43" s="116">
        <v>1409</v>
      </c>
      <c r="G43" s="106">
        <f>F43/'Sales Pacing'!F15</f>
        <v>1409</v>
      </c>
      <c r="H43" s="115">
        <v>544870</v>
      </c>
      <c r="I43" s="108">
        <f t="shared" si="9"/>
        <v>1774</v>
      </c>
      <c r="J43" s="106">
        <f t="shared" si="9"/>
        <v>1774</v>
      </c>
      <c r="K43" s="377">
        <f t="shared" si="9"/>
        <v>660625</v>
      </c>
      <c r="L43" s="110">
        <f t="shared" si="11"/>
        <v>26754</v>
      </c>
      <c r="N43" s="119" t="s">
        <v>165</v>
      </c>
      <c r="O43" s="122">
        <v>225</v>
      </c>
      <c r="P43" s="109">
        <v>64966</v>
      </c>
      <c r="Q43" s="108">
        <v>1450</v>
      </c>
      <c r="R43" s="109">
        <v>515169</v>
      </c>
      <c r="S43" s="108">
        <f t="shared" si="10"/>
        <v>1675</v>
      </c>
      <c r="T43" s="109">
        <f t="shared" si="10"/>
        <v>580135</v>
      </c>
      <c r="U43" s="110">
        <f t="shared" si="13"/>
        <v>12212</v>
      </c>
    </row>
    <row r="44" spans="1:23" x14ac:dyDescent="0.3">
      <c r="C44" s="108"/>
      <c r="D44" s="108"/>
      <c r="E44" s="109"/>
      <c r="F44" s="108"/>
      <c r="G44" s="108"/>
      <c r="H44" s="109"/>
      <c r="I44" s="108" t="s">
        <v>166</v>
      </c>
      <c r="J44" s="372">
        <f>J43/$S$26</f>
        <v>0.99260674655800163</v>
      </c>
      <c r="K44" s="242">
        <f>K43/$T$26</f>
        <v>1.0672455573505655</v>
      </c>
      <c r="L44" s="109"/>
    </row>
    <row r="45" spans="1:23" x14ac:dyDescent="0.3">
      <c r="B45" s="83" t="s">
        <v>167</v>
      </c>
      <c r="C45" s="108"/>
      <c r="D45" s="108"/>
      <c r="F45" s="108"/>
      <c r="G45" s="108"/>
      <c r="I45" s="108"/>
      <c r="J45" s="108"/>
    </row>
    <row r="46" spans="1:23" x14ac:dyDescent="0.3">
      <c r="B46" s="120">
        <f>F37/S30</f>
        <v>0.81492537313432833</v>
      </c>
      <c r="I46" s="108"/>
      <c r="J46" s="108"/>
      <c r="K46" s="94"/>
      <c r="L46" s="94"/>
    </row>
    <row r="47" spans="1:23" x14ac:dyDescent="0.3">
      <c r="B47" s="120"/>
      <c r="I47" s="108"/>
      <c r="J47" s="108"/>
    </row>
    <row r="48" spans="1:23" x14ac:dyDescent="0.3">
      <c r="A48" s="25" t="s">
        <v>116</v>
      </c>
      <c r="K48" s="94"/>
    </row>
    <row r="49" spans="1:11" x14ac:dyDescent="0.3">
      <c r="A49" s="27" t="s">
        <v>172</v>
      </c>
      <c r="K49" s="94"/>
    </row>
    <row r="50" spans="1:11" x14ac:dyDescent="0.3">
      <c r="A50" s="83" t="s">
        <v>173</v>
      </c>
    </row>
    <row r="51" spans="1:11" x14ac:dyDescent="0.3">
      <c r="A51" s="83" t="s">
        <v>174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4.4" x14ac:dyDescent="0.3"/>
  <cols>
    <col min="1" max="1" width="37" customWidth="1"/>
    <col min="2" max="11" width="13.33203125" customWidth="1"/>
  </cols>
  <sheetData>
    <row r="1" spans="1:11" x14ac:dyDescent="0.3">
      <c r="A1" s="176" t="s">
        <v>175</v>
      </c>
    </row>
    <row r="2" spans="1:11" ht="14.4" customHeight="1" x14ac:dyDescent="0.3">
      <c r="A2" s="150" t="s">
        <v>176</v>
      </c>
      <c r="B2" s="416" t="s">
        <v>177</v>
      </c>
      <c r="C2" s="417"/>
      <c r="D2" s="417"/>
      <c r="E2" s="417"/>
      <c r="F2" s="418"/>
      <c r="G2" s="151" t="s">
        <v>176</v>
      </c>
      <c r="H2" s="416" t="s">
        <v>178</v>
      </c>
      <c r="I2" s="417"/>
      <c r="J2" s="418"/>
      <c r="K2" s="152" t="s">
        <v>176</v>
      </c>
    </row>
    <row r="3" spans="1:11" ht="31.2" x14ac:dyDescent="0.3">
      <c r="A3" s="153" t="s">
        <v>179</v>
      </c>
      <c r="B3" s="154" t="s">
        <v>180</v>
      </c>
      <c r="C3" s="155" t="s">
        <v>181</v>
      </c>
      <c r="D3" s="155" t="s">
        <v>182</v>
      </c>
      <c r="E3" s="154" t="s">
        <v>183</v>
      </c>
      <c r="F3" s="154" t="s">
        <v>184</v>
      </c>
      <c r="G3" s="155" t="s">
        <v>185</v>
      </c>
      <c r="H3" s="155" t="s">
        <v>186</v>
      </c>
      <c r="I3" s="154" t="s">
        <v>187</v>
      </c>
      <c r="J3" s="154" t="s">
        <v>180</v>
      </c>
      <c r="K3" s="156" t="s">
        <v>188</v>
      </c>
    </row>
    <row r="4" spans="1:11" ht="15.6" x14ac:dyDescent="0.3">
      <c r="A4" s="157"/>
      <c r="B4" s="158" t="s">
        <v>189</v>
      </c>
      <c r="C4" s="159"/>
      <c r="D4" s="159"/>
      <c r="E4" s="158" t="s">
        <v>190</v>
      </c>
      <c r="F4" s="158" t="s">
        <v>191</v>
      </c>
      <c r="G4" s="159"/>
      <c r="H4" s="159"/>
      <c r="I4" s="158" t="s">
        <v>192</v>
      </c>
      <c r="J4" s="158" t="s">
        <v>193</v>
      </c>
      <c r="K4" s="160"/>
    </row>
    <row r="5" spans="1:11" ht="15.6" x14ac:dyDescent="0.3">
      <c r="A5" s="161" t="s">
        <v>194</v>
      </c>
      <c r="B5" s="155" t="s">
        <v>176</v>
      </c>
      <c r="C5" s="155" t="s">
        <v>176</v>
      </c>
      <c r="D5" s="155" t="s">
        <v>195</v>
      </c>
      <c r="E5" s="155" t="s">
        <v>176</v>
      </c>
      <c r="F5" s="155" t="s">
        <v>176</v>
      </c>
      <c r="G5" s="155" t="s">
        <v>176</v>
      </c>
      <c r="H5" s="155" t="s">
        <v>176</v>
      </c>
      <c r="I5" s="155" t="s">
        <v>176</v>
      </c>
      <c r="J5" s="155" t="s">
        <v>176</v>
      </c>
      <c r="K5" s="156" t="s">
        <v>176</v>
      </c>
    </row>
    <row r="6" spans="1:11" ht="15.6" x14ac:dyDescent="0.3">
      <c r="A6" s="162" t="s">
        <v>196</v>
      </c>
      <c r="B6" s="159"/>
      <c r="C6" s="159"/>
      <c r="D6" s="159"/>
      <c r="E6" s="159"/>
      <c r="F6" s="159"/>
      <c r="G6" s="159"/>
      <c r="H6" s="159"/>
      <c r="I6" s="159"/>
      <c r="J6" s="159"/>
      <c r="K6" s="160"/>
    </row>
    <row r="7" spans="1:11" ht="15.6" x14ac:dyDescent="0.3">
      <c r="A7" s="161" t="s">
        <v>197</v>
      </c>
      <c r="B7" s="155" t="s">
        <v>176</v>
      </c>
      <c r="C7" s="155" t="s">
        <v>176</v>
      </c>
      <c r="D7" s="155" t="s">
        <v>198</v>
      </c>
      <c r="E7" s="155" t="s">
        <v>176</v>
      </c>
      <c r="F7" s="155" t="s">
        <v>176</v>
      </c>
      <c r="G7" s="155" t="s">
        <v>176</v>
      </c>
      <c r="H7" s="155" t="s">
        <v>176</v>
      </c>
      <c r="I7" s="155" t="s">
        <v>176</v>
      </c>
      <c r="J7" s="155" t="s">
        <v>176</v>
      </c>
      <c r="K7" s="156" t="s">
        <v>176</v>
      </c>
    </row>
    <row r="8" spans="1:11" ht="15.6" x14ac:dyDescent="0.3">
      <c r="A8" s="162" t="s">
        <v>199</v>
      </c>
      <c r="B8" s="159"/>
      <c r="C8" s="159"/>
      <c r="D8" s="159"/>
      <c r="E8" s="159"/>
      <c r="F8" s="159"/>
      <c r="G8" s="159"/>
      <c r="H8" s="159"/>
      <c r="I8" s="159"/>
      <c r="J8" s="159"/>
      <c r="K8" s="160"/>
    </row>
    <row r="9" spans="1:11" ht="15.6" x14ac:dyDescent="0.3">
      <c r="A9" s="163" t="s">
        <v>200</v>
      </c>
      <c r="B9" s="164" t="s">
        <v>176</v>
      </c>
      <c r="C9" s="164" t="s">
        <v>176</v>
      </c>
      <c r="D9" s="164" t="s">
        <v>201</v>
      </c>
      <c r="E9" s="164" t="s">
        <v>176</v>
      </c>
      <c r="F9" s="164" t="s">
        <v>176</v>
      </c>
      <c r="G9" s="164" t="s">
        <v>176</v>
      </c>
      <c r="H9" s="164" t="s">
        <v>176</v>
      </c>
      <c r="I9" s="164" t="s">
        <v>176</v>
      </c>
      <c r="J9" s="164" t="s">
        <v>176</v>
      </c>
      <c r="K9" s="165" t="s">
        <v>176</v>
      </c>
    </row>
    <row r="10" spans="1:11" ht="15.6" x14ac:dyDescent="0.3">
      <c r="A10" s="161" t="s">
        <v>202</v>
      </c>
      <c r="B10" s="155" t="s">
        <v>176</v>
      </c>
      <c r="C10" s="155" t="s">
        <v>176</v>
      </c>
      <c r="D10" s="155" t="s">
        <v>203</v>
      </c>
      <c r="E10" s="155" t="s">
        <v>176</v>
      </c>
      <c r="F10" s="155" t="s">
        <v>176</v>
      </c>
      <c r="G10" s="155" t="s">
        <v>176</v>
      </c>
      <c r="H10" s="155" t="s">
        <v>176</v>
      </c>
      <c r="I10" s="155" t="s">
        <v>176</v>
      </c>
      <c r="J10" s="155" t="s">
        <v>176</v>
      </c>
      <c r="K10" s="156" t="s">
        <v>176</v>
      </c>
    </row>
    <row r="11" spans="1:11" ht="15.6" x14ac:dyDescent="0.3">
      <c r="A11" s="162" t="s">
        <v>204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60"/>
    </row>
    <row r="12" spans="1:11" ht="15.6" x14ac:dyDescent="0.3">
      <c r="A12" s="163" t="s">
        <v>205</v>
      </c>
      <c r="B12" s="164" t="s">
        <v>176</v>
      </c>
      <c r="C12" s="164" t="s">
        <v>176</v>
      </c>
      <c r="D12" s="164" t="s">
        <v>206</v>
      </c>
      <c r="E12" s="164" t="s">
        <v>176</v>
      </c>
      <c r="F12" s="164" t="s">
        <v>176</v>
      </c>
      <c r="G12" s="164" t="s">
        <v>176</v>
      </c>
      <c r="H12" s="164" t="s">
        <v>176</v>
      </c>
      <c r="I12" s="164" t="s">
        <v>176</v>
      </c>
      <c r="J12" s="164" t="s">
        <v>176</v>
      </c>
      <c r="K12" s="165" t="s">
        <v>176</v>
      </c>
    </row>
    <row r="13" spans="1:11" ht="15.6" x14ac:dyDescent="0.3">
      <c r="A13" s="163" t="s">
        <v>207</v>
      </c>
      <c r="B13" s="164" t="s">
        <v>176</v>
      </c>
      <c r="C13" s="164" t="s">
        <v>176</v>
      </c>
      <c r="D13" s="164" t="s">
        <v>176</v>
      </c>
      <c r="E13" s="164" t="s">
        <v>176</v>
      </c>
      <c r="F13" s="164" t="s">
        <v>176</v>
      </c>
      <c r="G13" s="164" t="s">
        <v>176</v>
      </c>
      <c r="H13" s="164" t="s">
        <v>176</v>
      </c>
      <c r="I13" s="164" t="s">
        <v>176</v>
      </c>
      <c r="J13" s="164" t="s">
        <v>176</v>
      </c>
      <c r="K13" s="165" t="s">
        <v>176</v>
      </c>
    </row>
    <row r="14" spans="1:11" ht="15.6" x14ac:dyDescent="0.3">
      <c r="A14" s="166" t="s">
        <v>176</v>
      </c>
      <c r="B14" s="167" t="s">
        <v>176</v>
      </c>
      <c r="C14" s="167" t="s">
        <v>176</v>
      </c>
      <c r="D14" s="167" t="s">
        <v>176</v>
      </c>
      <c r="E14" s="167" t="s">
        <v>176</v>
      </c>
      <c r="F14" s="167" t="s">
        <v>176</v>
      </c>
      <c r="G14" s="167" t="s">
        <v>176</v>
      </c>
      <c r="H14" s="167" t="s">
        <v>176</v>
      </c>
      <c r="I14" s="167" t="s">
        <v>176</v>
      </c>
      <c r="J14" s="167" t="s">
        <v>176</v>
      </c>
      <c r="K14" s="168" t="s">
        <v>176</v>
      </c>
    </row>
    <row r="15" spans="1:11" ht="15.6" x14ac:dyDescent="0.3">
      <c r="A15" s="163" t="s">
        <v>208</v>
      </c>
      <c r="B15" s="164" t="s">
        <v>176</v>
      </c>
      <c r="C15" s="164" t="s">
        <v>176</v>
      </c>
      <c r="D15" s="164" t="s">
        <v>176</v>
      </c>
      <c r="E15" s="164" t="s">
        <v>176</v>
      </c>
      <c r="F15" s="164" t="s">
        <v>176</v>
      </c>
      <c r="G15" s="164" t="s">
        <v>176</v>
      </c>
      <c r="H15" s="164" t="s">
        <v>176</v>
      </c>
      <c r="I15" s="164" t="s">
        <v>176</v>
      </c>
      <c r="J15" s="164" t="s">
        <v>176</v>
      </c>
      <c r="K15" s="165" t="s">
        <v>176</v>
      </c>
    </row>
    <row r="16" spans="1:11" ht="15.6" x14ac:dyDescent="0.3">
      <c r="A16" s="163" t="s">
        <v>209</v>
      </c>
      <c r="B16" s="164" t="s">
        <v>176</v>
      </c>
      <c r="C16" s="164" t="s">
        <v>176</v>
      </c>
      <c r="D16" s="164" t="s">
        <v>176</v>
      </c>
      <c r="E16" s="164" t="s">
        <v>176</v>
      </c>
      <c r="F16" s="164" t="s">
        <v>176</v>
      </c>
      <c r="G16" s="164" t="s">
        <v>176</v>
      </c>
      <c r="H16" s="164" t="s">
        <v>176</v>
      </c>
      <c r="I16" s="164" t="s">
        <v>176</v>
      </c>
      <c r="J16" s="164" t="s">
        <v>176</v>
      </c>
      <c r="K16" s="165" t="s">
        <v>176</v>
      </c>
    </row>
    <row r="17" spans="1:11" ht="15.6" x14ac:dyDescent="0.3">
      <c r="A17" s="163" t="s">
        <v>210</v>
      </c>
      <c r="B17" s="164" t="s">
        <v>176</v>
      </c>
      <c r="C17" s="164" t="s">
        <v>176</v>
      </c>
      <c r="D17" s="164" t="s">
        <v>176</v>
      </c>
      <c r="E17" s="164" t="s">
        <v>176</v>
      </c>
      <c r="F17" s="164" t="s">
        <v>176</v>
      </c>
      <c r="G17" s="164" t="s">
        <v>176</v>
      </c>
      <c r="H17" s="164" t="s">
        <v>176</v>
      </c>
      <c r="I17" s="164" t="s">
        <v>176</v>
      </c>
      <c r="J17" s="164" t="s">
        <v>211</v>
      </c>
      <c r="K17" s="165" t="s">
        <v>176</v>
      </c>
    </row>
    <row r="18" spans="1:11" ht="15.6" x14ac:dyDescent="0.3">
      <c r="A18" s="169" t="s">
        <v>212</v>
      </c>
      <c r="B18" s="170" t="s">
        <v>176</v>
      </c>
      <c r="C18" s="170" t="s">
        <v>176</v>
      </c>
      <c r="D18" s="170" t="s">
        <v>176</v>
      </c>
      <c r="E18" s="170" t="s">
        <v>176</v>
      </c>
      <c r="F18" s="170" t="s">
        <v>176</v>
      </c>
      <c r="G18" s="170" t="s">
        <v>176</v>
      </c>
      <c r="H18" s="170" t="s">
        <v>176</v>
      </c>
      <c r="I18" s="170" t="s">
        <v>176</v>
      </c>
      <c r="J18" s="170" t="s">
        <v>176</v>
      </c>
      <c r="K18" s="171" t="s">
        <v>176</v>
      </c>
    </row>
    <row r="20" spans="1:11" x14ac:dyDescent="0.3">
      <c r="A20" s="176" t="s">
        <v>213</v>
      </c>
    </row>
    <row r="21" spans="1:11" ht="31.2" x14ac:dyDescent="0.3">
      <c r="A21" s="172" t="s">
        <v>179</v>
      </c>
      <c r="B21" s="173" t="s">
        <v>180</v>
      </c>
      <c r="C21" s="174" t="s">
        <v>214</v>
      </c>
      <c r="D21" s="174" t="s">
        <v>215</v>
      </c>
      <c r="E21" s="175" t="s">
        <v>188</v>
      </c>
    </row>
    <row r="22" spans="1:11" ht="15.6" x14ac:dyDescent="0.3">
      <c r="A22" s="157"/>
      <c r="B22" s="158" t="s">
        <v>189</v>
      </c>
      <c r="C22" s="159"/>
      <c r="D22" s="159"/>
      <c r="E22" s="160"/>
    </row>
    <row r="23" spans="1:11" ht="15.6" x14ac:dyDescent="0.3">
      <c r="A23" s="161" t="s">
        <v>216</v>
      </c>
      <c r="B23" s="155" t="s">
        <v>176</v>
      </c>
      <c r="C23" s="155" t="s">
        <v>217</v>
      </c>
      <c r="D23" s="155" t="s">
        <v>176</v>
      </c>
      <c r="E23" s="156" t="s">
        <v>176</v>
      </c>
    </row>
    <row r="24" spans="1:11" ht="15.6" x14ac:dyDescent="0.3">
      <c r="A24" s="162" t="s">
        <v>218</v>
      </c>
      <c r="B24" s="159"/>
      <c r="C24" s="159"/>
      <c r="D24" s="159"/>
      <c r="E24" s="160"/>
    </row>
    <row r="25" spans="1:11" ht="15.6" x14ac:dyDescent="0.3">
      <c r="A25" s="163" t="s">
        <v>219</v>
      </c>
      <c r="B25" s="164" t="s">
        <v>176</v>
      </c>
      <c r="C25" s="164" t="s">
        <v>176</v>
      </c>
      <c r="D25" s="164" t="s">
        <v>176</v>
      </c>
      <c r="E25" s="165" t="s">
        <v>176</v>
      </c>
    </row>
    <row r="26" spans="1:11" ht="15.6" x14ac:dyDescent="0.3">
      <c r="A26" s="163" t="s">
        <v>220</v>
      </c>
      <c r="B26" s="164" t="s">
        <v>176</v>
      </c>
      <c r="C26" s="164" t="s">
        <v>221</v>
      </c>
      <c r="D26" s="164" t="s">
        <v>176</v>
      </c>
      <c r="E26" s="165" t="s">
        <v>176</v>
      </c>
    </row>
    <row r="27" spans="1:11" ht="15.6" x14ac:dyDescent="0.3">
      <c r="A27" s="163" t="s">
        <v>222</v>
      </c>
      <c r="B27" s="164" t="s">
        <v>176</v>
      </c>
      <c r="C27" s="164" t="s">
        <v>223</v>
      </c>
      <c r="D27" s="164" t="s">
        <v>176</v>
      </c>
      <c r="E27" s="165" t="s">
        <v>176</v>
      </c>
    </row>
    <row r="28" spans="1:11" ht="15.6" x14ac:dyDescent="0.3">
      <c r="A28" s="163" t="s">
        <v>224</v>
      </c>
      <c r="B28" s="164" t="s">
        <v>176</v>
      </c>
      <c r="C28" s="164" t="s">
        <v>176</v>
      </c>
      <c r="D28" s="164" t="s">
        <v>225</v>
      </c>
      <c r="E28" s="165" t="s">
        <v>176</v>
      </c>
    </row>
    <row r="29" spans="1:11" ht="15.6" x14ac:dyDescent="0.3">
      <c r="A29" s="163" t="s">
        <v>226</v>
      </c>
      <c r="B29" s="164" t="s">
        <v>227</v>
      </c>
      <c r="C29" s="164" t="s">
        <v>228</v>
      </c>
      <c r="D29" s="164" t="s">
        <v>176</v>
      </c>
      <c r="E29" s="165" t="s">
        <v>176</v>
      </c>
    </row>
    <row r="30" spans="1:11" ht="15.6" x14ac:dyDescent="0.3">
      <c r="A30" s="166" t="s">
        <v>176</v>
      </c>
      <c r="B30" s="167" t="s">
        <v>176</v>
      </c>
      <c r="C30" s="167" t="s">
        <v>176</v>
      </c>
      <c r="D30" s="167" t="s">
        <v>176</v>
      </c>
      <c r="E30" s="168" t="s">
        <v>176</v>
      </c>
    </row>
    <row r="31" spans="1:11" ht="15.6" x14ac:dyDescent="0.3">
      <c r="A31" s="163" t="s">
        <v>208</v>
      </c>
      <c r="B31" s="164" t="s">
        <v>176</v>
      </c>
      <c r="C31" s="164" t="s">
        <v>176</v>
      </c>
      <c r="D31" s="164" t="s">
        <v>176</v>
      </c>
      <c r="E31" s="165" t="s">
        <v>176</v>
      </c>
    </row>
    <row r="32" spans="1:11" ht="15.6" x14ac:dyDescent="0.3">
      <c r="A32" s="163" t="s">
        <v>229</v>
      </c>
      <c r="B32" s="164" t="s">
        <v>176</v>
      </c>
      <c r="C32" s="164" t="s">
        <v>176</v>
      </c>
      <c r="D32" s="164" t="s">
        <v>176</v>
      </c>
      <c r="E32" s="165" t="s">
        <v>176</v>
      </c>
    </row>
    <row r="33" spans="1:5" ht="15.6" x14ac:dyDescent="0.3">
      <c r="A33" s="163" t="s">
        <v>210</v>
      </c>
      <c r="B33" s="164" t="s">
        <v>176</v>
      </c>
      <c r="C33" s="164" t="s">
        <v>176</v>
      </c>
      <c r="D33" s="164" t="s">
        <v>176</v>
      </c>
      <c r="E33" s="165" t="s">
        <v>176</v>
      </c>
    </row>
    <row r="34" spans="1:5" ht="15.6" x14ac:dyDescent="0.3">
      <c r="A34" s="169" t="s">
        <v>212</v>
      </c>
      <c r="B34" s="170" t="s">
        <v>176</v>
      </c>
      <c r="C34" s="170" t="s">
        <v>176</v>
      </c>
      <c r="D34" s="170" t="s">
        <v>176</v>
      </c>
      <c r="E34" s="171" t="s">
        <v>176</v>
      </c>
    </row>
    <row r="36" spans="1:5" x14ac:dyDescent="0.3">
      <c r="A36" s="176" t="s">
        <v>230</v>
      </c>
    </row>
    <row r="37" spans="1:5" ht="15.6" x14ac:dyDescent="0.3">
      <c r="A37" s="150" t="s">
        <v>176</v>
      </c>
      <c r="B37" s="152" t="s">
        <v>188</v>
      </c>
    </row>
    <row r="38" spans="1:5" ht="15.6" x14ac:dyDescent="0.3">
      <c r="A38" s="163" t="s">
        <v>231</v>
      </c>
      <c r="B38" s="165" t="s">
        <v>176</v>
      </c>
    </row>
    <row r="39" spans="1:5" ht="15.6" x14ac:dyDescent="0.3">
      <c r="A39" s="161" t="s">
        <v>232</v>
      </c>
      <c r="B39" s="156" t="s">
        <v>176</v>
      </c>
    </row>
    <row r="40" spans="1:5" ht="15.6" x14ac:dyDescent="0.3">
      <c r="A40" s="162" t="s">
        <v>233</v>
      </c>
      <c r="B40" s="160"/>
    </row>
    <row r="41" spans="1:5" ht="15.6" x14ac:dyDescent="0.3">
      <c r="A41" s="161" t="s">
        <v>234</v>
      </c>
      <c r="B41" s="156" t="s">
        <v>176</v>
      </c>
    </row>
    <row r="42" spans="1:5" ht="15.6" x14ac:dyDescent="0.3">
      <c r="A42" s="162" t="s">
        <v>235</v>
      </c>
      <c r="B42" s="160"/>
    </row>
    <row r="43" spans="1:5" ht="15.6" x14ac:dyDescent="0.3">
      <c r="A43" s="166" t="s">
        <v>176</v>
      </c>
      <c r="B43" s="168" t="s">
        <v>176</v>
      </c>
    </row>
    <row r="44" spans="1:5" ht="15.6" x14ac:dyDescent="0.3">
      <c r="A44" s="163" t="s">
        <v>236</v>
      </c>
      <c r="B44" s="165" t="s">
        <v>176</v>
      </c>
    </row>
    <row r="45" spans="1:5" ht="15.6" x14ac:dyDescent="0.3">
      <c r="A45" s="163" t="s">
        <v>237</v>
      </c>
      <c r="B45" s="165" t="s">
        <v>176</v>
      </c>
    </row>
    <row r="46" spans="1:5" ht="15.6" x14ac:dyDescent="0.3">
      <c r="A46" s="163" t="s">
        <v>238</v>
      </c>
      <c r="B46" s="165" t="s">
        <v>176</v>
      </c>
    </row>
    <row r="47" spans="1:5" ht="15.6" x14ac:dyDescent="0.3">
      <c r="A47" s="169" t="s">
        <v>239</v>
      </c>
      <c r="B47" s="171" t="s">
        <v>176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RowHeight="14.4" x14ac:dyDescent="0.3"/>
  <cols>
    <col min="1" max="1" width="24.109375" customWidth="1"/>
    <col min="2" max="2" width="23.33203125" customWidth="1"/>
    <col min="3" max="3" width="8.6640625" customWidth="1"/>
    <col min="4" max="4" width="9.109375" style="347"/>
    <col min="5" max="5" width="16.109375" customWidth="1"/>
    <col min="6" max="6" width="18.88671875" customWidth="1"/>
    <col min="7" max="7" width="12.5546875" customWidth="1"/>
    <col min="8" max="8" width="9.109375" style="347"/>
    <col min="9" max="9" width="16.5546875" customWidth="1"/>
    <col min="10" max="10" width="18.44140625" customWidth="1"/>
    <col min="11" max="11" width="15.6640625" customWidth="1"/>
    <col min="12" max="12" width="9.109375" style="347"/>
  </cols>
  <sheetData>
    <row r="1" spans="1:11" ht="24.75" customHeight="1" x14ac:dyDescent="0.3">
      <c r="A1" s="343" t="s">
        <v>240</v>
      </c>
      <c r="B1" s="345" t="s">
        <v>241</v>
      </c>
      <c r="C1" s="344" t="s">
        <v>242</v>
      </c>
      <c r="E1" s="343" t="s">
        <v>243</v>
      </c>
      <c r="F1" s="345" t="s">
        <v>244</v>
      </c>
      <c r="G1" s="344" t="s">
        <v>242</v>
      </c>
      <c r="I1" s="343" t="s">
        <v>245</v>
      </c>
      <c r="J1" s="345" t="s">
        <v>246</v>
      </c>
      <c r="K1" s="344" t="s">
        <v>242</v>
      </c>
    </row>
    <row r="2" spans="1:11" x14ac:dyDescent="0.3">
      <c r="A2" s="386" t="s">
        <v>247</v>
      </c>
      <c r="B2" s="386"/>
      <c r="C2" s="386"/>
    </row>
    <row r="3" spans="1:11" x14ac:dyDescent="0.3">
      <c r="A3" t="s">
        <v>248</v>
      </c>
      <c r="B3" t="s">
        <v>249</v>
      </c>
      <c r="C3" s="346">
        <v>45870</v>
      </c>
    </row>
    <row r="4" spans="1:11" x14ac:dyDescent="0.3">
      <c r="A4" t="s">
        <v>250</v>
      </c>
      <c r="B4" t="s">
        <v>249</v>
      </c>
      <c r="C4" s="346">
        <v>45870</v>
      </c>
    </row>
    <row r="5" spans="1:11" x14ac:dyDescent="0.3">
      <c r="A5" t="s">
        <v>251</v>
      </c>
      <c r="B5" t="s">
        <v>249</v>
      </c>
      <c r="C5" s="346">
        <v>45870</v>
      </c>
    </row>
    <row r="6" spans="1:11" x14ac:dyDescent="0.3">
      <c r="A6" t="s">
        <v>252</v>
      </c>
      <c r="B6" t="s">
        <v>253</v>
      </c>
      <c r="C6" s="346">
        <v>45875</v>
      </c>
    </row>
    <row r="7" spans="1:11" x14ac:dyDescent="0.3">
      <c r="A7" t="s">
        <v>254</v>
      </c>
      <c r="B7" t="s">
        <v>255</v>
      </c>
      <c r="C7" s="346">
        <v>45875</v>
      </c>
    </row>
    <row r="8" spans="1:11" x14ac:dyDescent="0.3">
      <c r="A8" t="s">
        <v>256</v>
      </c>
      <c r="B8" t="s">
        <v>255</v>
      </c>
      <c r="C8" s="346">
        <v>45875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4.4" x14ac:dyDescent="0.3"/>
  <cols>
    <col min="6" max="6" width="13.6640625" customWidth="1"/>
    <col min="7" max="8" width="10.33203125" bestFit="1" customWidth="1"/>
    <col min="10" max="11" width="14" bestFit="1" customWidth="1"/>
  </cols>
  <sheetData>
    <row r="2" spans="2:12" ht="62.4" x14ac:dyDescent="0.45">
      <c r="B2" s="27" t="s">
        <v>257</v>
      </c>
      <c r="G2" s="12" t="s">
        <v>258</v>
      </c>
      <c r="H2" s="13" t="s">
        <v>259</v>
      </c>
      <c r="I2" s="13" t="s">
        <v>260</v>
      </c>
      <c r="J2" s="138" t="s">
        <v>160</v>
      </c>
      <c r="K2" s="139" t="s">
        <v>42</v>
      </c>
      <c r="L2" s="138" t="s">
        <v>261</v>
      </c>
    </row>
    <row r="3" spans="2:12" s="64" customFormat="1" ht="12.75" customHeight="1" x14ac:dyDescent="0.3">
      <c r="B3" s="65" t="s">
        <v>115</v>
      </c>
      <c r="C3" s="66"/>
      <c r="D3" s="66"/>
      <c r="E3" s="66"/>
      <c r="F3" s="66"/>
      <c r="G3" s="67">
        <f>'Performances by Week'!I126</f>
        <v>0</v>
      </c>
      <c r="H3" s="67">
        <f>'Performances by Week'!J126</f>
        <v>0</v>
      </c>
      <c r="I3" s="67">
        <f>'Performances by Week'!K126</f>
        <v>0</v>
      </c>
      <c r="J3" s="67">
        <f>'Performances by Week'!L126</f>
        <v>0</v>
      </c>
      <c r="K3" s="67">
        <f>'Performances by Week'!M126</f>
        <v>6268640</v>
      </c>
      <c r="L3" s="67" t="str">
        <f>'Performances by Week'!O126</f>
        <v/>
      </c>
    </row>
    <row r="5" spans="2:12" ht="56.25" customHeight="1" x14ac:dyDescent="0.45">
      <c r="B5" s="27" t="s">
        <v>262</v>
      </c>
      <c r="G5" s="12" t="s">
        <v>258</v>
      </c>
      <c r="H5" s="13" t="s">
        <v>259</v>
      </c>
      <c r="I5" s="13"/>
      <c r="J5" s="138" t="s">
        <v>160</v>
      </c>
      <c r="K5" s="139" t="s">
        <v>42</v>
      </c>
      <c r="L5" s="138" t="s">
        <v>261</v>
      </c>
    </row>
    <row r="6" spans="2:12" x14ac:dyDescent="0.3">
      <c r="B6" s="27" t="s">
        <v>263</v>
      </c>
      <c r="G6" s="140">
        <f>'Performances by Week'!X126</f>
        <v>0</v>
      </c>
      <c r="H6" s="140"/>
      <c r="I6" s="141"/>
      <c r="J6" s="142">
        <f>'Performances by Week'!Y126</f>
        <v>0</v>
      </c>
      <c r="K6" s="142">
        <f>'Performances by Week'!Z126</f>
        <v>2169893</v>
      </c>
      <c r="L6" s="142" t="str">
        <f>'Performances by Week'!AA126</f>
        <v/>
      </c>
    </row>
    <row r="7" spans="2:12" x14ac:dyDescent="0.3">
      <c r="B7" s="27" t="s">
        <v>264</v>
      </c>
      <c r="G7" s="140">
        <f>'Performances by Week'!P126</f>
        <v>0</v>
      </c>
      <c r="H7" s="140">
        <f>'Performances by Week'!R126</f>
        <v>0</v>
      </c>
      <c r="I7" s="141"/>
      <c r="J7" s="142">
        <f>'Performances by Week'!T126</f>
        <v>0</v>
      </c>
      <c r="K7" s="142">
        <f>'Performances by Week'!U126</f>
        <v>3973690</v>
      </c>
      <c r="L7" s="142" t="str">
        <f>'Performances by Week'!W126</f>
        <v/>
      </c>
    </row>
    <row r="9" spans="2:12" ht="62.4" x14ac:dyDescent="0.45">
      <c r="B9" s="27" t="s">
        <v>265</v>
      </c>
      <c r="G9" s="12" t="s">
        <v>258</v>
      </c>
      <c r="H9" s="13" t="s">
        <v>259</v>
      </c>
      <c r="I9" s="13" t="s">
        <v>260</v>
      </c>
      <c r="J9" s="138" t="s">
        <v>160</v>
      </c>
      <c r="K9" s="139" t="s">
        <v>42</v>
      </c>
      <c r="L9" s="138" t="s">
        <v>261</v>
      </c>
    </row>
    <row r="10" spans="2:12" s="1" customFormat="1" ht="13.8" x14ac:dyDescent="0.3">
      <c r="B10" s="40" t="s">
        <v>266</v>
      </c>
      <c r="C10" s="41"/>
      <c r="D10" s="41"/>
      <c r="E10" s="41"/>
      <c r="F10" s="41"/>
      <c r="G10" s="42">
        <f>'Performances by Week'!I119</f>
        <v>0</v>
      </c>
      <c r="H10" s="42">
        <f>'Performances by Week'!J119</f>
        <v>0</v>
      </c>
      <c r="I10" s="42">
        <f>'Performances by Week'!K119</f>
        <v>0</v>
      </c>
      <c r="J10" s="42">
        <f>'Performances by Week'!L119</f>
        <v>0</v>
      </c>
      <c r="K10" s="42">
        <f>'Performances by Week'!M119</f>
        <v>2139000</v>
      </c>
      <c r="L10" s="42" t="str">
        <f>'Performances by Week'!O119</f>
        <v/>
      </c>
    </row>
    <row r="11" spans="2:12" s="1" customFormat="1" ht="13.8" x14ac:dyDescent="0.3">
      <c r="B11" s="40" t="s">
        <v>267</v>
      </c>
      <c r="C11" s="41"/>
      <c r="D11" s="41"/>
      <c r="E11" s="41"/>
      <c r="F11" s="41"/>
      <c r="G11" s="42">
        <f>'Performances by Week'!I120</f>
        <v>0</v>
      </c>
      <c r="H11" s="42">
        <f>'Performances by Week'!J120</f>
        <v>0</v>
      </c>
      <c r="I11" s="42">
        <f>'Performances by Week'!K120</f>
        <v>0</v>
      </c>
      <c r="J11" s="42">
        <f>'Performances by Week'!L120</f>
        <v>0</v>
      </c>
      <c r="K11" s="42">
        <f>'Performances by Week'!M120</f>
        <v>363000</v>
      </c>
      <c r="L11" s="42" t="str">
        <f>'Performances by Week'!O120</f>
        <v/>
      </c>
    </row>
    <row r="12" spans="2:12" s="1" customFormat="1" ht="13.8" x14ac:dyDescent="0.3">
      <c r="B12" s="40" t="s">
        <v>268</v>
      </c>
      <c r="C12" s="41"/>
      <c r="D12" s="41"/>
      <c r="E12" s="41"/>
      <c r="F12" s="41"/>
      <c r="G12" s="42">
        <f>'Performances by Week'!I121</f>
        <v>0</v>
      </c>
      <c r="H12" s="42">
        <f>'Performances by Week'!J121</f>
        <v>0</v>
      </c>
      <c r="I12" s="42">
        <f>'Performances by Week'!K121</f>
        <v>0</v>
      </c>
      <c r="J12" s="42">
        <f>'Performances by Week'!L121</f>
        <v>0</v>
      </c>
      <c r="K12" s="42">
        <f>'Performances by Week'!M121</f>
        <v>1457000</v>
      </c>
      <c r="L12" s="42" t="str">
        <f>'Performances by Week'!O121</f>
        <v/>
      </c>
    </row>
    <row r="13" spans="2:12" s="1" customFormat="1" ht="13.8" x14ac:dyDescent="0.3">
      <c r="B13" s="40" t="s">
        <v>269</v>
      </c>
      <c r="C13" s="41"/>
      <c r="D13" s="41"/>
      <c r="E13" s="41"/>
      <c r="F13" s="41"/>
      <c r="G13" s="42">
        <f>'Performances by Week'!I122</f>
        <v>0</v>
      </c>
      <c r="H13" s="42">
        <f>'Performances by Week'!J122</f>
        <v>0</v>
      </c>
      <c r="I13" s="42">
        <f>'Performances by Week'!K122</f>
        <v>0</v>
      </c>
      <c r="J13" s="42">
        <f>'Performances by Week'!L122</f>
        <v>0</v>
      </c>
      <c r="K13" s="42">
        <f>'Performances by Week'!M122</f>
        <v>525950</v>
      </c>
      <c r="L13" s="42" t="str">
        <f>'Performances by Week'!O122</f>
        <v/>
      </c>
    </row>
    <row r="14" spans="2:12" s="1" customFormat="1" ht="13.8" x14ac:dyDescent="0.3">
      <c r="B14" s="54" t="s">
        <v>270</v>
      </c>
      <c r="C14" s="55"/>
      <c r="D14" s="55"/>
      <c r="E14" s="55"/>
      <c r="F14" s="55"/>
      <c r="G14" s="42">
        <f>'Performances by Week'!I123</f>
        <v>0</v>
      </c>
      <c r="H14" s="42">
        <f>'Performances by Week'!J123</f>
        <v>0</v>
      </c>
      <c r="I14" s="42">
        <f>'Performances by Week'!K123</f>
        <v>0</v>
      </c>
      <c r="J14" s="42">
        <f>'Performances by Week'!L123</f>
        <v>0</v>
      </c>
      <c r="K14" s="42">
        <f>'Performances by Week'!M123</f>
        <v>1745490</v>
      </c>
      <c r="L14" s="42" t="str">
        <f>'Performances by Week'!O123</f>
        <v/>
      </c>
    </row>
    <row r="15" spans="2:12" s="1" customFormat="1" ht="13.8" x14ac:dyDescent="0.3">
      <c r="B15" s="54" t="s">
        <v>271</v>
      </c>
      <c r="C15" s="55"/>
      <c r="D15" s="55"/>
      <c r="E15" s="55"/>
      <c r="F15" s="55"/>
      <c r="G15" s="42">
        <f>'Performances by Week'!I124</f>
        <v>0</v>
      </c>
      <c r="H15" s="42">
        <f>'Performances by Week'!J124</f>
        <v>0</v>
      </c>
      <c r="I15" s="42">
        <f>'Performances by Week'!K124</f>
        <v>0</v>
      </c>
      <c r="J15" s="42">
        <f>'Performances by Week'!L124</f>
        <v>0</v>
      </c>
      <c r="K15" s="42">
        <f>'Performances by Week'!M124</f>
        <v>38200</v>
      </c>
      <c r="L15" s="42" t="str">
        <f>'Performances by Week'!O124</f>
        <v/>
      </c>
    </row>
    <row r="16" spans="2:12" s="1" customFormat="1" ht="12.75" customHeight="1" x14ac:dyDescent="0.3">
      <c r="B16" s="40" t="s">
        <v>272</v>
      </c>
      <c r="C16" s="62"/>
      <c r="D16" s="62"/>
      <c r="E16" s="62"/>
      <c r="F16" s="62"/>
      <c r="G16" s="42">
        <f>'Performances by Week'!I125</f>
        <v>0</v>
      </c>
      <c r="H16" s="42">
        <f>'Performances by Week'!J125</f>
        <v>0</v>
      </c>
      <c r="I16" s="42">
        <f>'Performances by Week'!K125</f>
        <v>0</v>
      </c>
      <c r="J16" s="42">
        <f>'Performances by Week'!L125</f>
        <v>0</v>
      </c>
      <c r="K16" s="42">
        <f>'Performances by Week'!M125</f>
        <v>0</v>
      </c>
      <c r="L16" s="42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11" workbookViewId="0">
      <selection activeCell="G24" sqref="G24"/>
    </sheetView>
  </sheetViews>
  <sheetFormatPr defaultRowHeight="14.4" x14ac:dyDescent="0.3"/>
  <cols>
    <col min="1" max="1" width="13.109375" customWidth="1"/>
    <col min="2" max="2" width="11.44140625" customWidth="1"/>
  </cols>
  <sheetData>
    <row r="1" spans="1:6" x14ac:dyDescent="0.3">
      <c r="B1" s="419" t="s">
        <v>273</v>
      </c>
      <c r="C1" s="420"/>
      <c r="D1" s="125"/>
      <c r="E1" s="421" t="s">
        <v>274</v>
      </c>
      <c r="F1" s="422"/>
    </row>
    <row r="2" spans="1:6" ht="27" x14ac:dyDescent="0.3">
      <c r="A2" s="29" t="s">
        <v>275</v>
      </c>
      <c r="B2" s="126" t="s">
        <v>62</v>
      </c>
      <c r="C2" s="127" t="s">
        <v>57</v>
      </c>
      <c r="D2" s="125"/>
      <c r="E2" s="127" t="s">
        <v>62</v>
      </c>
      <c r="F2" s="127" t="s">
        <v>57</v>
      </c>
    </row>
    <row r="3" spans="1:6" x14ac:dyDescent="0.3">
      <c r="A3">
        <v>1</v>
      </c>
      <c r="B3" s="120">
        <v>4.2056074766355138E-2</v>
      </c>
      <c r="C3" s="120">
        <v>3.6253776435045321E-2</v>
      </c>
      <c r="E3" s="120">
        <v>0.25267149258876248</v>
      </c>
      <c r="F3" s="128">
        <v>0.1146691263421787</v>
      </c>
    </row>
    <row r="4" spans="1:6" x14ac:dyDescent="0.3">
      <c r="A4">
        <v>2</v>
      </c>
      <c r="B4" s="120">
        <v>6.0747663551401869E-2</v>
      </c>
      <c r="C4" s="120">
        <v>7.2507552870090641E-2</v>
      </c>
      <c r="E4" s="120">
        <v>0.3160978972768011</v>
      </c>
      <c r="F4" s="128">
        <v>0.20747552149851001</v>
      </c>
    </row>
    <row r="5" spans="1:6" x14ac:dyDescent="0.3">
      <c r="A5">
        <v>3</v>
      </c>
      <c r="B5" s="120">
        <v>0.10981308411214953</v>
      </c>
      <c r="C5" s="120">
        <v>8.7613293051359523E-2</v>
      </c>
      <c r="E5" s="120">
        <v>0.39296794208893487</v>
      </c>
      <c r="F5" s="128">
        <v>0.28482900525046118</v>
      </c>
    </row>
    <row r="6" spans="1:6" x14ac:dyDescent="0.3">
      <c r="A6" s="29">
        <v>4</v>
      </c>
      <c r="B6" s="120">
        <v>0.12850467289719625</v>
      </c>
      <c r="C6" s="120">
        <v>0.12386706948640483</v>
      </c>
      <c r="E6" s="129">
        <v>0.47604274388142021</v>
      </c>
      <c r="F6" s="128">
        <v>0.36527647698784355</v>
      </c>
    </row>
    <row r="7" spans="1:6" x14ac:dyDescent="0.3">
      <c r="A7" s="27">
        <v>5</v>
      </c>
      <c r="B7" s="120">
        <v>0.16355140186915887</v>
      </c>
      <c r="C7" s="120">
        <v>0.20845921450151059</v>
      </c>
      <c r="D7" s="128"/>
      <c r="E7" s="120">
        <v>0.5701482247500862</v>
      </c>
      <c r="F7" s="130">
        <v>0.45014616148715764</v>
      </c>
    </row>
    <row r="8" spans="1:6" x14ac:dyDescent="0.3">
      <c r="A8" s="27">
        <v>6</v>
      </c>
      <c r="B8" s="120">
        <v>0.22663551401869159</v>
      </c>
      <c r="C8" s="120">
        <v>0.22960725075528701</v>
      </c>
      <c r="E8" s="120">
        <v>0.72147535332643897</v>
      </c>
      <c r="F8" s="128">
        <v>0.64007095217823196</v>
      </c>
    </row>
    <row r="9" spans="1:6" x14ac:dyDescent="0.3">
      <c r="A9" s="27">
        <v>7</v>
      </c>
      <c r="B9" s="120">
        <v>0.30140186915887851</v>
      </c>
      <c r="C9" s="120">
        <v>0.27794561933534745</v>
      </c>
      <c r="E9" s="131">
        <v>0.90486039296794207</v>
      </c>
      <c r="F9" s="128">
        <v>0.79481765290194417</v>
      </c>
    </row>
    <row r="10" spans="1:6" x14ac:dyDescent="0.3">
      <c r="A10" s="27">
        <v>8</v>
      </c>
      <c r="B10" s="120">
        <v>0.35046728971962615</v>
      </c>
      <c r="C10" s="120">
        <v>0.31117824773413899</v>
      </c>
      <c r="E10" s="120">
        <v>0.93864184763874525</v>
      </c>
      <c r="F10" s="132">
        <v>0.88854264225911739</v>
      </c>
    </row>
    <row r="11" spans="1:6" x14ac:dyDescent="0.3">
      <c r="A11" s="27">
        <v>9</v>
      </c>
      <c r="B11" s="120">
        <v>0.39485981308411217</v>
      </c>
      <c r="C11" s="120">
        <v>0.38670694864048338</v>
      </c>
      <c r="E11" s="120">
        <v>0.95001723543605654</v>
      </c>
      <c r="F11" s="128">
        <v>0.9422827680809801</v>
      </c>
    </row>
    <row r="12" spans="1:6" x14ac:dyDescent="0.3">
      <c r="A12" s="27">
        <v>10</v>
      </c>
      <c r="B12" s="120">
        <v>0.43691588785046731</v>
      </c>
      <c r="C12" s="120">
        <v>0.42900302114803623</v>
      </c>
      <c r="E12" s="120">
        <v>0.96242674939675976</v>
      </c>
      <c r="F12" s="128">
        <v>0.95465872002270469</v>
      </c>
    </row>
    <row r="13" spans="1:6" x14ac:dyDescent="0.3">
      <c r="A13" s="27">
        <v>11</v>
      </c>
      <c r="B13" s="129">
        <v>0.46962616822429909</v>
      </c>
      <c r="C13" s="129">
        <v>0.48036253776435045</v>
      </c>
      <c r="E13" s="120">
        <v>0.96552912788693557</v>
      </c>
      <c r="F13" s="128">
        <v>0.96530296580105013</v>
      </c>
    </row>
    <row r="14" spans="1:6" x14ac:dyDescent="0.3">
      <c r="A14" s="27">
        <v>12</v>
      </c>
      <c r="B14" s="120">
        <v>0.5070093457943925</v>
      </c>
      <c r="C14" s="120">
        <v>0.57401812688821752</v>
      </c>
      <c r="E14" s="120">
        <v>0.96863150637711137</v>
      </c>
      <c r="F14" s="128">
        <v>0.97390662693344687</v>
      </c>
    </row>
    <row r="15" spans="1:6" x14ac:dyDescent="0.3">
      <c r="A15" s="30" t="s">
        <v>164</v>
      </c>
      <c r="B15" s="120">
        <v>1</v>
      </c>
      <c r="C15" s="120">
        <v>1</v>
      </c>
      <c r="E15" s="120">
        <v>1</v>
      </c>
      <c r="F15" s="128">
        <v>1</v>
      </c>
    </row>
    <row r="21" spans="1:5" x14ac:dyDescent="0.3">
      <c r="B21" s="423" t="s">
        <v>18</v>
      </c>
      <c r="C21" s="424"/>
      <c r="D21" s="424"/>
      <c r="E21" s="425"/>
    </row>
    <row r="22" spans="1:5" ht="27" x14ac:dyDescent="0.3">
      <c r="A22" s="29" t="s">
        <v>126</v>
      </c>
      <c r="B22" s="28" t="s">
        <v>62</v>
      </c>
      <c r="C22" s="133" t="s">
        <v>57</v>
      </c>
      <c r="D22" s="28" t="s">
        <v>52</v>
      </c>
      <c r="E22" s="126" t="s">
        <v>127</v>
      </c>
    </row>
    <row r="23" spans="1:5" x14ac:dyDescent="0.3">
      <c r="A23" s="29">
        <v>0</v>
      </c>
      <c r="B23" s="134">
        <v>1</v>
      </c>
      <c r="C23" s="134">
        <v>1</v>
      </c>
      <c r="D23" s="134">
        <v>1</v>
      </c>
      <c r="E23" s="134">
        <v>1</v>
      </c>
    </row>
    <row r="24" spans="1:5" x14ac:dyDescent="0.3">
      <c r="A24">
        <v>1</v>
      </c>
      <c r="B24" s="134">
        <v>0.59</v>
      </c>
      <c r="C24" s="134">
        <v>0.59</v>
      </c>
      <c r="D24" s="134">
        <v>0.59</v>
      </c>
      <c r="E24" s="134">
        <v>0.59</v>
      </c>
    </row>
    <row r="25" spans="1:5" x14ac:dyDescent="0.3">
      <c r="A25">
        <v>2</v>
      </c>
      <c r="B25" s="135">
        <v>0.46</v>
      </c>
      <c r="C25" s="135">
        <v>0.46</v>
      </c>
      <c r="D25" s="135">
        <v>0.46</v>
      </c>
      <c r="E25" s="135">
        <v>0.46</v>
      </c>
    </row>
    <row r="26" spans="1:5" x14ac:dyDescent="0.3">
      <c r="A26">
        <v>3</v>
      </c>
      <c r="B26" s="134">
        <v>0.39</v>
      </c>
      <c r="C26" s="134">
        <v>0.39</v>
      </c>
      <c r="D26" s="134">
        <v>0.39</v>
      </c>
      <c r="E26" s="134">
        <v>0.39</v>
      </c>
    </row>
    <row r="27" spans="1:5" x14ac:dyDescent="0.3">
      <c r="A27" s="29">
        <v>4</v>
      </c>
      <c r="B27" s="136">
        <v>0.33</v>
      </c>
      <c r="C27" s="136">
        <v>0.33</v>
      </c>
      <c r="D27" s="136">
        <v>0.33</v>
      </c>
      <c r="E27" s="136">
        <v>0.33</v>
      </c>
    </row>
    <row r="28" spans="1:5" x14ac:dyDescent="0.3">
      <c r="A28" s="27">
        <v>5</v>
      </c>
      <c r="B28" s="136">
        <v>0.3</v>
      </c>
      <c r="C28" s="136">
        <v>0.3</v>
      </c>
      <c r="D28" s="136">
        <v>0.3</v>
      </c>
      <c r="E28" s="136">
        <v>0.3</v>
      </c>
    </row>
    <row r="29" spans="1:5" x14ac:dyDescent="0.3">
      <c r="A29" s="27">
        <v>6</v>
      </c>
      <c r="B29" s="136">
        <v>0.27</v>
      </c>
      <c r="C29" s="136">
        <v>0.27</v>
      </c>
      <c r="D29" s="136">
        <v>0.27</v>
      </c>
      <c r="E29" s="136">
        <v>0.27</v>
      </c>
    </row>
    <row r="30" spans="1:5" x14ac:dyDescent="0.3">
      <c r="A30" s="27">
        <v>7</v>
      </c>
    </row>
    <row r="31" spans="1:5" x14ac:dyDescent="0.3">
      <c r="A31" s="27">
        <v>8</v>
      </c>
    </row>
    <row r="32" spans="1:5" x14ac:dyDescent="0.3">
      <c r="A32" s="27">
        <v>9</v>
      </c>
    </row>
    <row r="33" spans="1:1" x14ac:dyDescent="0.3">
      <c r="A33" s="27">
        <v>10</v>
      </c>
    </row>
    <row r="34" spans="1:1" x14ac:dyDescent="0.3">
      <c r="A34" s="27">
        <v>11</v>
      </c>
    </row>
    <row r="35" spans="1:1" x14ac:dyDescent="0.3">
      <c r="A35" s="27">
        <v>12</v>
      </c>
    </row>
    <row r="36" spans="1:1" x14ac:dyDescent="0.3">
      <c r="A36" s="30" t="s">
        <v>164</v>
      </c>
    </row>
    <row r="38" spans="1:1" x14ac:dyDescent="0.3">
      <c r="A38" s="25" t="s">
        <v>116</v>
      </c>
    </row>
    <row r="39" spans="1:1" x14ac:dyDescent="0.3">
      <c r="A39" s="27" t="s">
        <v>276</v>
      </c>
    </row>
    <row r="40" spans="1:1" x14ac:dyDescent="0.3">
      <c r="A40" s="27" t="s">
        <v>277</v>
      </c>
    </row>
    <row r="41" spans="1:1" x14ac:dyDescent="0.3">
      <c r="A41" s="27" t="s">
        <v>278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50"/>
  <sheetViews>
    <sheetView topLeftCell="A2" workbookViewId="0">
      <selection activeCell="G21" sqref="G21"/>
    </sheetView>
  </sheetViews>
  <sheetFormatPr defaultRowHeight="14.4" x14ac:dyDescent="0.3"/>
  <cols>
    <col min="1" max="1" width="11.5546875" customWidth="1"/>
    <col min="2" max="2" width="35" customWidth="1"/>
    <col min="3" max="3" width="22" customWidth="1"/>
    <col min="4" max="4" width="70" customWidth="1"/>
    <col min="5" max="6" width="9.109375" bestFit="1" customWidth="1"/>
    <col min="7" max="7" width="29.33203125" customWidth="1"/>
  </cols>
  <sheetData>
    <row r="1" spans="1:7" ht="15" customHeight="1" x14ac:dyDescent="0.3">
      <c r="A1" s="279" t="s">
        <v>279</v>
      </c>
      <c r="B1" s="279" t="s">
        <v>280</v>
      </c>
      <c r="C1" s="279" t="s">
        <v>281</v>
      </c>
      <c r="D1" s="287" t="s">
        <v>282</v>
      </c>
      <c r="G1" s="265"/>
    </row>
    <row r="2" spans="1:7" ht="15" customHeight="1" x14ac:dyDescent="0.3">
      <c r="A2" s="266">
        <v>45891</v>
      </c>
      <c r="B2" s="267" t="s">
        <v>283</v>
      </c>
      <c r="C2" s="273">
        <v>1625</v>
      </c>
      <c r="D2" t="s">
        <v>284</v>
      </c>
    </row>
    <row r="3" spans="1:7" ht="15" customHeight="1" x14ac:dyDescent="0.3">
      <c r="A3" s="266">
        <v>45891</v>
      </c>
      <c r="B3" s="267" t="s">
        <v>285</v>
      </c>
      <c r="C3" s="273">
        <v>2570</v>
      </c>
      <c r="D3" t="s">
        <v>286</v>
      </c>
    </row>
    <row r="4" spans="1:7" ht="15" customHeight="1" x14ac:dyDescent="0.3">
      <c r="A4" s="266">
        <v>45890</v>
      </c>
      <c r="B4" s="267" t="s">
        <v>287</v>
      </c>
      <c r="C4" s="273">
        <v>1005</v>
      </c>
      <c r="D4" t="s">
        <v>288</v>
      </c>
    </row>
    <row r="5" spans="1:7" ht="15" customHeight="1" x14ac:dyDescent="0.3">
      <c r="A5" s="266">
        <v>45890</v>
      </c>
      <c r="B5" s="267" t="s">
        <v>289</v>
      </c>
      <c r="C5" s="273">
        <v>813</v>
      </c>
      <c r="D5" t="s">
        <v>290</v>
      </c>
    </row>
    <row r="6" spans="1:7" ht="15" customHeight="1" x14ac:dyDescent="0.3">
      <c r="A6" s="266">
        <v>45883</v>
      </c>
      <c r="B6" s="267" t="s">
        <v>291</v>
      </c>
      <c r="C6" s="273">
        <v>966</v>
      </c>
      <c r="D6" t="s">
        <v>292</v>
      </c>
    </row>
    <row r="7" spans="1:7" ht="15" customHeight="1" x14ac:dyDescent="0.3">
      <c r="A7" s="266">
        <v>45883</v>
      </c>
      <c r="B7" s="267" t="s">
        <v>293</v>
      </c>
      <c r="C7" s="273">
        <v>1895</v>
      </c>
      <c r="D7" t="s">
        <v>294</v>
      </c>
    </row>
    <row r="8" spans="1:7" ht="15" customHeight="1" x14ac:dyDescent="0.3">
      <c r="A8" s="266">
        <v>45881</v>
      </c>
      <c r="B8" s="267" t="s">
        <v>295</v>
      </c>
      <c r="C8" s="273">
        <v>3290</v>
      </c>
      <c r="D8" t="s">
        <v>296</v>
      </c>
    </row>
    <row r="9" spans="1:7" ht="15" customHeight="1" x14ac:dyDescent="0.3">
      <c r="A9" s="266">
        <v>45881</v>
      </c>
      <c r="B9" s="267" t="s">
        <v>297</v>
      </c>
      <c r="C9" s="273">
        <v>1785</v>
      </c>
      <c r="D9" t="s">
        <v>296</v>
      </c>
    </row>
    <row r="10" spans="1:7" ht="15" customHeight="1" x14ac:dyDescent="0.3">
      <c r="A10" s="266">
        <v>45876</v>
      </c>
      <c r="B10" s="267" t="s">
        <v>298</v>
      </c>
      <c r="C10" s="273">
        <v>2394</v>
      </c>
      <c r="D10" t="s">
        <v>299</v>
      </c>
    </row>
    <row r="11" spans="1:7" ht="15" customHeight="1" x14ac:dyDescent="0.3">
      <c r="A11" s="266">
        <v>45876</v>
      </c>
      <c r="B11" s="267" t="s">
        <v>300</v>
      </c>
      <c r="C11" s="273">
        <v>1879</v>
      </c>
      <c r="D11" t="s">
        <v>301</v>
      </c>
    </row>
    <row r="12" spans="1:7" ht="15" customHeight="1" x14ac:dyDescent="0.3">
      <c r="A12" s="266">
        <v>45876</v>
      </c>
      <c r="B12" s="267" t="s">
        <v>302</v>
      </c>
      <c r="C12" s="273">
        <v>2731</v>
      </c>
      <c r="D12" t="s">
        <v>303</v>
      </c>
    </row>
    <row r="13" spans="1:7" ht="15" customHeight="1" x14ac:dyDescent="0.3">
      <c r="A13" s="266">
        <v>45875</v>
      </c>
      <c r="B13" s="267" t="s">
        <v>304</v>
      </c>
      <c r="C13" s="273">
        <v>3331</v>
      </c>
      <c r="D13" t="s">
        <v>305</v>
      </c>
    </row>
    <row r="14" spans="1:7" ht="15" customHeight="1" x14ac:dyDescent="0.3">
      <c r="A14" s="266">
        <v>45875</v>
      </c>
      <c r="B14" s="267" t="s">
        <v>306</v>
      </c>
      <c r="C14" s="273">
        <v>1564</v>
      </c>
      <c r="D14" t="s">
        <v>307</v>
      </c>
    </row>
    <row r="15" spans="1:7" ht="15" customHeight="1" x14ac:dyDescent="0.3">
      <c r="A15" s="266">
        <v>45874</v>
      </c>
      <c r="B15" s="267" t="s">
        <v>308</v>
      </c>
      <c r="C15" s="273">
        <v>1589</v>
      </c>
      <c r="D15" t="s">
        <v>309</v>
      </c>
    </row>
    <row r="16" spans="1:7" ht="15" customHeight="1" x14ac:dyDescent="0.3">
      <c r="A16" s="266">
        <v>45874</v>
      </c>
      <c r="B16" s="267" t="s">
        <v>310</v>
      </c>
      <c r="C16" s="273">
        <v>4997</v>
      </c>
      <c r="D16" t="s">
        <v>311</v>
      </c>
    </row>
    <row r="17" spans="1:4" ht="15" customHeight="1" x14ac:dyDescent="0.3">
      <c r="A17" s="266"/>
      <c r="B17" s="267"/>
      <c r="C17" s="273"/>
    </row>
    <row r="18" spans="1:4" ht="15" customHeight="1" x14ac:dyDescent="0.3">
      <c r="A18" s="266"/>
      <c r="B18" s="342" t="s">
        <v>312</v>
      </c>
      <c r="C18" s="273"/>
    </row>
    <row r="19" spans="1:4" ht="15" customHeight="1" x14ac:dyDescent="0.3">
      <c r="A19" s="266" t="s">
        <v>313</v>
      </c>
      <c r="B19" s="267" t="s">
        <v>314</v>
      </c>
      <c r="C19" s="273" t="s">
        <v>315</v>
      </c>
      <c r="D19" t="s">
        <v>316</v>
      </c>
    </row>
    <row r="20" spans="1:4" ht="17.25" customHeight="1" x14ac:dyDescent="0.3">
      <c r="A20" s="266" t="s">
        <v>317</v>
      </c>
      <c r="B20" s="267" t="s">
        <v>318</v>
      </c>
      <c r="C20" s="273" t="s">
        <v>319</v>
      </c>
      <c r="D20" s="273" t="s">
        <v>320</v>
      </c>
    </row>
    <row r="21" spans="1:4" ht="17.25" customHeight="1" x14ac:dyDescent="0.3">
      <c r="A21" s="266"/>
      <c r="B21" s="268"/>
      <c r="C21" s="273"/>
    </row>
    <row r="22" spans="1:4" ht="19.5" customHeight="1" x14ac:dyDescent="0.3">
      <c r="A22" s="312"/>
      <c r="C22" s="273"/>
    </row>
    <row r="23" spans="1:4" ht="19.5" customHeight="1" x14ac:dyDescent="0.3">
      <c r="A23" s="312"/>
      <c r="C23" s="273"/>
    </row>
    <row r="24" spans="1:4" ht="19.5" customHeight="1" x14ac:dyDescent="0.3">
      <c r="A24" s="266">
        <v>45870</v>
      </c>
      <c r="B24" s="267" t="s">
        <v>321</v>
      </c>
      <c r="C24" s="273">
        <v>953</v>
      </c>
      <c r="D24" t="s">
        <v>322</v>
      </c>
    </row>
    <row r="25" spans="1:4" ht="19.5" customHeight="1" x14ac:dyDescent="0.3">
      <c r="A25" s="266">
        <v>45870</v>
      </c>
      <c r="B25" s="267" t="s">
        <v>323</v>
      </c>
      <c r="C25" s="273">
        <v>1105</v>
      </c>
      <c r="D25" t="s">
        <v>324</v>
      </c>
    </row>
    <row r="26" spans="1:4" x14ac:dyDescent="0.3">
      <c r="A26" s="266">
        <v>45860</v>
      </c>
      <c r="B26" s="267" t="s">
        <v>325</v>
      </c>
      <c r="C26" s="273">
        <v>3465</v>
      </c>
      <c r="D26" t="s">
        <v>326</v>
      </c>
    </row>
    <row r="27" spans="1:4" x14ac:dyDescent="0.3">
      <c r="A27" s="266">
        <v>45860</v>
      </c>
      <c r="B27" s="267" t="s">
        <v>327</v>
      </c>
      <c r="C27" s="273">
        <v>1537</v>
      </c>
      <c r="D27" t="s">
        <v>328</v>
      </c>
    </row>
    <row r="28" spans="1:4" x14ac:dyDescent="0.3">
      <c r="A28" s="266">
        <v>45865</v>
      </c>
      <c r="B28" s="267" t="s">
        <v>329</v>
      </c>
      <c r="C28" s="273">
        <v>563</v>
      </c>
      <c r="D28" t="s">
        <v>330</v>
      </c>
    </row>
    <row r="29" spans="1:4" x14ac:dyDescent="0.3">
      <c r="A29" s="266">
        <v>45865</v>
      </c>
      <c r="B29" s="267" t="s">
        <v>331</v>
      </c>
      <c r="C29" s="273">
        <v>1735</v>
      </c>
      <c r="D29" t="s">
        <v>332</v>
      </c>
    </row>
    <row r="30" spans="1:4" x14ac:dyDescent="0.3">
      <c r="A30" s="266">
        <v>45865</v>
      </c>
      <c r="B30" s="267" t="s">
        <v>333</v>
      </c>
      <c r="C30" s="273">
        <v>256</v>
      </c>
      <c r="D30" t="s">
        <v>288</v>
      </c>
    </row>
    <row r="31" spans="1:4" x14ac:dyDescent="0.3">
      <c r="A31" s="266">
        <v>45853</v>
      </c>
      <c r="B31" s="267" t="s">
        <v>334</v>
      </c>
      <c r="C31" s="273">
        <v>1641</v>
      </c>
      <c r="D31" t="s">
        <v>335</v>
      </c>
    </row>
    <row r="32" spans="1:4" x14ac:dyDescent="0.3">
      <c r="A32" s="266">
        <v>45853</v>
      </c>
      <c r="B32" s="267" t="s">
        <v>336</v>
      </c>
      <c r="C32" s="273">
        <v>4321</v>
      </c>
      <c r="D32" t="s">
        <v>337</v>
      </c>
    </row>
    <row r="33" spans="1:4" x14ac:dyDescent="0.3">
      <c r="A33" s="266">
        <v>45853</v>
      </c>
      <c r="B33" s="267" t="s">
        <v>338</v>
      </c>
      <c r="C33" s="273">
        <v>1013</v>
      </c>
      <c r="D33" t="s">
        <v>339</v>
      </c>
    </row>
    <row r="34" spans="1:4" x14ac:dyDescent="0.3">
      <c r="A34" s="266">
        <v>45853</v>
      </c>
      <c r="B34" s="267" t="s">
        <v>340</v>
      </c>
      <c r="C34" s="273">
        <v>1115</v>
      </c>
      <c r="D34" t="s">
        <v>288</v>
      </c>
    </row>
    <row r="35" spans="1:4" x14ac:dyDescent="0.3">
      <c r="A35" s="266">
        <v>45854</v>
      </c>
      <c r="B35" s="268" t="s">
        <v>341</v>
      </c>
      <c r="C35" s="273">
        <v>3157</v>
      </c>
      <c r="D35" t="s">
        <v>342</v>
      </c>
    </row>
    <row r="36" spans="1:4" x14ac:dyDescent="0.3">
      <c r="A36" s="266">
        <v>45854</v>
      </c>
      <c r="B36" s="268" t="s">
        <v>343</v>
      </c>
      <c r="C36" s="273">
        <v>1489</v>
      </c>
      <c r="D36" t="s">
        <v>344</v>
      </c>
    </row>
    <row r="37" spans="1:4" x14ac:dyDescent="0.3">
      <c r="A37" s="266">
        <v>45854</v>
      </c>
      <c r="B37" s="268" t="s">
        <v>345</v>
      </c>
      <c r="C37" s="273">
        <v>8022</v>
      </c>
      <c r="D37" t="s">
        <v>346</v>
      </c>
    </row>
    <row r="38" spans="1:4" x14ac:dyDescent="0.3">
      <c r="A38" s="312">
        <v>45855</v>
      </c>
      <c r="B38" t="s">
        <v>347</v>
      </c>
      <c r="C38" s="273">
        <v>1203</v>
      </c>
      <c r="D38" t="s">
        <v>335</v>
      </c>
    </row>
    <row r="39" spans="1:4" x14ac:dyDescent="0.3">
      <c r="A39" s="312">
        <v>45855</v>
      </c>
      <c r="B39" t="s">
        <v>348</v>
      </c>
      <c r="C39" s="273">
        <v>1101</v>
      </c>
      <c r="D39" t="s">
        <v>349</v>
      </c>
    </row>
    <row r="40" spans="1:4" x14ac:dyDescent="0.3">
      <c r="A40" s="312">
        <v>45855</v>
      </c>
      <c r="B40" t="s">
        <v>350</v>
      </c>
      <c r="C40" s="313">
        <v>3569</v>
      </c>
      <c r="D40" t="s">
        <v>351</v>
      </c>
    </row>
    <row r="41" spans="1:4" x14ac:dyDescent="0.3">
      <c r="A41" s="312">
        <v>45855</v>
      </c>
      <c r="B41" t="s">
        <v>352</v>
      </c>
      <c r="C41">
        <v>136</v>
      </c>
      <c r="D41" t="s">
        <v>353</v>
      </c>
    </row>
    <row r="42" spans="1:4" x14ac:dyDescent="0.3">
      <c r="A42" s="312">
        <v>45856</v>
      </c>
      <c r="B42" t="s">
        <v>354</v>
      </c>
      <c r="C42" s="273">
        <v>1000</v>
      </c>
      <c r="D42" t="s">
        <v>355</v>
      </c>
    </row>
    <row r="43" spans="1:4" x14ac:dyDescent="0.3">
      <c r="A43" s="312">
        <v>45856</v>
      </c>
      <c r="B43" t="s">
        <v>356</v>
      </c>
      <c r="C43" s="273">
        <v>2072</v>
      </c>
      <c r="D43" t="s">
        <v>357</v>
      </c>
    </row>
    <row r="44" spans="1:4" x14ac:dyDescent="0.3">
      <c r="A44" s="312">
        <v>45856</v>
      </c>
      <c r="B44" t="s">
        <v>358</v>
      </c>
      <c r="C44">
        <v>947</v>
      </c>
      <c r="D44" t="s">
        <v>359</v>
      </c>
    </row>
    <row r="45" spans="1:4" x14ac:dyDescent="0.3">
      <c r="A45" s="312">
        <v>45856</v>
      </c>
      <c r="B45" t="s">
        <v>360</v>
      </c>
      <c r="C45">
        <v>32</v>
      </c>
      <c r="D45" t="s">
        <v>353</v>
      </c>
    </row>
    <row r="46" spans="1:4" x14ac:dyDescent="0.3">
      <c r="A46" s="312"/>
    </row>
    <row r="47" spans="1:4" x14ac:dyDescent="0.3">
      <c r="B47" s="300" t="s">
        <v>312</v>
      </c>
    </row>
    <row r="48" spans="1:4" x14ac:dyDescent="0.3">
      <c r="A48" s="266">
        <v>45832</v>
      </c>
      <c r="B48" s="268" t="s">
        <v>361</v>
      </c>
      <c r="C48" s="273" t="s">
        <v>362</v>
      </c>
      <c r="D48" t="s">
        <v>363</v>
      </c>
    </row>
    <row r="49" spans="1:4" x14ac:dyDescent="0.3">
      <c r="A49" s="266">
        <v>45838</v>
      </c>
      <c r="B49" s="267" t="s">
        <v>314</v>
      </c>
      <c r="C49" t="s">
        <v>364</v>
      </c>
      <c r="D49" t="s">
        <v>365</v>
      </c>
    </row>
    <row r="50" spans="1:4" x14ac:dyDescent="0.3">
      <c r="A50" s="266">
        <v>45841</v>
      </c>
      <c r="B50" s="267" t="s">
        <v>366</v>
      </c>
      <c r="C50" t="s">
        <v>367</v>
      </c>
      <c r="D50" t="s">
        <v>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23"/>
  <sheetViews>
    <sheetView workbookViewId="0">
      <selection activeCell="F7" sqref="F7"/>
    </sheetView>
  </sheetViews>
  <sheetFormatPr defaultRowHeight="14.4" x14ac:dyDescent="0.3"/>
  <cols>
    <col min="1" max="1" width="45.88671875" customWidth="1"/>
    <col min="2" max="2" width="16.109375" customWidth="1"/>
    <col min="3" max="3" width="19.88671875" customWidth="1"/>
    <col min="4" max="4" width="18.33203125" customWidth="1"/>
    <col min="5" max="5" width="64.5546875" customWidth="1"/>
    <col min="6" max="9" width="9.109375" bestFit="1" customWidth="1"/>
    <col min="10" max="10" width="25.109375" customWidth="1"/>
    <col min="11" max="11" width="11.6640625" customWidth="1"/>
  </cols>
  <sheetData>
    <row r="1" spans="1:11" ht="23.25" customHeight="1" x14ac:dyDescent="0.3">
      <c r="A1" s="281" t="s">
        <v>369</v>
      </c>
      <c r="B1" s="296" t="s">
        <v>370</v>
      </c>
      <c r="C1" s="298" t="s">
        <v>371</v>
      </c>
      <c r="D1" s="278" t="s">
        <v>372</v>
      </c>
    </row>
    <row r="2" spans="1:11" ht="72" customHeight="1" x14ac:dyDescent="0.3">
      <c r="A2" s="383" t="s">
        <v>373</v>
      </c>
      <c r="B2" s="260">
        <v>95473</v>
      </c>
      <c r="C2" s="384" t="s">
        <v>374</v>
      </c>
      <c r="D2" s="290" t="s">
        <v>375</v>
      </c>
      <c r="E2" s="379"/>
    </row>
    <row r="3" spans="1:11" ht="72" customHeight="1" x14ac:dyDescent="0.3">
      <c r="A3" s="378" t="s">
        <v>376</v>
      </c>
      <c r="B3" s="341">
        <v>94241</v>
      </c>
      <c r="C3" s="340" t="s">
        <v>377</v>
      </c>
      <c r="D3" s="290" t="s">
        <v>378</v>
      </c>
      <c r="E3" s="379" t="s">
        <v>379</v>
      </c>
    </row>
    <row r="4" spans="1:11" ht="72" customHeight="1" x14ac:dyDescent="0.3">
      <c r="A4" s="270" t="s">
        <v>380</v>
      </c>
      <c r="B4" s="341">
        <v>94322</v>
      </c>
      <c r="C4" s="340" t="s">
        <v>381</v>
      </c>
      <c r="D4" s="290" t="s">
        <v>382</v>
      </c>
      <c r="E4" s="379" t="s">
        <v>383</v>
      </c>
    </row>
    <row r="5" spans="1:11" ht="72" customHeight="1" x14ac:dyDescent="0.3">
      <c r="A5" s="270" t="s">
        <v>384</v>
      </c>
      <c r="B5" s="317">
        <v>95893</v>
      </c>
      <c r="C5" s="318" t="s">
        <v>385</v>
      </c>
      <c r="D5" s="290" t="s">
        <v>386</v>
      </c>
      <c r="E5" s="269"/>
    </row>
    <row r="6" spans="1:11" ht="72" customHeight="1" x14ac:dyDescent="0.3">
      <c r="A6" s="270" t="s">
        <v>387</v>
      </c>
      <c r="B6" s="341">
        <v>96012</v>
      </c>
      <c r="C6" s="340" t="s">
        <v>388</v>
      </c>
      <c r="D6" s="290" t="s">
        <v>389</v>
      </c>
      <c r="E6" s="269"/>
    </row>
    <row r="7" spans="1:11" ht="72" customHeight="1" x14ac:dyDescent="0.3">
      <c r="A7" s="270" t="s">
        <v>390</v>
      </c>
      <c r="B7" s="280">
        <v>95831</v>
      </c>
      <c r="C7" s="311" t="s">
        <v>391</v>
      </c>
      <c r="D7" s="314" t="s">
        <v>392</v>
      </c>
      <c r="E7" s="269"/>
    </row>
    <row r="8" spans="1:11" ht="72" customHeight="1" x14ac:dyDescent="0.3">
      <c r="A8" s="270" t="s">
        <v>393</v>
      </c>
      <c r="B8" s="280">
        <v>94927</v>
      </c>
      <c r="C8" s="311" t="s">
        <v>394</v>
      </c>
      <c r="D8" s="290" t="s">
        <v>395</v>
      </c>
      <c r="E8" s="269"/>
    </row>
    <row r="9" spans="1:11" ht="72" customHeight="1" x14ac:dyDescent="0.3">
      <c r="A9" s="270" t="s">
        <v>396</v>
      </c>
      <c r="B9" s="280">
        <v>95059</v>
      </c>
      <c r="C9" s="288" t="s">
        <v>397</v>
      </c>
      <c r="D9" s="290" t="s">
        <v>398</v>
      </c>
      <c r="E9" s="269" t="s">
        <v>399</v>
      </c>
    </row>
    <row r="10" spans="1:11" ht="72" customHeight="1" x14ac:dyDescent="0.3">
      <c r="A10" s="245" t="s">
        <v>400</v>
      </c>
      <c r="B10" s="271">
        <v>95219</v>
      </c>
      <c r="C10" s="283" t="s">
        <v>401</v>
      </c>
      <c r="D10" s="285" t="s">
        <v>402</v>
      </c>
      <c r="E10" s="269" t="s">
        <v>403</v>
      </c>
    </row>
    <row r="11" spans="1:11" ht="72" customHeight="1" x14ac:dyDescent="0.3">
      <c r="A11" s="270" t="s">
        <v>404</v>
      </c>
      <c r="B11" s="257">
        <v>104371</v>
      </c>
      <c r="C11" s="284" t="s">
        <v>405</v>
      </c>
      <c r="D11" s="286" t="s">
        <v>406</v>
      </c>
      <c r="E11" s="269"/>
    </row>
    <row r="12" spans="1:11" ht="15" customHeight="1" x14ac:dyDescent="0.3">
      <c r="A12" s="270" t="s">
        <v>407</v>
      </c>
      <c r="B12" s="272" t="s">
        <v>408</v>
      </c>
      <c r="C12" s="282" t="s">
        <v>409</v>
      </c>
      <c r="D12" s="244" t="s">
        <v>410</v>
      </c>
    </row>
    <row r="13" spans="1:11" ht="15" customHeight="1" x14ac:dyDescent="0.3">
      <c r="A13" s="245" t="s">
        <v>411</v>
      </c>
      <c r="B13" s="246">
        <v>174</v>
      </c>
      <c r="C13" s="247" t="s">
        <v>412</v>
      </c>
      <c r="D13" s="246">
        <v>0</v>
      </c>
    </row>
    <row r="14" spans="1:11" ht="15" customHeight="1" x14ac:dyDescent="0.3">
      <c r="A14" s="248" t="s">
        <v>411</v>
      </c>
      <c r="B14" s="246">
        <v>174</v>
      </c>
      <c r="C14" s="249" t="s">
        <v>412</v>
      </c>
      <c r="D14" s="250">
        <v>0</v>
      </c>
    </row>
    <row r="15" spans="1:11" ht="15" customHeight="1" x14ac:dyDescent="0.3">
      <c r="A15" s="251" t="s">
        <v>413</v>
      </c>
      <c r="B15" s="252">
        <v>80</v>
      </c>
      <c r="C15" s="253" t="s">
        <v>414</v>
      </c>
      <c r="D15" s="254">
        <v>1</v>
      </c>
      <c r="J15" s="255" t="s">
        <v>415</v>
      </c>
      <c r="K15" s="256">
        <v>0.37</v>
      </c>
    </row>
    <row r="16" spans="1:11" ht="15" customHeight="1" x14ac:dyDescent="0.3">
      <c r="A16" s="251" t="s">
        <v>416</v>
      </c>
      <c r="B16" s="257">
        <v>4954</v>
      </c>
      <c r="C16" s="253" t="s">
        <v>417</v>
      </c>
      <c r="D16" s="258" t="s">
        <v>418</v>
      </c>
    </row>
    <row r="17" spans="1:11" ht="15" customHeight="1" x14ac:dyDescent="0.3">
      <c r="A17" s="251" t="s">
        <v>419</v>
      </c>
      <c r="B17" s="257">
        <v>2185</v>
      </c>
      <c r="C17" s="253" t="s">
        <v>420</v>
      </c>
      <c r="D17" s="259" t="s">
        <v>421</v>
      </c>
      <c r="J17" s="255" t="s">
        <v>422</v>
      </c>
      <c r="K17" s="256">
        <v>0.02</v>
      </c>
    </row>
    <row r="18" spans="1:11" ht="15" customHeight="1" x14ac:dyDescent="0.3">
      <c r="A18" s="245" t="s">
        <v>423</v>
      </c>
      <c r="B18" s="260">
        <v>96846</v>
      </c>
      <c r="C18" s="261" t="s">
        <v>424</v>
      </c>
      <c r="D18" s="289" t="s">
        <v>425</v>
      </c>
    </row>
    <row r="19" spans="1:11" ht="15" customHeight="1" x14ac:dyDescent="0.3">
      <c r="A19" s="262"/>
      <c r="B19" s="263"/>
    </row>
    <row r="20" spans="1:11" ht="15" customHeight="1" x14ac:dyDescent="0.3">
      <c r="A20" s="262"/>
      <c r="B20" s="263"/>
      <c r="C20" s="263"/>
      <c r="D20" s="263"/>
    </row>
    <row r="21" spans="1:11" ht="15" customHeight="1" x14ac:dyDescent="0.3">
      <c r="A21" s="262"/>
      <c r="B21" s="263"/>
      <c r="C21" s="263"/>
      <c r="D21" s="263"/>
    </row>
    <row r="22" spans="1:11" ht="15" customHeight="1" x14ac:dyDescent="0.3">
      <c r="A22" s="262"/>
      <c r="B22" s="263"/>
      <c r="C22" s="263"/>
      <c r="D22" s="263"/>
    </row>
    <row r="23" spans="1:11" ht="15" customHeight="1" x14ac:dyDescent="0.3">
      <c r="A23" s="262"/>
      <c r="B23" s="264"/>
      <c r="C23" s="263"/>
      <c r="D23" s="263"/>
    </row>
  </sheetData>
  <hyperlinks>
    <hyperlink ref="E4" r:id="rId1" xr:uid="{D8C58A6F-2085-4A0B-80FD-48C0F3AB9264}"/>
    <hyperlink ref="E3" r:id="rId2" xr:uid="{4DAFCC56-7E8F-4CAA-A968-07EE21C05B0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RowHeight="14.4" x14ac:dyDescent="0.3"/>
  <cols>
    <col min="1" max="1" width="35" customWidth="1"/>
    <col min="2" max="2" width="37.109375" customWidth="1"/>
    <col min="3" max="3" width="22" customWidth="1"/>
    <col min="4" max="5" width="9.109375" bestFit="1" customWidth="1"/>
    <col min="6" max="6" width="29.33203125" customWidth="1"/>
  </cols>
  <sheetData>
    <row r="1" spans="1:3" x14ac:dyDescent="0.3">
      <c r="A1" s="428" t="s">
        <v>426</v>
      </c>
      <c r="B1" s="429"/>
      <c r="C1" s="429"/>
    </row>
    <row r="2" spans="1:3" x14ac:dyDescent="0.3">
      <c r="A2" s="292" t="s">
        <v>427</v>
      </c>
      <c r="B2" s="278" t="s">
        <v>428</v>
      </c>
      <c r="C2" s="278" t="s">
        <v>429</v>
      </c>
    </row>
    <row r="3" spans="1:3" x14ac:dyDescent="0.3">
      <c r="A3" t="s">
        <v>430</v>
      </c>
      <c r="B3" s="380">
        <v>18052</v>
      </c>
      <c r="C3">
        <v>164</v>
      </c>
    </row>
    <row r="4" spans="1:3" x14ac:dyDescent="0.3">
      <c r="A4" t="s">
        <v>318</v>
      </c>
      <c r="B4" s="273">
        <v>8322</v>
      </c>
      <c r="C4">
        <v>66</v>
      </c>
    </row>
    <row r="5" spans="1:3" x14ac:dyDescent="0.3">
      <c r="A5" t="s">
        <v>431</v>
      </c>
      <c r="B5" s="273">
        <v>7065</v>
      </c>
      <c r="C5">
        <v>86</v>
      </c>
    </row>
    <row r="6" spans="1:3" x14ac:dyDescent="0.3">
      <c r="A6" t="s">
        <v>432</v>
      </c>
      <c r="B6" s="273">
        <v>4084.5</v>
      </c>
      <c r="C6">
        <v>54</v>
      </c>
    </row>
    <row r="7" spans="1:3" x14ac:dyDescent="0.3">
      <c r="A7" t="s">
        <v>433</v>
      </c>
      <c r="B7" s="273">
        <v>3441</v>
      </c>
      <c r="C7">
        <v>38</v>
      </c>
    </row>
    <row r="8" spans="1:3" x14ac:dyDescent="0.3">
      <c r="A8" t="s">
        <v>434</v>
      </c>
      <c r="B8" s="273">
        <v>2892</v>
      </c>
      <c r="C8">
        <v>44</v>
      </c>
    </row>
    <row r="9" spans="1:3" x14ac:dyDescent="0.3">
      <c r="A9" t="s">
        <v>435</v>
      </c>
      <c r="B9" s="273">
        <v>2521</v>
      </c>
      <c r="C9">
        <v>29</v>
      </c>
    </row>
    <row r="10" spans="1:3" x14ac:dyDescent="0.3">
      <c r="A10" t="s">
        <v>436</v>
      </c>
      <c r="B10" s="273">
        <v>2454</v>
      </c>
      <c r="C10">
        <v>52</v>
      </c>
    </row>
    <row r="11" spans="1:3" x14ac:dyDescent="0.3">
      <c r="B11" s="273"/>
    </row>
    <row r="12" spans="1:3" x14ac:dyDescent="0.3">
      <c r="A12" s="428" t="s">
        <v>437</v>
      </c>
      <c r="B12" s="429"/>
      <c r="C12" s="429"/>
    </row>
    <row r="13" spans="1:3" x14ac:dyDescent="0.3">
      <c r="A13" s="292" t="s">
        <v>438</v>
      </c>
      <c r="B13" s="278" t="s">
        <v>439</v>
      </c>
      <c r="C13" s="278" t="s">
        <v>429</v>
      </c>
    </row>
    <row r="14" spans="1:3" x14ac:dyDescent="0.3">
      <c r="A14" t="s">
        <v>432</v>
      </c>
      <c r="B14" s="273">
        <v>17681</v>
      </c>
      <c r="C14">
        <v>161</v>
      </c>
    </row>
    <row r="15" spans="1:3" x14ac:dyDescent="0.3">
      <c r="A15" t="s">
        <v>430</v>
      </c>
      <c r="B15" s="273">
        <v>7995</v>
      </c>
      <c r="C15">
        <v>64</v>
      </c>
    </row>
    <row r="16" spans="1:3" x14ac:dyDescent="0.3">
      <c r="A16" t="s">
        <v>431</v>
      </c>
      <c r="B16" s="273">
        <v>5293</v>
      </c>
      <c r="C16">
        <v>64</v>
      </c>
    </row>
    <row r="17" spans="1:6" x14ac:dyDescent="0.3">
      <c r="A17" t="s">
        <v>440</v>
      </c>
      <c r="B17" s="273">
        <v>4084</v>
      </c>
      <c r="C17">
        <v>54</v>
      </c>
    </row>
    <row r="18" spans="1:6" x14ac:dyDescent="0.3">
      <c r="A18" t="s">
        <v>436</v>
      </c>
      <c r="B18" s="273">
        <v>2684</v>
      </c>
      <c r="C18">
        <v>31</v>
      </c>
    </row>
    <row r="19" spans="1:6" x14ac:dyDescent="0.3">
      <c r="A19" t="s">
        <v>434</v>
      </c>
      <c r="B19" s="273">
        <v>2343</v>
      </c>
      <c r="C19">
        <v>26</v>
      </c>
    </row>
    <row r="20" spans="1:6" x14ac:dyDescent="0.3">
      <c r="A20" t="s">
        <v>441</v>
      </c>
      <c r="B20" s="273">
        <v>2341</v>
      </c>
      <c r="C20">
        <v>38</v>
      </c>
    </row>
    <row r="21" spans="1:6" x14ac:dyDescent="0.3">
      <c r="A21" t="s">
        <v>442</v>
      </c>
      <c r="B21" s="273">
        <v>2308</v>
      </c>
      <c r="C21">
        <v>49</v>
      </c>
    </row>
    <row r="22" spans="1:6" x14ac:dyDescent="0.3">
      <c r="A22" t="s">
        <v>443</v>
      </c>
      <c r="B22" s="273">
        <v>2030</v>
      </c>
      <c r="C22">
        <v>26</v>
      </c>
    </row>
    <row r="23" spans="1:6" x14ac:dyDescent="0.3">
      <c r="A23" t="s">
        <v>433</v>
      </c>
      <c r="B23" s="291">
        <v>2004</v>
      </c>
      <c r="C23">
        <v>26</v>
      </c>
    </row>
    <row r="27" spans="1:6" x14ac:dyDescent="0.3">
      <c r="A27" s="428" t="s">
        <v>437</v>
      </c>
      <c r="B27" s="429"/>
      <c r="C27" s="429"/>
    </row>
    <row r="28" spans="1:6" x14ac:dyDescent="0.3">
      <c r="A28" s="292" t="s">
        <v>444</v>
      </c>
      <c r="B28" s="278" t="s">
        <v>445</v>
      </c>
      <c r="C28" s="278" t="s">
        <v>429</v>
      </c>
      <c r="F28" s="265"/>
    </row>
    <row r="29" spans="1:6" x14ac:dyDescent="0.3">
      <c r="A29" t="s">
        <v>430</v>
      </c>
      <c r="B29" s="291">
        <v>27675</v>
      </c>
      <c r="C29">
        <v>215</v>
      </c>
    </row>
    <row r="30" spans="1:6" x14ac:dyDescent="0.3">
      <c r="A30" t="s">
        <v>431</v>
      </c>
      <c r="B30" s="291">
        <v>9650</v>
      </c>
      <c r="C30">
        <v>116</v>
      </c>
    </row>
    <row r="31" spans="1:6" x14ac:dyDescent="0.3">
      <c r="A31" t="s">
        <v>436</v>
      </c>
      <c r="B31" s="291">
        <v>8677</v>
      </c>
      <c r="C31">
        <v>104</v>
      </c>
    </row>
    <row r="32" spans="1:6" x14ac:dyDescent="0.3">
      <c r="A32" t="s">
        <v>432</v>
      </c>
      <c r="B32" s="291">
        <v>9110</v>
      </c>
      <c r="C32">
        <v>84</v>
      </c>
    </row>
    <row r="33" spans="1:6" x14ac:dyDescent="0.3">
      <c r="A33" t="s">
        <v>434</v>
      </c>
      <c r="B33" s="273">
        <v>5110</v>
      </c>
      <c r="C33">
        <v>80</v>
      </c>
    </row>
    <row r="34" spans="1:6" x14ac:dyDescent="0.3">
      <c r="A34" t="s">
        <v>440</v>
      </c>
      <c r="B34" s="291">
        <v>5435</v>
      </c>
      <c r="C34">
        <v>73</v>
      </c>
    </row>
    <row r="35" spans="1:6" x14ac:dyDescent="0.3">
      <c r="A35" t="s">
        <v>443</v>
      </c>
      <c r="B35" s="291">
        <v>5145</v>
      </c>
      <c r="C35">
        <v>61</v>
      </c>
    </row>
    <row r="36" spans="1:6" x14ac:dyDescent="0.3">
      <c r="A36" t="s">
        <v>446</v>
      </c>
      <c r="B36" s="291">
        <v>4200</v>
      </c>
      <c r="C36">
        <v>56</v>
      </c>
    </row>
    <row r="37" spans="1:6" x14ac:dyDescent="0.3">
      <c r="A37" t="s">
        <v>447</v>
      </c>
      <c r="B37" s="291">
        <v>2970</v>
      </c>
      <c r="C37">
        <v>55</v>
      </c>
    </row>
    <row r="43" spans="1:6" x14ac:dyDescent="0.3">
      <c r="A43" s="428" t="s">
        <v>448</v>
      </c>
      <c r="B43" s="429"/>
      <c r="C43" s="429"/>
    </row>
    <row r="44" spans="1:6" ht="15" customHeight="1" x14ac:dyDescent="0.3">
      <c r="A44" s="292" t="s">
        <v>449</v>
      </c>
      <c r="B44" s="278" t="s">
        <v>450</v>
      </c>
      <c r="C44" s="278" t="s">
        <v>429</v>
      </c>
      <c r="F44" s="265"/>
    </row>
    <row r="45" spans="1:6" ht="15" customHeight="1" x14ac:dyDescent="0.3">
      <c r="A45" s="267" t="s">
        <v>431</v>
      </c>
      <c r="B45" s="291">
        <v>19205</v>
      </c>
      <c r="C45">
        <v>234</v>
      </c>
    </row>
    <row r="46" spans="1:6" ht="15" customHeight="1" x14ac:dyDescent="0.3">
      <c r="A46" s="267" t="s">
        <v>430</v>
      </c>
      <c r="B46" s="291">
        <v>16175</v>
      </c>
      <c r="C46">
        <v>130</v>
      </c>
    </row>
    <row r="47" spans="1:6" ht="15" customHeight="1" x14ac:dyDescent="0.3">
      <c r="A47" s="268" t="s">
        <v>432</v>
      </c>
      <c r="B47" s="291">
        <v>14107</v>
      </c>
      <c r="C47">
        <v>139</v>
      </c>
    </row>
    <row r="48" spans="1:6" ht="17.25" customHeight="1" x14ac:dyDescent="0.3">
      <c r="A48" t="s">
        <v>433</v>
      </c>
      <c r="B48" s="291">
        <v>12729</v>
      </c>
      <c r="C48">
        <v>186</v>
      </c>
    </row>
    <row r="49" spans="1:3" ht="17.25" customHeight="1" x14ac:dyDescent="0.3">
      <c r="A49" t="s">
        <v>451</v>
      </c>
      <c r="B49" s="291">
        <v>11391</v>
      </c>
      <c r="C49">
        <v>149</v>
      </c>
    </row>
    <row r="50" spans="1:3" ht="17.25" customHeight="1" x14ac:dyDescent="0.3">
      <c r="A50" t="s">
        <v>452</v>
      </c>
      <c r="B50" s="291">
        <v>11075</v>
      </c>
      <c r="C50">
        <v>168</v>
      </c>
    </row>
    <row r="51" spans="1:3" ht="19.5" customHeight="1" x14ac:dyDescent="0.3">
      <c r="A51" t="s">
        <v>435</v>
      </c>
      <c r="B51" s="291">
        <v>10715</v>
      </c>
      <c r="C51">
        <v>155</v>
      </c>
    </row>
    <row r="52" spans="1:3" x14ac:dyDescent="0.3">
      <c r="A52" t="s">
        <v>436</v>
      </c>
      <c r="B52" s="291">
        <v>9126</v>
      </c>
      <c r="C52">
        <v>129</v>
      </c>
    </row>
    <row r="53" spans="1:3" x14ac:dyDescent="0.3">
      <c r="A53" t="s">
        <v>318</v>
      </c>
      <c r="B53" s="291">
        <v>6150</v>
      </c>
      <c r="C53">
        <v>91</v>
      </c>
    </row>
    <row r="54" spans="1:3" x14ac:dyDescent="0.3">
      <c r="A54" t="s">
        <v>100</v>
      </c>
      <c r="B54" s="291">
        <v>6140</v>
      </c>
      <c r="C54">
        <v>60</v>
      </c>
    </row>
    <row r="56" spans="1:3" x14ac:dyDescent="0.3">
      <c r="A56" s="426" t="s">
        <v>453</v>
      </c>
      <c r="B56" s="427"/>
      <c r="C56" s="301"/>
    </row>
    <row r="57" spans="1:3" x14ac:dyDescent="0.3">
      <c r="A57" s="302" t="s">
        <v>454</v>
      </c>
      <c r="B57" s="303" t="s">
        <v>455</v>
      </c>
      <c r="C57" s="301"/>
    </row>
    <row r="58" spans="1:3" x14ac:dyDescent="0.3">
      <c r="A58" s="301" t="s">
        <v>456</v>
      </c>
      <c r="B58" s="304"/>
      <c r="C58" s="301"/>
    </row>
    <row r="59" spans="1:3" x14ac:dyDescent="0.3">
      <c r="A59" s="301" t="s">
        <v>457</v>
      </c>
      <c r="B59" s="304"/>
      <c r="C59" s="301"/>
    </row>
    <row r="60" spans="1:3" x14ac:dyDescent="0.3">
      <c r="A60" s="301" t="s">
        <v>458</v>
      </c>
      <c r="B60" s="304"/>
      <c r="C60" s="301"/>
    </row>
    <row r="61" spans="1:3" x14ac:dyDescent="0.3">
      <c r="A61" s="301" t="s">
        <v>459</v>
      </c>
      <c r="B61" s="301"/>
      <c r="C61" s="301"/>
    </row>
    <row r="62" spans="1:3" x14ac:dyDescent="0.3">
      <c r="A62" s="301" t="s">
        <v>460</v>
      </c>
      <c r="B62" s="301"/>
      <c r="C62" s="301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Performances by Week</vt:lpstr>
      <vt:lpstr>PS1 Journey</vt:lpstr>
      <vt:lpstr>CS1 Appalachian</vt:lpstr>
      <vt:lpstr>Subscriptions</vt:lpstr>
      <vt:lpstr>Channels (Draft)</vt:lpstr>
      <vt:lpstr>Grassroots Flyer Locations</vt:lpstr>
      <vt:lpstr>Summary (Draft)</vt:lpstr>
      <vt:lpstr>Sales Pacing</vt:lpstr>
      <vt:lpstr>Social Reporting</vt:lpstr>
      <vt:lpstr>Email Reporting</vt:lpstr>
      <vt:lpstr>Website 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Rupal Gor</cp:lastModifiedBy>
  <cp:revision/>
  <dcterms:created xsi:type="dcterms:W3CDTF">2025-06-06T18:30:38Z</dcterms:created>
  <dcterms:modified xsi:type="dcterms:W3CDTF">2025-09-03T18:21:40Z</dcterms:modified>
  <cp:category/>
  <cp:contentStatus/>
</cp:coreProperties>
</file>