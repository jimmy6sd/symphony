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updateLinks="always"/>
  <mc:AlternateContent xmlns:mc="http://schemas.openxmlformats.org/markup-compatibility/2006">
    <mc:Choice Requires="x15">
      <x15ac:absPath xmlns:x15ac="http://schemas.microsoft.com/office/spreadsheetml/2010/11/ac" url="https://kcsymphony-my.sharepoint.com/personal/jlai_kcsymphony_org/Documents/Performance Reporting/"/>
    </mc:Choice>
  </mc:AlternateContent>
  <xr:revisionPtr revIDLastSave="0" documentId="8_{0C46900E-DA1C-4B3C-B736-BB21EBCF3A24}" xr6:coauthVersionLast="47" xr6:coauthVersionMax="47" xr10:uidLastSave="{00000000-0000-0000-0000-000000000000}"/>
  <bookViews>
    <workbookView xWindow="-120" yWindow="-120" windowWidth="29040" windowHeight="15720" xr2:uid="{6F13B11E-A781-40B0-8A47-BC27C9B0E25C}"/>
  </bookViews>
  <sheets>
    <sheet name="Performances by Week" sheetId="1" r:id="rId1"/>
    <sheet name="PS1 Journey" sheetId="12" r:id="rId2"/>
    <sheet name="CS1 Appalachian" sheetId="13" r:id="rId3"/>
    <sheet name="PS2 90s Mixtape" sheetId="14" r:id="rId4"/>
    <sheet name="MFSB" sheetId="15" state="hidden" r:id="rId5"/>
    <sheet name="CS2 Rachmaninoff" sheetId="16" r:id="rId6"/>
    <sheet name="CS3 Mahler" sheetId="17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</sheets>
  <externalReferences>
    <externalReference r:id="rId21"/>
  </externalReferences>
  <definedNames>
    <definedName name="_xlnm._FilterDatabase" localSheetId="0" hidden="1">'Performances by Week'!$A$5:$AW$127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" l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7" i="1"/>
  <c r="AG6" i="1"/>
  <c r="C9" i="19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E9" i="13"/>
  <c r="F9" i="13"/>
  <c r="H9" i="13"/>
  <c r="G9" i="13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1" i="18"/>
  <c r="K11" i="18"/>
  <c r="J11" i="18"/>
  <c r="I11" i="18"/>
  <c r="H11" i="18"/>
  <c r="G11" i="18"/>
  <c r="F11" i="18"/>
  <c r="E11" i="18"/>
  <c r="D11" i="18"/>
  <c r="C11" i="18"/>
  <c r="B11" i="18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3" i="20"/>
  <c r="K13" i="20"/>
  <c r="J13" i="20"/>
  <c r="I13" i="20"/>
  <c r="H13" i="20"/>
  <c r="G13" i="20"/>
  <c r="F13" i="20"/>
  <c r="E13" i="20"/>
  <c r="D13" i="20"/>
  <c r="C13" i="20"/>
  <c r="M10" i="20"/>
  <c r="L11" i="19"/>
  <c r="K11" i="19"/>
  <c r="J11" i="19"/>
  <c r="I11" i="19"/>
  <c r="H11" i="19"/>
  <c r="G11" i="19"/>
  <c r="F11" i="19"/>
  <c r="E11" i="19"/>
  <c r="D11" i="19"/>
  <c r="C11" i="19"/>
  <c r="B11" i="19"/>
  <c r="B10" i="19"/>
  <c r="B12" i="19" s="1"/>
  <c r="M6" i="19"/>
  <c r="M5" i="19"/>
  <c r="M4" i="19"/>
  <c r="L10" i="19"/>
  <c r="K10" i="19"/>
  <c r="J10" i="19"/>
  <c r="I10" i="19"/>
  <c r="H10" i="19"/>
  <c r="G10" i="19"/>
  <c r="F10" i="19"/>
  <c r="E10" i="19"/>
  <c r="D10" i="19"/>
  <c r="C10" i="19"/>
  <c r="C12" i="19" s="1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L8" i="17"/>
  <c r="K8" i="17"/>
  <c r="J8" i="17"/>
  <c r="I8" i="17"/>
  <c r="H8" i="17"/>
  <c r="G8" i="17"/>
  <c r="F8" i="17"/>
  <c r="M7" i="17"/>
  <c r="J8" i="13"/>
  <c r="I8" i="13"/>
  <c r="H8" i="13"/>
  <c r="G8" i="13"/>
  <c r="L8" i="16"/>
  <c r="K8" i="16"/>
  <c r="J8" i="16"/>
  <c r="I8" i="16"/>
  <c r="L8" i="14"/>
  <c r="K8" i="14"/>
  <c r="J8" i="14"/>
  <c r="I8" i="14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H8" i="16" s="1"/>
  <c r="G7" i="16"/>
  <c r="G8" i="16" s="1"/>
  <c r="F7" i="16"/>
  <c r="F8" i="16" s="1"/>
  <c r="E7" i="16"/>
  <c r="E8" i="16" s="1"/>
  <c r="D7" i="16"/>
  <c r="D8" i="16" s="1"/>
  <c r="E5" i="15"/>
  <c r="D5" i="15"/>
  <c r="C5" i="15"/>
  <c r="B5" i="15"/>
  <c r="G4" i="15"/>
  <c r="G3" i="15"/>
  <c r="I7" i="13"/>
  <c r="H7" i="13"/>
  <c r="G7" i="13"/>
  <c r="F7" i="13"/>
  <c r="F8" i="13" s="1"/>
  <c r="E7" i="13"/>
  <c r="E8" i="13" s="1"/>
  <c r="D7" i="13"/>
  <c r="D8" i="13" s="1"/>
  <c r="C7" i="13"/>
  <c r="C8" i="13" s="1"/>
  <c r="B7" i="13"/>
  <c r="B8" i="13" s="1"/>
  <c r="J7" i="13"/>
  <c r="E7" i="14"/>
  <c r="E8" i="14" s="1"/>
  <c r="D7" i="14"/>
  <c r="D8" i="14" s="1"/>
  <c r="C7" i="14"/>
  <c r="C8" i="14" s="1"/>
  <c r="B7" i="14"/>
  <c r="B8" i="14" s="1"/>
  <c r="K7" i="14"/>
  <c r="J7" i="14"/>
  <c r="I7" i="14"/>
  <c r="H7" i="14"/>
  <c r="H8" i="14" s="1"/>
  <c r="G7" i="14"/>
  <c r="G8" i="14" s="1"/>
  <c r="F7" i="14"/>
  <c r="F8" i="14" s="1"/>
  <c r="L7" i="14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W106" i="1"/>
  <c r="K43" i="2"/>
  <c r="K44" i="2"/>
  <c r="D43" i="2"/>
  <c r="G43" i="2"/>
  <c r="J43" i="2"/>
  <c r="J44" i="2"/>
  <c r="K21" i="2"/>
  <c r="K22" i="2"/>
  <c r="D21" i="2"/>
  <c r="L104" i="1"/>
  <c r="AL104" i="1"/>
  <c r="AL8" i="1"/>
  <c r="L10" i="1"/>
  <c r="AL10" i="1"/>
  <c r="L11" i="1"/>
  <c r="AL11" i="1"/>
  <c r="L12" i="1"/>
  <c r="AL12" i="1"/>
  <c r="L13" i="1"/>
  <c r="AL13" i="1"/>
  <c r="L15" i="1"/>
  <c r="N15" i="1" s="1"/>
  <c r="AL15" i="1"/>
  <c r="L16" i="1"/>
  <c r="N16" i="1" s="1"/>
  <c r="AL16" i="1"/>
  <c r="L17" i="1"/>
  <c r="N17" i="1" s="1"/>
  <c r="AL17" i="1"/>
  <c r="L18" i="1"/>
  <c r="AL18" i="1"/>
  <c r="L19" i="1"/>
  <c r="AL19" i="1"/>
  <c r="L20" i="1"/>
  <c r="AL20" i="1"/>
  <c r="L21" i="1"/>
  <c r="AL21" i="1"/>
  <c r="L22" i="1"/>
  <c r="AL22" i="1"/>
  <c r="L23" i="1"/>
  <c r="AL23" i="1"/>
  <c r="L24" i="1"/>
  <c r="AL24" i="1"/>
  <c r="L25" i="1"/>
  <c r="N25" i="1" s="1"/>
  <c r="AL25" i="1"/>
  <c r="L26" i="1"/>
  <c r="AL26" i="1"/>
  <c r="L27" i="1"/>
  <c r="AL27" i="1"/>
  <c r="L28" i="1"/>
  <c r="AL28" i="1"/>
  <c r="L29" i="1"/>
  <c r="AL29" i="1"/>
  <c r="L31" i="1"/>
  <c r="AL31" i="1"/>
  <c r="L32" i="1"/>
  <c r="AL32" i="1"/>
  <c r="L33" i="1"/>
  <c r="AL33" i="1"/>
  <c r="L34" i="1"/>
  <c r="AL34" i="1"/>
  <c r="L35" i="1"/>
  <c r="AL35" i="1"/>
  <c r="L36" i="1"/>
  <c r="AL36" i="1"/>
  <c r="L37" i="1"/>
  <c r="AL37" i="1"/>
  <c r="L38" i="1"/>
  <c r="AL38" i="1"/>
  <c r="L39" i="1"/>
  <c r="AL39" i="1"/>
  <c r="L40" i="1"/>
  <c r="AL40" i="1"/>
  <c r="L41" i="1"/>
  <c r="AL41" i="1"/>
  <c r="L42" i="1"/>
  <c r="AL42" i="1"/>
  <c r="L43" i="1"/>
  <c r="AL43" i="1"/>
  <c r="L44" i="1"/>
  <c r="AL44" i="1"/>
  <c r="L45" i="1"/>
  <c r="AL45" i="1"/>
  <c r="L46" i="1"/>
  <c r="AL46" i="1"/>
  <c r="L47" i="1"/>
  <c r="AL47" i="1"/>
  <c r="L48" i="1"/>
  <c r="AL48" i="1"/>
  <c r="L49" i="1"/>
  <c r="AL49" i="1"/>
  <c r="L50" i="1"/>
  <c r="AL50" i="1"/>
  <c r="L52" i="1"/>
  <c r="AL52" i="1"/>
  <c r="L53" i="1"/>
  <c r="AL53" i="1"/>
  <c r="L54" i="1"/>
  <c r="AL54" i="1"/>
  <c r="L55" i="1"/>
  <c r="AL55" i="1"/>
  <c r="L56" i="1"/>
  <c r="AL56" i="1"/>
  <c r="L57" i="1"/>
  <c r="AL57" i="1"/>
  <c r="L58" i="1"/>
  <c r="AL58" i="1"/>
  <c r="L59" i="1"/>
  <c r="AL59" i="1"/>
  <c r="L60" i="1"/>
  <c r="AL60" i="1"/>
  <c r="L61" i="1"/>
  <c r="AL61" i="1"/>
  <c r="L62" i="1"/>
  <c r="AL62" i="1"/>
  <c r="L63" i="1"/>
  <c r="AL63" i="1"/>
  <c r="L64" i="1"/>
  <c r="AL64" i="1"/>
  <c r="L65" i="1"/>
  <c r="N65" i="1" s="1"/>
  <c r="AL65" i="1"/>
  <c r="L66" i="1"/>
  <c r="AL66" i="1"/>
  <c r="L67" i="1"/>
  <c r="AL67" i="1"/>
  <c r="L68" i="1"/>
  <c r="AL68" i="1"/>
  <c r="L69" i="1"/>
  <c r="AL69" i="1"/>
  <c r="L70" i="1"/>
  <c r="AL70" i="1"/>
  <c r="L71" i="1"/>
  <c r="AL71" i="1"/>
  <c r="L72" i="1"/>
  <c r="AL72" i="1"/>
  <c r="L73" i="1"/>
  <c r="AL73" i="1"/>
  <c r="L74" i="1"/>
  <c r="AL74" i="1"/>
  <c r="L75" i="1"/>
  <c r="AL75" i="1"/>
  <c r="L76" i="1"/>
  <c r="AL76" i="1"/>
  <c r="L77" i="1"/>
  <c r="AL77" i="1"/>
  <c r="L79" i="1"/>
  <c r="AL79" i="1"/>
  <c r="L80" i="1"/>
  <c r="AL80" i="1"/>
  <c r="L81" i="1"/>
  <c r="AL81" i="1"/>
  <c r="L83" i="1"/>
  <c r="AL83" i="1"/>
  <c r="L84" i="1"/>
  <c r="AL84" i="1"/>
  <c r="L85" i="1"/>
  <c r="AL85" i="1"/>
  <c r="L86" i="1"/>
  <c r="AL86" i="1"/>
  <c r="L87" i="1"/>
  <c r="AL87" i="1"/>
  <c r="L89" i="1"/>
  <c r="AL89" i="1"/>
  <c r="L90" i="1"/>
  <c r="AL90" i="1"/>
  <c r="L91" i="1"/>
  <c r="AL91" i="1"/>
  <c r="L92" i="1"/>
  <c r="AL92" i="1"/>
  <c r="L93" i="1"/>
  <c r="AL93" i="1"/>
  <c r="L94" i="1"/>
  <c r="AL94" i="1"/>
  <c r="L97" i="1"/>
  <c r="AL97" i="1"/>
  <c r="L98" i="1"/>
  <c r="AL98" i="1"/>
  <c r="L99" i="1"/>
  <c r="AL99" i="1"/>
  <c r="L100" i="1"/>
  <c r="AL100" i="1"/>
  <c r="L101" i="1"/>
  <c r="AL101" i="1"/>
  <c r="L102" i="1"/>
  <c r="AL102" i="1"/>
  <c r="L105" i="1"/>
  <c r="AL105" i="1"/>
  <c r="L106" i="1"/>
  <c r="N106" i="1" s="1"/>
  <c r="AL106" i="1"/>
  <c r="L107" i="1"/>
  <c r="AL107" i="1"/>
  <c r="L108" i="1"/>
  <c r="AL108" i="1"/>
  <c r="L109" i="1"/>
  <c r="AL109" i="1"/>
  <c r="L111" i="1"/>
  <c r="AL111" i="1"/>
  <c r="L112" i="1"/>
  <c r="AL112" i="1"/>
  <c r="L113" i="1"/>
  <c r="AL113" i="1"/>
  <c r="L115" i="1"/>
  <c r="AL115" i="1"/>
  <c r="L116" i="1"/>
  <c r="AL116" i="1"/>
  <c r="L117" i="1"/>
  <c r="AL117" i="1"/>
  <c r="K10" i="1"/>
  <c r="J10" i="1" s="1"/>
  <c r="B25" i="1"/>
  <c r="V25" i="1" s="1"/>
  <c r="W25" i="1"/>
  <c r="AE106" i="1"/>
  <c r="AE105" i="1"/>
  <c r="AE104" i="1"/>
  <c r="W104" i="1"/>
  <c r="AA104" i="1"/>
  <c r="W105" i="1"/>
  <c r="AA105" i="1"/>
  <c r="M105" i="1"/>
  <c r="M104" i="1"/>
  <c r="M84" i="1"/>
  <c r="M83" i="1"/>
  <c r="P105" i="1"/>
  <c r="P104" i="1"/>
  <c r="Z105" i="1"/>
  <c r="Z104" i="1"/>
  <c r="K105" i="1"/>
  <c r="J105" i="1" s="1"/>
  <c r="K104" i="1"/>
  <c r="J104" i="1" s="1"/>
  <c r="Z84" i="1"/>
  <c r="Z83" i="1"/>
  <c r="K84" i="1"/>
  <c r="J84" i="1" s="1"/>
  <c r="K83" i="1"/>
  <c r="J83" i="1" s="1"/>
  <c r="Z8" i="1"/>
  <c r="B83" i="1"/>
  <c r="V83" i="1" s="1"/>
  <c r="W83" i="1"/>
  <c r="AA83" i="1"/>
  <c r="B84" i="1"/>
  <c r="V84" i="1" s="1"/>
  <c r="W84" i="1"/>
  <c r="AA84" i="1"/>
  <c r="X126" i="1"/>
  <c r="G21" i="2"/>
  <c r="J21" i="2" s="1"/>
  <c r="J22" i="2" s="1"/>
  <c r="L43" i="2"/>
  <c r="I43" i="2"/>
  <c r="J42" i="2"/>
  <c r="L21" i="2"/>
  <c r="I21" i="2"/>
  <c r="AE10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7" i="1"/>
  <c r="Z6" i="1"/>
  <c r="D20" i="2"/>
  <c r="AE117" i="1"/>
  <c r="AE116" i="1"/>
  <c r="AE115" i="1"/>
  <c r="AE113" i="1"/>
  <c r="AE112" i="1"/>
  <c r="AE111" i="1"/>
  <c r="AE110" i="1"/>
  <c r="AE109" i="1"/>
  <c r="AE108" i="1"/>
  <c r="AE107" i="1"/>
  <c r="AE102" i="1"/>
  <c r="AE101" i="1"/>
  <c r="AE100" i="1"/>
  <c r="AE99" i="1"/>
  <c r="AE98" i="1"/>
  <c r="AE97" i="1"/>
  <c r="AE94" i="1"/>
  <c r="AE93" i="1"/>
  <c r="AE92" i="1"/>
  <c r="AE91" i="1"/>
  <c r="AE90" i="1"/>
  <c r="AE89" i="1"/>
  <c r="AE87" i="1"/>
  <c r="AE86" i="1"/>
  <c r="AE85" i="1"/>
  <c r="AE81" i="1"/>
  <c r="AE80" i="1"/>
  <c r="AE79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3" i="1"/>
  <c r="AE12" i="1"/>
  <c r="AE11" i="1"/>
  <c r="AE8" i="1"/>
  <c r="AE7" i="1"/>
  <c r="AE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K17" i="1"/>
  <c r="J17" i="1" s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W117" i="1"/>
  <c r="AA117" i="1"/>
  <c r="B116" i="1"/>
  <c r="V116" i="1" s="1"/>
  <c r="W116" i="1"/>
  <c r="AA116" i="1"/>
  <c r="B115" i="1"/>
  <c r="V115" i="1" s="1"/>
  <c r="W115" i="1"/>
  <c r="AA115" i="1"/>
  <c r="B114" i="1"/>
  <c r="V114" i="1" s="1"/>
  <c r="B113" i="1"/>
  <c r="V113" i="1" s="1"/>
  <c r="W113" i="1"/>
  <c r="AA113" i="1"/>
  <c r="B112" i="1"/>
  <c r="V112" i="1" s="1"/>
  <c r="W112" i="1"/>
  <c r="AA112" i="1"/>
  <c r="B111" i="1"/>
  <c r="V111" i="1" s="1"/>
  <c r="W111" i="1"/>
  <c r="AA111" i="1"/>
  <c r="B110" i="1"/>
  <c r="V110" i="1" s="1"/>
  <c r="W110" i="1"/>
  <c r="AA110" i="1"/>
  <c r="B109" i="1"/>
  <c r="V109" i="1" s="1"/>
  <c r="W109" i="1"/>
  <c r="AA109" i="1"/>
  <c r="B108" i="1"/>
  <c r="V108" i="1" s="1"/>
  <c r="W108" i="1"/>
  <c r="AA108" i="1"/>
  <c r="B107" i="1"/>
  <c r="V107" i="1" s="1"/>
  <c r="W107" i="1"/>
  <c r="AA107" i="1"/>
  <c r="AA106" i="1"/>
  <c r="B103" i="1"/>
  <c r="V103" i="1" s="1"/>
  <c r="B102" i="1"/>
  <c r="V102" i="1" s="1"/>
  <c r="W102" i="1"/>
  <c r="AA102" i="1"/>
  <c r="B101" i="1"/>
  <c r="V101" i="1" s="1"/>
  <c r="W101" i="1"/>
  <c r="AA101" i="1"/>
  <c r="B100" i="1"/>
  <c r="V100" i="1" s="1"/>
  <c r="W100" i="1"/>
  <c r="AA100" i="1"/>
  <c r="B99" i="1"/>
  <c r="V99" i="1" s="1"/>
  <c r="W99" i="1"/>
  <c r="AA99" i="1"/>
  <c r="B98" i="1"/>
  <c r="V98" i="1" s="1"/>
  <c r="W98" i="1"/>
  <c r="AA98" i="1"/>
  <c r="B97" i="1"/>
  <c r="V97" i="1" s="1"/>
  <c r="W97" i="1"/>
  <c r="AA97" i="1"/>
  <c r="B96" i="1"/>
  <c r="V96" i="1" s="1"/>
  <c r="B95" i="1"/>
  <c r="V95" i="1" s="1"/>
  <c r="B94" i="1"/>
  <c r="V94" i="1" s="1"/>
  <c r="W94" i="1"/>
  <c r="AA94" i="1"/>
  <c r="B93" i="1"/>
  <c r="V93" i="1" s="1"/>
  <c r="W93" i="1"/>
  <c r="AA93" i="1"/>
  <c r="B92" i="1"/>
  <c r="V92" i="1" s="1"/>
  <c r="W92" i="1"/>
  <c r="AA92" i="1"/>
  <c r="B91" i="1"/>
  <c r="V91" i="1" s="1"/>
  <c r="W91" i="1"/>
  <c r="AA91" i="1"/>
  <c r="B90" i="1"/>
  <c r="V90" i="1" s="1"/>
  <c r="W90" i="1"/>
  <c r="AA90" i="1"/>
  <c r="B89" i="1"/>
  <c r="V89" i="1" s="1"/>
  <c r="W89" i="1"/>
  <c r="AA89" i="1"/>
  <c r="B88" i="1"/>
  <c r="V88" i="1" s="1"/>
  <c r="B87" i="1"/>
  <c r="V87" i="1" s="1"/>
  <c r="W87" i="1"/>
  <c r="AA87" i="1"/>
  <c r="B86" i="1"/>
  <c r="V86" i="1" s="1"/>
  <c r="W86" i="1"/>
  <c r="AA86" i="1"/>
  <c r="B85" i="1"/>
  <c r="V85" i="1" s="1"/>
  <c r="W85" i="1"/>
  <c r="AA85" i="1"/>
  <c r="B82" i="1"/>
  <c r="V82" i="1" s="1"/>
  <c r="B81" i="1"/>
  <c r="V81" i="1" s="1"/>
  <c r="W81" i="1"/>
  <c r="AA81" i="1"/>
  <c r="B80" i="1"/>
  <c r="V80" i="1" s="1"/>
  <c r="W80" i="1"/>
  <c r="AA80" i="1"/>
  <c r="B79" i="1"/>
  <c r="V79" i="1" s="1"/>
  <c r="W79" i="1"/>
  <c r="AA79" i="1"/>
  <c r="B78" i="1"/>
  <c r="V78" i="1" s="1"/>
  <c r="B77" i="1"/>
  <c r="V77" i="1" s="1"/>
  <c r="W77" i="1"/>
  <c r="AA77" i="1"/>
  <c r="B76" i="1"/>
  <c r="V76" i="1" s="1"/>
  <c r="W76" i="1"/>
  <c r="AA76" i="1"/>
  <c r="B75" i="1"/>
  <c r="V75" i="1" s="1"/>
  <c r="W75" i="1"/>
  <c r="AA75" i="1"/>
  <c r="B74" i="1"/>
  <c r="V74" i="1" s="1"/>
  <c r="W74" i="1"/>
  <c r="AA74" i="1"/>
  <c r="B73" i="1"/>
  <c r="V73" i="1" s="1"/>
  <c r="W73" i="1"/>
  <c r="AA73" i="1"/>
  <c r="B72" i="1"/>
  <c r="V72" i="1" s="1"/>
  <c r="W72" i="1"/>
  <c r="AA72" i="1"/>
  <c r="B71" i="1"/>
  <c r="V71" i="1" s="1"/>
  <c r="W71" i="1"/>
  <c r="AA71" i="1"/>
  <c r="B70" i="1"/>
  <c r="V70" i="1" s="1"/>
  <c r="W70" i="1"/>
  <c r="AA70" i="1"/>
  <c r="B69" i="1"/>
  <c r="V69" i="1" s="1"/>
  <c r="W69" i="1"/>
  <c r="AA69" i="1"/>
  <c r="B68" i="1"/>
  <c r="V68" i="1" s="1"/>
  <c r="W68" i="1"/>
  <c r="AA68" i="1"/>
  <c r="B67" i="1"/>
  <c r="V67" i="1" s="1"/>
  <c r="W67" i="1"/>
  <c r="AA67" i="1"/>
  <c r="B66" i="1"/>
  <c r="V66" i="1" s="1"/>
  <c r="W66" i="1"/>
  <c r="AA66" i="1"/>
  <c r="B65" i="1"/>
  <c r="V65" i="1" s="1"/>
  <c r="W65" i="1"/>
  <c r="AA65" i="1"/>
  <c r="B64" i="1"/>
  <c r="V64" i="1" s="1"/>
  <c r="W64" i="1"/>
  <c r="AA64" i="1"/>
  <c r="B63" i="1"/>
  <c r="V63" i="1" s="1"/>
  <c r="W63" i="1"/>
  <c r="AA63" i="1"/>
  <c r="B62" i="1"/>
  <c r="V62" i="1" s="1"/>
  <c r="W62" i="1"/>
  <c r="AA62" i="1"/>
  <c r="B61" i="1"/>
  <c r="V61" i="1" s="1"/>
  <c r="W61" i="1"/>
  <c r="AA61" i="1"/>
  <c r="B60" i="1"/>
  <c r="V60" i="1" s="1"/>
  <c r="W60" i="1"/>
  <c r="AA60" i="1"/>
  <c r="B59" i="1"/>
  <c r="V59" i="1" s="1"/>
  <c r="W59" i="1"/>
  <c r="AA59" i="1"/>
  <c r="B58" i="1"/>
  <c r="V58" i="1" s="1"/>
  <c r="W58" i="1"/>
  <c r="AA58" i="1"/>
  <c r="B57" i="1"/>
  <c r="V57" i="1" s="1"/>
  <c r="W57" i="1"/>
  <c r="AA57" i="1"/>
  <c r="B56" i="1"/>
  <c r="V56" i="1" s="1"/>
  <c r="W56" i="1"/>
  <c r="AA56" i="1"/>
  <c r="B55" i="1"/>
  <c r="V55" i="1" s="1"/>
  <c r="W55" i="1"/>
  <c r="AA55" i="1"/>
  <c r="B54" i="1"/>
  <c r="V54" i="1" s="1"/>
  <c r="W54" i="1"/>
  <c r="AA54" i="1"/>
  <c r="B53" i="1"/>
  <c r="V53" i="1" s="1"/>
  <c r="W53" i="1"/>
  <c r="AA53" i="1"/>
  <c r="B52" i="1"/>
  <c r="V52" i="1" s="1"/>
  <c r="W52" i="1"/>
  <c r="AA52" i="1"/>
  <c r="B51" i="1"/>
  <c r="V51" i="1" s="1"/>
  <c r="B50" i="1"/>
  <c r="V50" i="1" s="1"/>
  <c r="W50" i="1"/>
  <c r="AA50" i="1"/>
  <c r="B49" i="1"/>
  <c r="V49" i="1" s="1"/>
  <c r="W49" i="1"/>
  <c r="AA49" i="1"/>
  <c r="B48" i="1"/>
  <c r="V48" i="1" s="1"/>
  <c r="W48" i="1"/>
  <c r="AA48" i="1"/>
  <c r="B47" i="1"/>
  <c r="V47" i="1" s="1"/>
  <c r="W47" i="1"/>
  <c r="AA47" i="1"/>
  <c r="B46" i="1"/>
  <c r="V46" i="1" s="1"/>
  <c r="W46" i="1"/>
  <c r="AA46" i="1"/>
  <c r="B45" i="1"/>
  <c r="V45" i="1" s="1"/>
  <c r="W45" i="1"/>
  <c r="AA45" i="1"/>
  <c r="B44" i="1"/>
  <c r="V44" i="1" s="1"/>
  <c r="W44" i="1"/>
  <c r="AA44" i="1"/>
  <c r="B43" i="1"/>
  <c r="V43" i="1" s="1"/>
  <c r="W43" i="1"/>
  <c r="AA43" i="1"/>
  <c r="B42" i="1"/>
  <c r="V42" i="1" s="1"/>
  <c r="W42" i="1"/>
  <c r="B41" i="1"/>
  <c r="V41" i="1" s="1"/>
  <c r="W41" i="1"/>
  <c r="B40" i="1"/>
  <c r="V40" i="1" s="1"/>
  <c r="W40" i="1"/>
  <c r="B39" i="1"/>
  <c r="V39" i="1" s="1"/>
  <c r="W39" i="1"/>
  <c r="B38" i="1"/>
  <c r="V38" i="1" s="1"/>
  <c r="W38" i="1"/>
  <c r="B37" i="1"/>
  <c r="V37" i="1" s="1"/>
  <c r="W37" i="1"/>
  <c r="B36" i="1"/>
  <c r="V36" i="1" s="1"/>
  <c r="W36" i="1"/>
  <c r="B35" i="1"/>
  <c r="V35" i="1" s="1"/>
  <c r="W35" i="1"/>
  <c r="B34" i="1"/>
  <c r="V34" i="1" s="1"/>
  <c r="W34" i="1"/>
  <c r="B33" i="1"/>
  <c r="V33" i="1" s="1"/>
  <c r="W33" i="1"/>
  <c r="B32" i="1"/>
  <c r="V32" i="1" s="1"/>
  <c r="W32" i="1"/>
  <c r="B31" i="1"/>
  <c r="V31" i="1" s="1"/>
  <c r="W31" i="1"/>
  <c r="B30" i="1"/>
  <c r="V30" i="1"/>
  <c r="B29" i="1"/>
  <c r="V29" i="1" s="1"/>
  <c r="W29" i="1"/>
  <c r="B28" i="1"/>
  <c r="V28" i="1" s="1"/>
  <c r="W28" i="1"/>
  <c r="B27" i="1"/>
  <c r="V27" i="1" s="1"/>
  <c r="W27" i="1"/>
  <c r="B26" i="1"/>
  <c r="V26" i="1" s="1"/>
  <c r="W26" i="1"/>
  <c r="B24" i="1"/>
  <c r="V24" i="1" s="1"/>
  <c r="W24" i="1"/>
  <c r="B23" i="1"/>
  <c r="V23" i="1" s="1"/>
  <c r="W23" i="1"/>
  <c r="B22" i="1"/>
  <c r="V22" i="1" s="1"/>
  <c r="W22" i="1"/>
  <c r="B21" i="1"/>
  <c r="V21" i="1" s="1"/>
  <c r="W21" i="1"/>
  <c r="B20" i="1"/>
  <c r="V20" i="1" s="1"/>
  <c r="W20" i="1"/>
  <c r="B19" i="1"/>
  <c r="V19" i="1" s="1"/>
  <c r="W19" i="1"/>
  <c r="B18" i="1"/>
  <c r="V18" i="1" s="1"/>
  <c r="W18" i="1"/>
  <c r="B17" i="1"/>
  <c r="V17" i="1" s="1"/>
  <c r="W17" i="1"/>
  <c r="B16" i="1"/>
  <c r="V16" i="1" s="1"/>
  <c r="W16" i="1"/>
  <c r="B15" i="1"/>
  <c r="V15" i="1" s="1"/>
  <c r="W15" i="1"/>
  <c r="B14" i="1"/>
  <c r="V14" i="1" s="1"/>
  <c r="B13" i="1"/>
  <c r="V13" i="1" s="1"/>
  <c r="R13" i="1" s="1"/>
  <c r="W13" i="1"/>
  <c r="AA13" i="1"/>
  <c r="B12" i="1"/>
  <c r="V12" i="1" s="1"/>
  <c r="R12" i="1" s="1"/>
  <c r="W12" i="1"/>
  <c r="AA12" i="1"/>
  <c r="B11" i="1"/>
  <c r="V11" i="1" s="1"/>
  <c r="R11" i="1" s="1"/>
  <c r="W11" i="1"/>
  <c r="AA11" i="1"/>
  <c r="B10" i="1"/>
  <c r="V10" i="1" s="1"/>
  <c r="R10" i="1" s="1"/>
  <c r="W10" i="1"/>
  <c r="AA10" i="1"/>
  <c r="B9" i="1"/>
  <c r="V9" i="1" s="1"/>
  <c r="B8" i="1"/>
  <c r="V8" i="1" s="1"/>
  <c r="R8" i="1" s="1"/>
  <c r="W8" i="1"/>
  <c r="B7" i="1"/>
  <c r="V7" i="1" s="1"/>
  <c r="R7" i="1" s="1"/>
  <c r="W7" i="1"/>
  <c r="B6" i="1"/>
  <c r="V6" i="1" s="1"/>
  <c r="R6" i="1" s="1"/>
  <c r="W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E125" i="1"/>
  <c r="AB125" i="1"/>
  <c r="AD125" i="1"/>
  <c r="AA125" i="1"/>
  <c r="W125" i="1"/>
  <c r="Z125" i="1"/>
  <c r="U125" i="1"/>
  <c r="M125" i="1"/>
  <c r="J16" i="4"/>
  <c r="I125" i="1"/>
  <c r="G16" i="4"/>
  <c r="AE124" i="1"/>
  <c r="AB124" i="1"/>
  <c r="AD124" i="1"/>
  <c r="AA124" i="1"/>
  <c r="W124" i="1"/>
  <c r="Z124" i="1"/>
  <c r="U124" i="1"/>
  <c r="M124" i="1"/>
  <c r="J15" i="4"/>
  <c r="I124" i="1"/>
  <c r="G15" i="4"/>
  <c r="AE123" i="1"/>
  <c r="AB123" i="1"/>
  <c r="AD123" i="1"/>
  <c r="AA123" i="1"/>
  <c r="W123" i="1"/>
  <c r="Z123" i="1"/>
  <c r="U123" i="1"/>
  <c r="AE122" i="1"/>
  <c r="AB122" i="1"/>
  <c r="AD122" i="1"/>
  <c r="AA122" i="1"/>
  <c r="W122" i="1"/>
  <c r="Z122" i="1"/>
  <c r="U122" i="1"/>
  <c r="M122" i="1"/>
  <c r="J13" i="4"/>
  <c r="I122" i="1"/>
  <c r="G13" i="4"/>
  <c r="AE121" i="1"/>
  <c r="AB121" i="1"/>
  <c r="AD121" i="1"/>
  <c r="AA121" i="1"/>
  <c r="W121" i="1"/>
  <c r="Z121" i="1"/>
  <c r="U121" i="1"/>
  <c r="AE120" i="1"/>
  <c r="AB120" i="1"/>
  <c r="AD120" i="1"/>
  <c r="AA120" i="1"/>
  <c r="W120" i="1"/>
  <c r="Z120" i="1"/>
  <c r="U120" i="1"/>
  <c r="AE119" i="1"/>
  <c r="AE126" i="1"/>
  <c r="AB119" i="1"/>
  <c r="AA119" i="1"/>
  <c r="AA126" i="1"/>
  <c r="G6" i="4"/>
  <c r="W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7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A41" i="1"/>
  <c r="AA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F119" i="1"/>
  <c r="J119" i="1"/>
  <c r="H10" i="4"/>
  <c r="M126" i="1"/>
  <c r="J3" i="4"/>
  <c r="AG119" i="1"/>
  <c r="Q119" i="1"/>
  <c r="L10" i="4"/>
  <c r="G7" i="4"/>
  <c r="U119" i="1"/>
  <c r="U126" i="1"/>
  <c r="H7" i="4"/>
  <c r="W126" i="1"/>
  <c r="J7" i="4"/>
  <c r="Z119" i="1"/>
  <c r="AB126" i="1"/>
  <c r="J6" i="4"/>
  <c r="AD119" i="1"/>
  <c r="AF120" i="1"/>
  <c r="J120" i="1"/>
  <c r="AG120" i="1"/>
  <c r="Q120" i="1"/>
  <c r="L11" i="4"/>
  <c r="AF121" i="1"/>
  <c r="J121" i="1"/>
  <c r="AG121" i="1"/>
  <c r="Q121" i="1"/>
  <c r="L12" i="4"/>
  <c r="AF122" i="1"/>
  <c r="J122" i="1"/>
  <c r="AG122" i="1"/>
  <c r="Q122" i="1"/>
  <c r="L13" i="4"/>
  <c r="AF123" i="1"/>
  <c r="J123" i="1"/>
  <c r="AG123" i="1"/>
  <c r="Q123" i="1"/>
  <c r="L14" i="4"/>
  <c r="AF124" i="1"/>
  <c r="J124" i="1"/>
  <c r="AG124" i="1"/>
  <c r="Q124" i="1"/>
  <c r="L15" i="4"/>
  <c r="AF125" i="1"/>
  <c r="J125" i="1"/>
  <c r="AG125" i="1"/>
  <c r="Q125" i="1"/>
  <c r="L16" i="4"/>
  <c r="AA8" i="1"/>
  <c r="AA7" i="1"/>
  <c r="AA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F126" i="1"/>
  <c r="G3" i="4"/>
  <c r="AD127" i="1"/>
  <c r="AD126" i="1"/>
  <c r="L6" i="4"/>
  <c r="Z126" i="1"/>
  <c r="L7" i="4"/>
  <c r="AG126" i="1"/>
  <c r="Q126" i="1"/>
  <c r="L3" i="4"/>
  <c r="J126" i="1"/>
  <c r="H3" i="4"/>
  <c r="I3" i="4"/>
  <c r="I10" i="4"/>
  <c r="Q104" i="1" l="1"/>
  <c r="R104" i="1"/>
  <c r="Q105" i="1"/>
  <c r="R105" i="1"/>
  <c r="Q9" i="1"/>
  <c r="R9" i="1"/>
  <c r="Q14" i="1"/>
  <c r="R14" i="1"/>
  <c r="Q30" i="1"/>
  <c r="R3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84" i="1"/>
  <c r="R84" i="1"/>
  <c r="Q83" i="1"/>
  <c r="R83" i="1"/>
  <c r="Q106" i="1"/>
  <c r="R106" i="1"/>
  <c r="Q13" i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6" i="1"/>
  <c r="R26" i="1" s="1"/>
  <c r="Q27" i="1"/>
  <c r="R27" i="1" s="1"/>
  <c r="Q28" i="1"/>
  <c r="R28" i="1" s="1"/>
  <c r="Q29" i="1"/>
  <c r="R29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25" i="1"/>
  <c r="R25" i="1" s="1"/>
  <c r="Q6" i="1"/>
  <c r="Q7" i="1"/>
  <c r="Q8" i="1"/>
  <c r="Q10" i="1"/>
  <c r="Q11" i="1"/>
  <c r="Q12" i="1"/>
  <c r="AA40" i="1"/>
  <c r="AA39" i="1"/>
  <c r="AA38" i="1"/>
  <c r="AA37" i="1"/>
  <c r="AA36" i="1"/>
  <c r="AA35" i="1"/>
  <c r="AA34" i="1"/>
  <c r="AA33" i="1"/>
  <c r="AA32" i="1"/>
  <c r="AA31" i="1"/>
  <c r="AL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L7" i="1"/>
  <c r="N7" i="1"/>
  <c r="AL6" i="1"/>
  <c r="N6" i="1"/>
  <c r="AA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A25" i="1"/>
  <c r="L10" i="20"/>
  <c r="K10" i="20"/>
  <c r="J10" i="20"/>
  <c r="I10" i="20"/>
  <c r="H10" i="20"/>
  <c r="G10" i="20"/>
  <c r="F10" i="20"/>
  <c r="E10" i="20"/>
  <c r="D10" i="20"/>
  <c r="C10" i="20"/>
  <c r="B10" i="20"/>
  <c r="B13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A28" i="1"/>
  <c r="AA27" i="1"/>
  <c r="AA26" i="1"/>
  <c r="H7" i="12"/>
  <c r="N6" i="16"/>
  <c r="N5" i="16"/>
  <c r="N4" i="16"/>
  <c r="L7" i="17"/>
  <c r="K7" i="17"/>
  <c r="J7" i="17"/>
  <c r="I7" i="17"/>
  <c r="H7" i="17"/>
  <c r="G7" i="17"/>
  <c r="F7" i="17"/>
  <c r="E7" i="17"/>
  <c r="E8" i="17" s="1"/>
  <c r="D7" i="17"/>
  <c r="D8" i="17" s="1"/>
  <c r="C7" i="17"/>
  <c r="C8" i="17" s="1"/>
  <c r="B7" i="17"/>
  <c r="B8" i="17" s="1"/>
  <c r="C7" i="16"/>
  <c r="C8" i="16" s="1"/>
  <c r="B7" i="16"/>
  <c r="B8" i="16" s="1"/>
  <c r="AA24" i="1"/>
  <c r="AA23" i="1"/>
  <c r="AA22" i="1"/>
  <c r="AA21" i="1"/>
  <c r="AA20" i="1"/>
  <c r="AA19" i="1"/>
  <c r="AA18" i="1"/>
  <c r="AA17" i="1"/>
  <c r="AA16" i="1"/>
  <c r="AA15" i="1"/>
  <c r="C8" i="19" l="1"/>
  <c r="D8" i="19"/>
  <c r="E8" i="19"/>
  <c r="F8" i="19"/>
  <c r="G8" i="19"/>
  <c r="H8" i="19"/>
  <c r="I8" i="19"/>
  <c r="J8" i="19"/>
  <c r="K8" i="19"/>
  <c r="L8" i="19"/>
  <c r="AL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<sst xmlns="http://schemas.openxmlformats.org/spreadsheetml/2006/main" count="1569" uniqueCount="808">
  <si>
    <t>Status:</t>
  </si>
  <si>
    <t>Updated 9/29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</si>
  <si>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</si>
  <si>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</si>
  <si>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</si>
  <si>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</si>
  <si>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</si>
  <si>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</si>
  <si>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</si>
  <si>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</si>
  <si>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</si>
  <si>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</si>
  <si>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</si>
  <si>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9/29/2025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</si>
  <si>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</si>
  <si>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</si>
  <si>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</si>
  <si>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</si>
  <si>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</si>
  <si>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</si>
  <si>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</si>
  <si>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</si>
  <si>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</si>
  <si>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</si>
  <si>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</si>
  <si>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</si>
  <si>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</si>
  <si>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</si>
  <si>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</si>
  <si>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</si>
  <si>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</si>
  <si>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</si>
  <si>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</si>
  <si>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</si>
  <si>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</si>
  <si>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</si>
  <si>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</si>
  <si>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</si>
  <si>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</si>
  <si>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</si>
  <si>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</si>
  <si>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</si>
  <si>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</si>
  <si>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</si>
  <si>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</si>
  <si>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</si>
  <si>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</si>
  <si>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</si>
  <si>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</si>
  <si>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</si>
  <si>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</si>
  <si>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</si>
  <si>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</si>
  <si>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</si>
  <si>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</si>
  <si>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</si>
  <si>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</si>
  <si>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</si>
  <si>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</si>
  <si>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</si>
  <si>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</si>
  <si>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</si>
  <si>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</si>
  <si>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</si>
  <si>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</si>
  <si>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</si>
  <si>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</si>
  <si>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</si>
  <si>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</si>
  <si>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</si>
  <si>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</si>
  <si>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</si>
  <si>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</si>
  <si>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</si>
  <si>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</si>
  <si>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</si>
  <si>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</si>
  <si>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</si>
  <si>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</si>
  <si>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</si>
  <si>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</si>
  <si>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</si>
  <si>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</si>
  <si>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</si>
  <si>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</si>
  <si>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</si>
  <si>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</si>
  <si>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</si>
  <si>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</si>
  <si>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</si>
  <si>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</si>
  <si>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</si>
  <si>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</si>
  <si>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</si>
  <si>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</si>
  <si>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</si>
  <si>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</si>
  <si>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</si>
  <si>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</si>
  <si>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</si>
  <si>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</si>
  <si>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</si>
  <si>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</si>
  <si>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</si>
  <si>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</si>
  <si>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</si>
  <si>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</si>
  <si>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</si>
  <si>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</si>
  <si>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</si>
  <si>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</si>
  <si>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</si>
  <si>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</si>
  <si>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</si>
  <si>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</si>
  <si>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</si>
  <si>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</si>
  <si>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</si>
  <si>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</si>
  <si>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</si>
  <si>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</si>
  <si>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</si>
  <si>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</si>
  <si>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</si>
  <si>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</si>
  <si>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</si>
  <si>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</si>
  <si>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</si>
  <si>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</si>
  <si>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</si>
  <si>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</si>
  <si>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</si>
  <si>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</si>
  <si>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</si>
  <si>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</si>
  <si>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</si>
  <si>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</si>
  <si>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</si>
  <si>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</si>
  <si>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</si>
  <si>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</si>
  <si>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10/10/2025 Sales (Fri)</t>
  </si>
  <si>
    <t>10/11/2025 Sales (Sat)</t>
  </si>
  <si>
    <t>10/12/2025 Sales (Sun)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</si>
  <si>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</si>
  <si>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</si>
  <si>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</si>
  <si>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</si>
  <si>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</si>
  <si>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</si>
  <si>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</si>
  <si>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</si>
  <si>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</si>
  <si>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</si>
  <si>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</si>
  <si>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</si>
  <si>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</si>
  <si>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</si>
  <si>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</si>
  <si>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</si>
  <si>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</si>
  <si>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</si>
  <si>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</si>
  <si>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</si>
  <si>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</si>
  <si>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</si>
  <si>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Muppet XMas 2023</t>
  </si>
  <si>
    <t>Avg/Show vs 2024 Pace: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</si>
  <si>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</si>
  <si>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</si>
  <si>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</si>
  <si>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</si>
  <si>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</si>
  <si>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</si>
  <si>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</si>
  <si>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</si>
  <si>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</si>
  <si>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</si>
  <si>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</si>
  <si>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</si>
  <si>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</si>
  <si>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Weekly new sales needed for Target Pace</t>
  </si>
  <si>
    <t>Actual Weekly Sales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</si>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</sst>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6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sz val="12"/>
      <name val="Arial Narrow"/>
      <family val="2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  <font>
      <sz val="10"/>
      <color theme="9"/>
      <name val="Arial Narrow"/>
    </font>
    <font>
      <sz val="10"/>
      <color rgb="FFFF0000"/>
      <name val="Arial Narrow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56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8" borderId="0" xfId="0" applyFont="1" applyFill="1" applyAlignment="1">
      <alignment wrapText="1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30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30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30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9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2" fillId="16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9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0" fontId="22" fillId="19" borderId="0" xfId="0" applyFont="1" applyFill="1"/>
    <xf numFmtId="0" fontId="29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29" borderId="0" xfId="0" applyFill="1"/>
    <xf numFmtId="0" fontId="29" fillId="29" borderId="52" xfId="0" applyFont="1" applyFill="1" applyBorder="1" applyAlignment="1">
      <alignment horizontal="center" vertical="center"/>
    </xf>
    <xf numFmtId="0" fontId="29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2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3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" fontId="30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5" fillId="0" borderId="7" xfId="0" applyFont="1" applyBorder="1"/>
    <xf numFmtId="0" fontId="40" fillId="0" borderId="0" xfId="0" applyFont="1"/>
    <xf numFmtId="0" fontId="3" fillId="32" borderId="0" xfId="0" applyFont="1" applyFill="1"/>
    <xf numFmtId="0" fontId="41" fillId="0" borderId="0" xfId="0" applyFont="1"/>
    <xf numFmtId="1" fontId="0" fillId="0" borderId="0" xfId="0" applyNumberFormat="1"/>
    <xf numFmtId="9" fontId="41" fillId="0" borderId="0" xfId="0" applyNumberFormat="1" applyFont="1"/>
    <xf numFmtId="9" fontId="41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0" fontId="0" fillId="13" borderId="0" xfId="0" applyFill="1"/>
    <xf numFmtId="0" fontId="13" fillId="0" borderId="16" xfId="0" applyFont="1" applyBorder="1" applyAlignment="1">
      <alignment wrapText="1"/>
    </xf>
    <xf numFmtId="0" fontId="41" fillId="0" borderId="16" xfId="0" applyFont="1" applyBorder="1"/>
    <xf numFmtId="164" fontId="0" fillId="0" borderId="0" xfId="0" applyNumberFormat="1"/>
    <xf numFmtId="0" fontId="37" fillId="13" borderId="44" xfId="0" applyFont="1" applyFill="1" applyBorder="1"/>
    <xf numFmtId="16" fontId="24" fillId="13" borderId="43" xfId="0" applyNumberFormat="1" applyFont="1" applyFill="1" applyBorder="1" applyAlignment="1">
      <alignment horizontal="left"/>
    </xf>
    <xf numFmtId="3" fontId="24" fillId="13" borderId="45" xfId="0" applyNumberFormat="1" applyFont="1" applyFill="1" applyBorder="1"/>
    <xf numFmtId="0" fontId="24" fillId="13" borderId="44" xfId="0" applyFont="1" applyFill="1" applyBorder="1"/>
    <xf numFmtId="0" fontId="29" fillId="9" borderId="44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8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164" fontId="26" fillId="0" borderId="7" xfId="0" applyNumberFormat="1" applyFont="1" applyBorder="1" applyAlignment="1">
      <alignment horizontal="right"/>
    </xf>
    <xf numFmtId="9" fontId="25" fillId="0" borderId="7" xfId="1" applyNumberFormat="1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41" fillId="28" borderId="54" xfId="0" applyNumberFormat="1" applyFont="1" applyFill="1" applyBorder="1" applyAlignment="1">
      <alignment horizontal="left"/>
    </xf>
    <xf numFmtId="0" fontId="43" fillId="0" borderId="0" xfId="0" applyFont="1"/>
    <xf numFmtId="10" fontId="43" fillId="0" borderId="0" xfId="0" applyNumberFormat="1" applyFont="1"/>
    <xf numFmtId="0" fontId="44" fillId="0" borderId="0" xfId="0" applyFont="1"/>
    <xf numFmtId="16" fontId="43" fillId="0" borderId="0" xfId="0" applyNumberFormat="1" applyFont="1"/>
    <xf numFmtId="0" fontId="43" fillId="0" borderId="0" xfId="0" applyFont="1" applyAlignment="1">
      <alignment wrapText="1"/>
    </xf>
    <xf numFmtId="10" fontId="43" fillId="0" borderId="0" xfId="0" applyNumberFormat="1" applyFont="1" applyAlignment="1">
      <alignment wrapText="1"/>
    </xf>
    <xf numFmtId="3" fontId="43" fillId="0" borderId="0" xfId="0" applyNumberFormat="1" applyFont="1"/>
    <xf numFmtId="10" fontId="45" fillId="0" borderId="0" xfId="0" applyNumberFormat="1" applyFont="1"/>
    <xf numFmtId="9" fontId="43" fillId="0" borderId="0" xfId="0" applyNumberFormat="1" applyFont="1"/>
    <xf numFmtId="10" fontId="46" fillId="0" borderId="0" xfId="0" applyNumberFormat="1" applyFont="1"/>
    <xf numFmtId="10" fontId="46" fillId="0" borderId="0" xfId="0" applyNumberFormat="1" applyFont="1" applyAlignment="1">
      <alignment wrapText="1"/>
    </xf>
    <xf numFmtId="3" fontId="43" fillId="0" borderId="0" xfId="0" applyNumberFormat="1" applyFont="1" applyAlignment="1">
      <alignment wrapText="1"/>
    </xf>
    <xf numFmtId="10" fontId="45" fillId="0" borderId="0" xfId="0" applyNumberFormat="1" applyFont="1" applyAlignment="1">
      <alignment wrapText="1"/>
    </xf>
    <xf numFmtId="10" fontId="48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9" fillId="0" borderId="0" xfId="0" applyFont="1"/>
    <xf numFmtId="0" fontId="49" fillId="0" borderId="1" xfId="0" applyFont="1" applyBorder="1" applyAlignment="1">
      <alignment wrapText="1"/>
    </xf>
    <xf numFmtId="0" fontId="50" fillId="0" borderId="0" xfId="0" applyFont="1"/>
    <xf numFmtId="0" fontId="49" fillId="0" borderId="1" xfId="0" applyFont="1" applyBorder="1"/>
    <xf numFmtId="0" fontId="49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9" fillId="0" borderId="1" xfId="0" applyNumberFormat="1" applyFont="1" applyBorder="1" applyAlignment="1">
      <alignment wrapText="1"/>
    </xf>
    <xf numFmtId="168" fontId="49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51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5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51" fillId="36" borderId="66" xfId="0" applyNumberFormat="1" applyFont="1" applyFill="1" applyBorder="1"/>
    <xf numFmtId="0" fontId="2" fillId="36" borderId="65" xfId="0" applyFont="1" applyFill="1" applyBorder="1"/>
    <xf numFmtId="168" fontId="52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51" fillId="37" borderId="69" xfId="0" applyFont="1" applyFill="1" applyBorder="1"/>
    <xf numFmtId="0" fontId="51" fillId="37" borderId="70" xfId="0" applyFont="1" applyFill="1" applyBorder="1"/>
    <xf numFmtId="168" fontId="51" fillId="37" borderId="71" xfId="0" applyNumberFormat="1" applyFont="1" applyFill="1" applyBorder="1"/>
    <xf numFmtId="164" fontId="51" fillId="37" borderId="71" xfId="0" applyNumberFormat="1" applyFont="1" applyFill="1" applyBorder="1"/>
    <xf numFmtId="9" fontId="51" fillId="37" borderId="70" xfId="0" applyNumberFormat="1" applyFont="1" applyFill="1" applyBorder="1"/>
    <xf numFmtId="6" fontId="51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16" fontId="0" fillId="14" borderId="0" xfId="0" applyNumberFormat="1" applyFill="1"/>
    <xf numFmtId="1" fontId="0" fillId="14" borderId="0" xfId="0" applyNumberFormat="1" applyFill="1"/>
    <xf numFmtId="0" fontId="29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4" fontId="26" fillId="20" borderId="7" xfId="0" applyNumberFormat="1" applyFont="1" applyFill="1" applyBorder="1" applyAlignment="1">
      <alignment horizontal="righ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168" fontId="25" fillId="0" borderId="0" xfId="2" applyNumberFormat="1" applyFont="1" applyBorder="1" applyAlignment="1">
      <alignment horizontal="center"/>
    </xf>
    <xf numFmtId="168" fontId="25" fillId="0" borderId="7" xfId="2" applyNumberFormat="1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54" fillId="0" borderId="0" xfId="3" applyFont="1" applyFill="1" applyBorder="1"/>
    <xf numFmtId="9" fontId="55" fillId="0" borderId="0" xfId="3" applyFont="1" applyFill="1" applyBorder="1"/>
    <xf numFmtId="9" fontId="32" fillId="0" borderId="0" xfId="3" applyFont="1" applyFill="1" applyBorder="1"/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9" fontId="55" fillId="0" borderId="7" xfId="3" applyFont="1" applyFill="1" applyBorder="1"/>
    <xf numFmtId="9" fontId="25" fillId="0" borderId="54" xfId="3" applyFont="1" applyFill="1" applyBorder="1"/>
    <xf numFmtId="9" fontId="25" fillId="0" borderId="42" xfId="3" applyFont="1" applyFill="1" applyBorder="1"/>
    <xf numFmtId="168" fontId="53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0" fontId="5" fillId="0" borderId="0" xfId="0" applyFont="1" applyAlignment="1">
      <alignment horizontal="center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" fontId="0" fillId="0" borderId="0" xfId="0" applyNumberFormat="1" applyAlignment="1">
      <alignment horizontal="left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0" borderId="0" xfId="0" applyFont="1" applyAlignment="1"/>
    <xf numFmtId="0" fontId="5" fillId="7" borderId="0" xfId="0" applyFont="1" applyFill="1" applyAlignment="1"/>
    <xf numFmtId="0" fontId="10" fillId="6" borderId="0" xfId="0" applyFont="1" applyFill="1" applyAlignment="1"/>
    <xf numFmtId="0" fontId="10" fillId="7" borderId="0" xfId="0" applyFont="1" applyFill="1" applyAlignment="1"/>
    <xf numFmtId="0" fontId="10" fillId="5" borderId="0" xfId="0" applyFont="1" applyFill="1" applyAlignment="1"/>
    <xf numFmtId="0" fontId="10" fillId="6" borderId="42" xfId="0" applyFont="1" applyFill="1" applyBorder="1" applyAlignment="1"/>
    <xf numFmtId="0" fontId="11" fillId="0" borderId="0" xfId="0" applyFont="1" applyAlignment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43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129.66749999999999</c:v>
                </c:pt>
                <c:pt idx="1">
                  <c:v>155.60099999999997</c:v>
                </c:pt>
                <c:pt idx="2">
                  <c:v>181.53449999999998</c:v>
                </c:pt>
                <c:pt idx="3">
                  <c:v>207.46799999999999</c:v>
                </c:pt>
                <c:pt idx="4">
                  <c:v>233.4015</c:v>
                </c:pt>
                <c:pt idx="5">
                  <c:v>259.33499999999998</c:v>
                </c:pt>
                <c:pt idx="6">
                  <c:v>285.26850000000002</c:v>
                </c:pt>
                <c:pt idx="7">
                  <c:v>337.13549999999998</c:v>
                </c:pt>
                <c:pt idx="8">
                  <c:v>397.64699999999999</c:v>
                </c:pt>
                <c:pt idx="9">
                  <c:v>510.02549999999991</c:v>
                </c:pt>
                <c:pt idx="10">
                  <c:v>864.44999999999993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120.61499999999999</c:v>
                </c:pt>
                <c:pt idx="1">
                  <c:v>144.738</c:v>
                </c:pt>
                <c:pt idx="2">
                  <c:v>168.86099999999999</c:v>
                </c:pt>
                <c:pt idx="3">
                  <c:v>192.98400000000001</c:v>
                </c:pt>
                <c:pt idx="4">
                  <c:v>217.10700000000003</c:v>
                </c:pt>
                <c:pt idx="5">
                  <c:v>241.23</c:v>
                </c:pt>
                <c:pt idx="6">
                  <c:v>265.35300000000001</c:v>
                </c:pt>
                <c:pt idx="7">
                  <c:v>313.59900000000005</c:v>
                </c:pt>
                <c:pt idx="8">
                  <c:v>369.88600000000002</c:v>
                </c:pt>
                <c:pt idx="9">
                  <c:v>474.41899999999998</c:v>
                </c:pt>
                <c:pt idx="10">
                  <c:v>804.1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135.91499999999999</c:v>
                </c:pt>
                <c:pt idx="1">
                  <c:v>163.09799999999998</c:v>
                </c:pt>
                <c:pt idx="2">
                  <c:v>190.28100000000001</c:v>
                </c:pt>
                <c:pt idx="3">
                  <c:v>217.464</c:v>
                </c:pt>
                <c:pt idx="4">
                  <c:v>244.64700000000002</c:v>
                </c:pt>
                <c:pt idx="5">
                  <c:v>271.83</c:v>
                </c:pt>
                <c:pt idx="6">
                  <c:v>299.01300000000003</c:v>
                </c:pt>
                <c:pt idx="7">
                  <c:v>353.37900000000002</c:v>
                </c:pt>
                <c:pt idx="8">
                  <c:v>416.80600000000004</c:v>
                </c:pt>
                <c:pt idx="9">
                  <c:v>534.59899999999993</c:v>
                </c:pt>
                <c:pt idx="10">
                  <c:v>906.1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182.70749999999998</c:v>
                </c:pt>
                <c:pt idx="1">
                  <c:v>219.249</c:v>
                </c:pt>
                <c:pt idx="2">
                  <c:v>255.79049999999998</c:v>
                </c:pt>
                <c:pt idx="3">
                  <c:v>292.33199999999999</c:v>
                </c:pt>
                <c:pt idx="4">
                  <c:v>328.87350000000004</c:v>
                </c:pt>
                <c:pt idx="5">
                  <c:v>365.41499999999996</c:v>
                </c:pt>
                <c:pt idx="6">
                  <c:v>401.95650000000001</c:v>
                </c:pt>
                <c:pt idx="7">
                  <c:v>475.03949999999998</c:v>
                </c:pt>
                <c:pt idx="8">
                  <c:v>560.303</c:v>
                </c:pt>
                <c:pt idx="9">
                  <c:v>718.64949999999999</c:v>
                </c:pt>
                <c:pt idx="10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Messiah!$A$10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Messiah!$B$10:$L$10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Messiah!$A$11</c:f>
              <c:strCache>
                <c:ptCount val="1"/>
                <c:pt idx="0">
                  <c:v>Messiah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Messiah!$B$11:$L$11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176.31125</c:v>
                </c:pt>
                <c:pt idx="1">
                  <c:v>211.5735</c:v>
                </c:pt>
                <c:pt idx="2">
                  <c:v>246.83574999999999</c:v>
                </c:pt>
                <c:pt idx="3">
                  <c:v>282.09799999999996</c:v>
                </c:pt>
                <c:pt idx="4">
                  <c:v>317.36025000000001</c:v>
                </c:pt>
                <c:pt idx="5">
                  <c:v>352.6225</c:v>
                </c:pt>
                <c:pt idx="6">
                  <c:v>387.88475</c:v>
                </c:pt>
                <c:pt idx="7">
                  <c:v>458.40924999999999</c:v>
                </c:pt>
                <c:pt idx="8">
                  <c:v>540.68783333333329</c:v>
                </c:pt>
                <c:pt idx="9">
                  <c:v>693.49091666666664</c:v>
                </c:pt>
                <c:pt idx="10">
                  <c:v>1175.4083333333333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'[1]Pops (Graph Data)'!$A$3:$A$67</c:f>
              <c:strCach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strCache>
            </c:strRef>
          </c:cat>
          <c:val>
            <c:numRef>
              <c:f>'[1]Pops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</c:v>
                </c:pt>
                <c:pt idx="11">
                  <c:v>1189.0245107105341</c:v>
                </c:pt>
                <c:pt idx="12">
                  <c:v>1475.081552067616</c:v>
                </c:pt>
                <c:pt idx="13">
                  <c:v>1711.175627575607</c:v>
                </c:pt>
                <c:pt idx="14">
                  <c:v>1833.9226968144569</c:v>
                </c:pt>
                <c:pt idx="15">
                  <c:v>1898.615462708497</c:v>
                </c:pt>
                <c:pt idx="16">
                  <c:v>1949.77335181645</c:v>
                </c:pt>
                <c:pt idx="17">
                  <c:v>2006.9855187693011</c:v>
                </c:pt>
                <c:pt idx="18">
                  <c:v>2045.3330718608249</c:v>
                </c:pt>
                <c:pt idx="19">
                  <c:v>2087.94062120537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</c:v>
                </c:pt>
                <c:pt idx="23">
                  <c:v>2161.676869795047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2207.133267925004</c:v>
                </c:pt>
                <c:pt idx="28">
                  <c:v>2232.4808146415498</c:v>
                </c:pt>
                <c:pt idx="29">
                  <c:v>2241.6912072527098</c:v>
                </c:pt>
                <c:pt idx="30">
                  <c:v>2274.526939724788</c:v>
                </c:pt>
                <c:pt idx="31">
                  <c:v>2282.9938245304338</c:v>
                </c:pt>
                <c:pt idx="32">
                  <c:v>2292.6139051160608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2310.920888123253</c:v>
                </c:pt>
                <c:pt idx="39">
                  <c:v>2317.8286825816231</c:v>
                </c:pt>
                <c:pt idx="40">
                  <c:v>2321.4248325797198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2327.6270533042871</c:v>
                </c:pt>
                <c:pt idx="45">
                  <c:v>2330.301405359834</c:v>
                </c:pt>
                <c:pt idx="46">
                  <c:v>2335.9346150087522</c:v>
                </c:pt>
                <c:pt idx="47">
                  <c:v>2336.6743294070939</c:v>
                </c:pt>
                <c:pt idx="48">
                  <c:v>2339.1210770323819</c:v>
                </c:pt>
                <c:pt idx="49">
                  <c:v>2344.36735914986</c:v>
                </c:pt>
                <c:pt idx="50">
                  <c:v>2347.4172585153342</c:v>
                </c:pt>
                <c:pt idx="51">
                  <c:v>2352.0603888926239</c:v>
                </c:pt>
                <c:pt idx="52">
                  <c:v>2352.0603888926239</c:v>
                </c:pt>
                <c:pt idx="53">
                  <c:v>2353.517057246283</c:v>
                </c:pt>
                <c:pt idx="54">
                  <c:v>2357.594969955097</c:v>
                </c:pt>
                <c:pt idx="55">
                  <c:v>2359.3475240680941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'[1]Pops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Data)'!$I$3:$I$67</c:f>
              <c:numCache>
                <c:formatCode>General</c:formatCode>
                <c:ptCount val="65"/>
                <c:pt idx="5">
                  <c:v>332.94152791430741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1204.6383702797691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</c:v>
                </c:pt>
                <c:pt idx="14">
                  <c:v>1628.501585972798</c:v>
                </c:pt>
                <c:pt idx="15">
                  <c:v>1671.4499274901659</c:v>
                </c:pt>
                <c:pt idx="16">
                  <c:v>1712.619189658046</c:v>
                </c:pt>
                <c:pt idx="17">
                  <c:v>1737.210814816154</c:v>
                </c:pt>
                <c:pt idx="18">
                  <c:v>1763.6433154985959</c:v>
                </c:pt>
                <c:pt idx="19">
                  <c:v>1785.3760544625541</c:v>
                </c:pt>
                <c:pt idx="20">
                  <c:v>1805.576898776402</c:v>
                </c:pt>
                <c:pt idx="21">
                  <c:v>1817.724725778854</c:v>
                </c:pt>
                <c:pt idx="22">
                  <c:v>1818.6158916687259</c:v>
                </c:pt>
                <c:pt idx="23">
                  <c:v>1838.9143088902249</c:v>
                </c:pt>
                <c:pt idx="24">
                  <c:v>1857.21573393515</c:v>
                </c:pt>
                <c:pt idx="25">
                  <c:v>1859.3298136009039</c:v>
                </c:pt>
                <c:pt idx="26">
                  <c:v>1848.9480562269209</c:v>
                </c:pt>
                <c:pt idx="27">
                  <c:v>1863.974284005054</c:v>
                </c:pt>
                <c:pt idx="28">
                  <c:v>1859.4403962295739</c:v>
                </c:pt>
                <c:pt idx="29">
                  <c:v>1859.3883573454939</c:v>
                </c:pt>
                <c:pt idx="30">
                  <c:v>1863.0180695100819</c:v>
                </c:pt>
                <c:pt idx="31">
                  <c:v>1868.7195797471099</c:v>
                </c:pt>
                <c:pt idx="32">
                  <c:v>1872.115116933337</c:v>
                </c:pt>
                <c:pt idx="33">
                  <c:v>1872.7818651356131</c:v>
                </c:pt>
                <c:pt idx="34">
                  <c:v>1874.915459382898</c:v>
                </c:pt>
                <c:pt idx="35">
                  <c:v>1876.8831796871771</c:v>
                </c:pt>
                <c:pt idx="36">
                  <c:v>1879.2249294707819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1888.2113942653671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1891.847611290465</c:v>
                </c:pt>
                <c:pt idx="45">
                  <c:v>1891.847611290465</c:v>
                </c:pt>
                <c:pt idx="46">
                  <c:v>1892.9371754258921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1896.20261540192</c:v>
                </c:pt>
                <c:pt idx="50">
                  <c:v>1896.20261540192</c:v>
                </c:pt>
                <c:pt idx="51">
                  <c:v>1898.134558973393</c:v>
                </c:pt>
                <c:pt idx="52">
                  <c:v>1898.739511000824</c:v>
                </c:pt>
                <c:pt idx="53">
                  <c:v>1900.144560870988</c:v>
                </c:pt>
                <c:pt idx="54">
                  <c:v>1900.144560870988</c:v>
                </c:pt>
                <c:pt idx="55">
                  <c:v>1900.144560870988</c:v>
                </c:pt>
                <c:pt idx="56">
                  <c:v>1900.144560870988</c:v>
                </c:pt>
                <c:pt idx="57">
                  <c:v>1900.8698528178541</c:v>
                </c:pt>
                <c:pt idx="58">
                  <c:v>1902.0797568727171</c:v>
                </c:pt>
                <c:pt idx="59">
                  <c:v>1902.444029061277</c:v>
                </c:pt>
                <c:pt idx="60">
                  <c:v>1902.444029061277</c:v>
                </c:pt>
                <c:pt idx="61">
                  <c:v>1902.444029061277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'[1]Pops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402.99876598628367</c:v>
                </c:pt>
                <c:pt idx="17">
                  <c:v>496.08802920036948</c:v>
                </c:pt>
                <c:pt idx="18">
                  <c:v>862.52285611781372</c:v>
                </c:pt>
                <c:pt idx="19">
                  <c:v>1078.7102303550039</c:v>
                </c:pt>
                <c:pt idx="20">
                  <c:v>1370.986595699324</c:v>
                </c:pt>
                <c:pt idx="21">
                  <c:v>1527.106922435652</c:v>
                </c:pt>
                <c:pt idx="22">
                  <c:v>1578.099029600731</c:v>
                </c:pt>
                <c:pt idx="23">
                  <c:v>1615.08100814761</c:v>
                </c:pt>
                <c:pt idx="24">
                  <c:v>1648.3557893788161</c:v>
                </c:pt>
                <c:pt idx="25">
                  <c:v>1655.276665181922</c:v>
                </c:pt>
                <c:pt idx="26">
                  <c:v>1655.276665181922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</c:v>
                </c:pt>
                <c:pt idx="30">
                  <c:v>1659.5238301567299</c:v>
                </c:pt>
                <c:pt idx="31">
                  <c:v>1659.7386559996121</c:v>
                </c:pt>
                <c:pt idx="32">
                  <c:v>1662.322372218053</c:v>
                </c:pt>
                <c:pt idx="33">
                  <c:v>1665.0222105137279</c:v>
                </c:pt>
                <c:pt idx="34">
                  <c:v>1668.5697399732051</c:v>
                </c:pt>
                <c:pt idx="35">
                  <c:v>1669.7309607455379</c:v>
                </c:pt>
                <c:pt idx="36">
                  <c:v>1670.540912234241</c:v>
                </c:pt>
                <c:pt idx="37">
                  <c:v>1674.4600323408649</c:v>
                </c:pt>
                <c:pt idx="38">
                  <c:v>1674.419389613834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'[1]Pops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9</xdr:row>
      <xdr:rowOff>157162</xdr:rowOff>
    </xdr:from>
    <xdr:to>
      <xdr:col>8</xdr:col>
      <xdr:colOff>581025</xdr:colOff>
      <xdr:row>24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142875</xdr:rowOff>
    </xdr:from>
    <xdr:to>
      <xdr:col>10</xdr:col>
      <xdr:colOff>66675</xdr:colOff>
      <xdr:row>24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11</xdr:row>
      <xdr:rowOff>147637</xdr:rowOff>
    </xdr:from>
    <xdr:to>
      <xdr:col>10</xdr:col>
      <xdr:colOff>600075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332.94152791430741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</v>
          </cell>
          <cell r="I13">
            <v>1204.6383702797691</v>
          </cell>
          <cell r="N13"/>
        </row>
        <row r="14">
          <cell r="A14">
            <v>12</v>
          </cell>
          <cell r="D14">
            <v>1189.0245107105341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1711.175627575607</v>
          </cell>
          <cell r="I16">
            <v>1597.600246119976</v>
          </cell>
          <cell r="N16"/>
        </row>
        <row r="17">
          <cell r="A17">
            <v>15</v>
          </cell>
          <cell r="D17">
            <v>1833.9226968144569</v>
          </cell>
          <cell r="I17">
            <v>1628.501585972798</v>
          </cell>
          <cell r="N17"/>
          <cell r="R17">
            <v>674</v>
          </cell>
        </row>
        <row r="18">
          <cell r="A18">
            <v>16</v>
          </cell>
          <cell r="D18">
            <v>1898.615462708497</v>
          </cell>
          <cell r="I18">
            <v>1671.4499274901659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</v>
          </cell>
          <cell r="I19">
            <v>1712.619189658046</v>
          </cell>
          <cell r="N19">
            <v>402.99876598628367</v>
          </cell>
          <cell r="R19">
            <v>947</v>
          </cell>
        </row>
        <row r="20">
          <cell r="A20">
            <v>18</v>
          </cell>
          <cell r="D20">
            <v>2006.9855187693011</v>
          </cell>
          <cell r="I20">
            <v>1737.210814816154</v>
          </cell>
          <cell r="N20">
            <v>496.08802920036948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1763.6433154985959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2087.94062120537</v>
          </cell>
          <cell r="I22">
            <v>1785.3760544625541</v>
          </cell>
          <cell r="N22">
            <v>1078.7102303550039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</v>
          </cell>
          <cell r="N23">
            <v>1370.986595699324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1817.724725778854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</v>
          </cell>
          <cell r="I25">
            <v>1818.6158916687259</v>
          </cell>
          <cell r="N25">
            <v>1578.099029600731</v>
          </cell>
          <cell r="R25">
            <v>1588</v>
          </cell>
        </row>
        <row r="26">
          <cell r="A26">
            <v>24</v>
          </cell>
          <cell r="D26">
            <v>2161.676869795047</v>
          </cell>
          <cell r="I26">
            <v>1838.9143088902249</v>
          </cell>
          <cell r="N26">
            <v>1615.08100814761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1857.21573393515</v>
          </cell>
          <cell r="N27">
            <v>1648.3557893788161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1655.276665181922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1848.9480562269209</v>
          </cell>
          <cell r="N29">
            <v>1655.276665181922</v>
          </cell>
          <cell r="R29">
            <v>1663</v>
          </cell>
        </row>
        <row r="30">
          <cell r="A30">
            <v>28</v>
          </cell>
          <cell r="D30">
            <v>2207.133267925004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2232.4808146415498</v>
          </cell>
          <cell r="I31">
            <v>1859.4403962295739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1859.3883573454939</v>
          </cell>
          <cell r="N32">
            <v>1658.705169512235</v>
          </cell>
          <cell r="R32">
            <v>1693</v>
          </cell>
        </row>
        <row r="33">
          <cell r="A33">
            <v>31</v>
          </cell>
          <cell r="D33">
            <v>2274.526939724788</v>
          </cell>
          <cell r="I33">
            <v>1863.0180695100819</v>
          </cell>
          <cell r="N33">
            <v>1659.5238301567299</v>
          </cell>
          <cell r="R33">
            <v>1703</v>
          </cell>
        </row>
        <row r="34">
          <cell r="A34">
            <v>32</v>
          </cell>
          <cell r="D34">
            <v>2282.9938245304338</v>
          </cell>
          <cell r="I34">
            <v>1868.7195797471099</v>
          </cell>
          <cell r="N34">
            <v>1659.7386559996121</v>
          </cell>
          <cell r="R34">
            <v>1713</v>
          </cell>
        </row>
        <row r="35">
          <cell r="A35">
            <v>33</v>
          </cell>
          <cell r="D35">
            <v>2292.6139051160608</v>
          </cell>
          <cell r="I35">
            <v>1872.115116933337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1665.0222105137279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1874.915459382898</v>
          </cell>
          <cell r="N37">
            <v>1668.5697399732051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1669.7309607455379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1879.2249294707819</v>
          </cell>
          <cell r="N39">
            <v>1670.540912234241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1674.4600323408649</v>
          </cell>
          <cell r="R40">
            <v>1773</v>
          </cell>
        </row>
        <row r="41">
          <cell r="A41">
            <v>39</v>
          </cell>
          <cell r="D41">
            <v>2310.920888123253</v>
          </cell>
          <cell r="I41">
            <v>1885.7297899807961</v>
          </cell>
          <cell r="N41">
            <v>1674.419389613834</v>
          </cell>
          <cell r="R41">
            <v>1784</v>
          </cell>
        </row>
        <row r="42">
          <cell r="A42">
            <v>40</v>
          </cell>
          <cell r="D42">
            <v>2317.8286825816231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2321.4248325797198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1888.2113942653671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2327.6270533042871</v>
          </cell>
          <cell r="I47">
            <v>1891.847611290465</v>
          </cell>
        </row>
        <row r="48">
          <cell r="A48">
            <v>46</v>
          </cell>
          <cell r="D48">
            <v>2330.301405359834</v>
          </cell>
          <cell r="I48">
            <v>1891.847611290465</v>
          </cell>
        </row>
        <row r="49">
          <cell r="A49">
            <v>47</v>
          </cell>
          <cell r="D49">
            <v>2335.9346150087522</v>
          </cell>
          <cell r="I49">
            <v>1892.9371754258921</v>
          </cell>
        </row>
        <row r="50">
          <cell r="A50">
            <v>48</v>
          </cell>
          <cell r="D50">
            <v>2336.6743294070939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2344.36735914986</v>
          </cell>
          <cell r="I52">
            <v>1896.20261540192</v>
          </cell>
        </row>
        <row r="53">
          <cell r="A53">
            <v>51</v>
          </cell>
          <cell r="D53">
            <v>2347.4172585153342</v>
          </cell>
          <cell r="I53">
            <v>1896.20261540192</v>
          </cell>
        </row>
        <row r="54">
          <cell r="A54">
            <v>52</v>
          </cell>
          <cell r="D54">
            <v>2352.0603888926239</v>
          </cell>
          <cell r="I54">
            <v>1898.134558973393</v>
          </cell>
        </row>
        <row r="55">
          <cell r="A55">
            <v>53</v>
          </cell>
          <cell r="D55">
            <v>2352.0603888926239</v>
          </cell>
          <cell r="I55">
            <v>1898.739511000824</v>
          </cell>
        </row>
        <row r="56">
          <cell r="A56">
            <v>54</v>
          </cell>
          <cell r="D56">
            <v>2353.517057246283</v>
          </cell>
          <cell r="I56">
            <v>1900.144560870988</v>
          </cell>
        </row>
        <row r="57">
          <cell r="A57">
            <v>55</v>
          </cell>
          <cell r="D57">
            <v>2357.594969955097</v>
          </cell>
          <cell r="I57">
            <v>1900.144560870988</v>
          </cell>
        </row>
        <row r="58">
          <cell r="A58">
            <v>56</v>
          </cell>
          <cell r="D58">
            <v>2359.3475240680941</v>
          </cell>
          <cell r="I58">
            <v>1900.144560870988</v>
          </cell>
        </row>
        <row r="59">
          <cell r="A59">
            <v>57</v>
          </cell>
          <cell r="D59">
            <v>2360.2238011245918</v>
          </cell>
          <cell r="I59">
            <v>1900.144560870988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1902.0797568727171</v>
          </cell>
        </row>
        <row r="62">
          <cell r="A62">
            <v>60</v>
          </cell>
          <cell r="I62">
            <v>1902.444029061277</v>
          </cell>
        </row>
        <row r="63">
          <cell r="A63">
            <v>61</v>
          </cell>
          <cell r="I63">
            <v>1902.444029061277</v>
          </cell>
        </row>
        <row r="64">
          <cell r="A64">
            <v>62</v>
          </cell>
          <cell r="I64">
            <v>1902.444029061277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W136"/>
  <sheetViews>
    <sheetView tabSelected="1" workbookViewId="0">
      <pane xSplit="8" ySplit="5" topLeftCell="V23" activePane="bottomRight" state="frozen"/>
      <selection pane="bottomRight" activeCell="D5" sqref="D5:F5"/>
      <selection pane="bottomLeft"/>
      <selection pane="topRight"/>
    </sheetView>
  </sheetViews>
  <sheetFormatPr defaultRowHeight="15" customHeight="1"/>
  <cols>
    <col min="3" max="3" width="12.7109375" bestFit="1" customWidth="1"/>
    <col min="6" max="6" width="20.140625" customWidth="1"/>
    <col min="7" max="7" width="12.5703125" bestFit="1" customWidth="1"/>
    <col min="8" max="8" width="11" customWidth="1"/>
    <col min="11" max="11" width="9.85546875" customWidth="1"/>
    <col min="12" max="12" width="8.85546875" style="512" customWidth="1"/>
    <col min="15" max="15" width="9.85546875" customWidth="1"/>
    <col min="16" max="16" width="8.140625" customWidth="1"/>
    <col min="18" max="18" width="10.42578125" customWidth="1"/>
    <col min="23" max="23" width="9.42578125" customWidth="1"/>
    <col min="24" max="24" width="10.7109375" customWidth="1"/>
    <col min="25" max="25" width="9.140625" customWidth="1"/>
    <col min="28" max="28" width="9.28515625" customWidth="1"/>
    <col min="29" max="29" width="11.85546875" bestFit="1" customWidth="1"/>
    <col min="37" max="37" width="15.140625" customWidth="1"/>
    <col min="38" max="38" width="16" customWidth="1"/>
  </cols>
  <sheetData>
    <row r="1" spans="1:40" ht="54" customHeight="1">
      <c r="A1" s="560"/>
      <c r="B1" s="560"/>
      <c r="C1" s="560"/>
      <c r="D1" s="560"/>
      <c r="E1" s="2" t="s">
        <v>0</v>
      </c>
      <c r="F1" s="2" t="s">
        <v>1</v>
      </c>
      <c r="G1" s="1"/>
      <c r="H1" s="237" t="s">
        <v>2</v>
      </c>
      <c r="I1" s="535" t="s">
        <v>3</v>
      </c>
      <c r="J1" s="536" t="s">
        <v>4</v>
      </c>
      <c r="K1" s="374" t="s">
        <v>5</v>
      </c>
      <c r="L1" s="507"/>
      <c r="M1" s="506"/>
      <c r="N1" s="506"/>
      <c r="O1" s="1"/>
      <c r="P1" s="1"/>
      <c r="Q1" s="506"/>
      <c r="R1" s="506"/>
      <c r="S1" s="506"/>
      <c r="T1" s="506"/>
      <c r="U1" s="1"/>
      <c r="V1" s="374" t="s">
        <v>6</v>
      </c>
      <c r="W1" s="374"/>
      <c r="X1" s="3" t="s">
        <v>7</v>
      </c>
      <c r="Y1" s="3"/>
      <c r="Z1" s="1"/>
      <c r="AA1" s="532"/>
      <c r="AB1" s="1"/>
      <c r="AC1" s="1"/>
      <c r="AD1" s="1"/>
      <c r="AE1" s="533"/>
      <c r="AF1" s="533"/>
      <c r="AG1" s="533"/>
      <c r="AH1" s="533"/>
      <c r="AI1" s="533"/>
      <c r="AJ1" s="533"/>
    </row>
    <row r="2" spans="1:40">
      <c r="A2" s="560"/>
      <c r="B2" s="560"/>
      <c r="C2" s="560"/>
      <c r="D2" s="560"/>
      <c r="E2" s="1"/>
      <c r="F2" s="1"/>
      <c r="G2" s="1"/>
      <c r="H2" s="1"/>
      <c r="I2" s="535"/>
      <c r="J2" s="536"/>
      <c r="K2" s="5" t="s">
        <v>8</v>
      </c>
      <c r="L2" s="508"/>
      <c r="M2" s="506"/>
      <c r="N2" s="506"/>
      <c r="O2" s="6"/>
      <c r="P2" s="6"/>
      <c r="Q2" s="506"/>
      <c r="R2" s="506"/>
      <c r="S2" s="506"/>
      <c r="T2" s="506"/>
      <c r="U2" s="1"/>
      <c r="V2" s="5" t="s">
        <v>9</v>
      </c>
      <c r="W2" s="5"/>
      <c r="X2" s="7"/>
      <c r="Y2" s="7"/>
      <c r="Z2" s="1"/>
      <c r="AA2" s="532"/>
      <c r="AB2" s="1"/>
      <c r="AC2" s="1"/>
      <c r="AD2" s="1"/>
      <c r="AE2" s="532"/>
      <c r="AF2" s="560"/>
      <c r="AG2" s="560"/>
      <c r="AH2" s="560"/>
      <c r="AI2" s="560"/>
      <c r="AJ2" s="1"/>
    </row>
    <row r="3" spans="1:40">
      <c r="A3" s="560"/>
      <c r="B3" s="560"/>
      <c r="C3" s="560"/>
      <c r="D3" s="560"/>
      <c r="E3" s="1"/>
      <c r="F3" s="1"/>
      <c r="G3" s="8" t="s">
        <v>10</v>
      </c>
      <c r="H3" s="1"/>
      <c r="I3" s="535"/>
      <c r="J3" s="536"/>
      <c r="K3" s="9" t="s">
        <v>11</v>
      </c>
      <c r="L3" s="509"/>
      <c r="M3" s="506"/>
      <c r="N3" s="506"/>
      <c r="O3" s="6"/>
      <c r="P3" s="6"/>
      <c r="Q3" s="506"/>
      <c r="R3" s="506"/>
      <c r="S3" s="506"/>
      <c r="T3" s="506"/>
      <c r="U3" s="1"/>
      <c r="V3" s="9" t="s">
        <v>12</v>
      </c>
      <c r="W3" s="9"/>
      <c r="X3" s="7"/>
      <c r="Y3" s="7"/>
      <c r="Z3" s="1"/>
      <c r="AA3" s="532"/>
      <c r="AB3" s="1"/>
      <c r="AC3" s="1"/>
      <c r="AD3" s="1"/>
      <c r="AE3" s="532"/>
      <c r="AF3" s="560"/>
      <c r="AG3" s="560"/>
      <c r="AH3" s="560"/>
      <c r="AI3" s="560"/>
      <c r="AJ3" s="1"/>
    </row>
    <row r="4" spans="1:40" ht="41.25">
      <c r="A4" s="560"/>
      <c r="B4" s="560"/>
      <c r="C4" s="1"/>
      <c r="D4" s="145" t="s">
        <v>13</v>
      </c>
      <c r="E4" s="145"/>
      <c r="F4" s="144"/>
      <c r="G4" s="10">
        <v>5</v>
      </c>
      <c r="H4" s="1"/>
      <c r="I4" s="537" t="s">
        <v>14</v>
      </c>
      <c r="J4" s="537"/>
      <c r="K4" s="537"/>
      <c r="L4" s="537"/>
      <c r="M4" s="537"/>
      <c r="N4" s="537"/>
      <c r="O4" s="537"/>
      <c r="P4" s="537"/>
      <c r="Q4" s="537"/>
      <c r="R4" s="505"/>
      <c r="S4" s="538" t="s">
        <v>15</v>
      </c>
      <c r="T4" s="538"/>
      <c r="U4" s="538"/>
      <c r="V4" s="538"/>
      <c r="W4" s="538"/>
      <c r="X4" s="538"/>
      <c r="Y4" s="538"/>
      <c r="Z4" s="538"/>
      <c r="AA4" s="538"/>
      <c r="AB4" s="540" t="s">
        <v>16</v>
      </c>
      <c r="AC4" s="540"/>
      <c r="AD4" s="540"/>
      <c r="AE4" s="540"/>
      <c r="AF4" s="538" t="s">
        <v>17</v>
      </c>
      <c r="AG4" s="538"/>
      <c r="AH4" s="538"/>
      <c r="AI4" s="539" t="s">
        <v>18</v>
      </c>
      <c r="AJ4" s="539"/>
      <c r="AK4" s="539"/>
      <c r="AL4" s="338" t="s">
        <v>19</v>
      </c>
      <c r="AM4" s="338" t="s">
        <v>20</v>
      </c>
      <c r="AN4" s="339"/>
    </row>
    <row r="5" spans="1:40" ht="83.25">
      <c r="A5" s="7" t="s">
        <v>21</v>
      </c>
      <c r="B5" s="7" t="s">
        <v>22</v>
      </c>
      <c r="C5" s="11" t="s">
        <v>23</v>
      </c>
      <c r="D5" s="534" t="s">
        <v>24</v>
      </c>
      <c r="E5" s="534"/>
      <c r="F5" s="534"/>
      <c r="G5" s="188" t="s">
        <v>25</v>
      </c>
      <c r="H5" s="188" t="s">
        <v>26</v>
      </c>
      <c r="I5" s="189" t="s">
        <v>27</v>
      </c>
      <c r="J5" s="190" t="s">
        <v>28</v>
      </c>
      <c r="K5" s="187" t="s">
        <v>29</v>
      </c>
      <c r="L5" s="189" t="s">
        <v>30</v>
      </c>
      <c r="M5" s="187" t="s">
        <v>31</v>
      </c>
      <c r="N5" s="189" t="s">
        <v>32</v>
      </c>
      <c r="O5" s="189" t="s">
        <v>33</v>
      </c>
      <c r="P5" s="189" t="s">
        <v>34</v>
      </c>
      <c r="Q5" s="189" t="s">
        <v>35</v>
      </c>
      <c r="R5" s="189" t="s">
        <v>36</v>
      </c>
      <c r="S5" s="187" t="s">
        <v>37</v>
      </c>
      <c r="T5" s="189" t="s">
        <v>38</v>
      </c>
      <c r="U5" s="189" t="s">
        <v>39</v>
      </c>
      <c r="V5" s="189" t="s">
        <v>40</v>
      </c>
      <c r="W5" s="189" t="s">
        <v>41</v>
      </c>
      <c r="X5" s="189" t="s">
        <v>42</v>
      </c>
      <c r="Y5" s="187" t="s">
        <v>43</v>
      </c>
      <c r="Z5" s="189" t="s">
        <v>44</v>
      </c>
      <c r="AA5" s="189" t="s">
        <v>45</v>
      </c>
      <c r="AB5" s="187" t="s">
        <v>46</v>
      </c>
      <c r="AC5" s="189" t="s">
        <v>42</v>
      </c>
      <c r="AD5" s="187" t="s">
        <v>43</v>
      </c>
      <c r="AE5" s="189" t="s">
        <v>47</v>
      </c>
      <c r="AF5" s="187" t="s">
        <v>48</v>
      </c>
      <c r="AG5" s="189" t="s">
        <v>49</v>
      </c>
      <c r="AH5" s="15" t="s">
        <v>50</v>
      </c>
      <c r="AI5" s="14" t="s">
        <v>51</v>
      </c>
      <c r="AJ5" s="16" t="s">
        <v>52</v>
      </c>
      <c r="AK5" s="266"/>
    </row>
    <row r="6" spans="1:40" s="142" customFormat="1" ht="14.25" customHeight="1">
      <c r="A6" s="142">
        <v>1</v>
      </c>
      <c r="B6" s="142">
        <f>A6-$G$4</f>
        <v>-4</v>
      </c>
      <c r="C6" s="143">
        <v>45901</v>
      </c>
      <c r="D6" s="142" t="s">
        <v>53</v>
      </c>
      <c r="G6" s="143">
        <v>45902.833333333336</v>
      </c>
      <c r="H6" s="142" t="s">
        <v>54</v>
      </c>
      <c r="I6" s="510">
        <v>0.85</v>
      </c>
      <c r="J6" s="521">
        <f>K6/AF6</f>
        <v>0.89093701996927799</v>
      </c>
      <c r="K6" s="36">
        <f>S6+AB6</f>
        <v>1160</v>
      </c>
      <c r="L6" s="38">
        <f>X6+AC6</f>
        <v>137698</v>
      </c>
      <c r="M6" s="31">
        <f>Y6+AD6</f>
        <v>153473</v>
      </c>
      <c r="N6" s="519">
        <f>L6-M6</f>
        <v>-15775</v>
      </c>
      <c r="O6" s="30" t="e">
        <f>IF(P6="Too early",P6,P6/AF6)</f>
        <v>#N/A</v>
      </c>
      <c r="P6" s="37" t="e">
        <f>IF(V6="Too early",V6,V6+AB6)</f>
        <v>#N/A</v>
      </c>
      <c r="Q6" s="38" t="e">
        <f>AC6+V6*AG6</f>
        <v>#N/A</v>
      </c>
      <c r="R6" s="514" t="e">
        <f t="shared" ref="R6:R12" si="0">IF(V6="Too early",V6,Q6-M6)</f>
        <v>#N/A</v>
      </c>
      <c r="S6" s="238">
        <v>1160</v>
      </c>
      <c r="T6" s="380">
        <f>AF6-AB6</f>
        <v>1302</v>
      </c>
      <c r="U6" s="380">
        <f>(AF6-AB6)*I6</f>
        <v>1106.7</v>
      </c>
      <c r="V6" s="202" t="e">
        <f>IF(B6&lt;11,MIN((S6/VLOOKUP(B6,'Sales Pacing'!$A$23:$E$36,2)),T6),"Too early")</f>
        <v>#N/A</v>
      </c>
      <c r="W6" s="379" t="e">
        <f>IF(V6="Too early","Too early",V6/U6)</f>
        <v>#N/A</v>
      </c>
      <c r="X6" s="348">
        <v>137698</v>
      </c>
      <c r="Y6" s="226">
        <v>153473</v>
      </c>
      <c r="Z6" s="194">
        <f>IF(X6&gt;0,X6/Y6,"")</f>
        <v>0.89721319059378524</v>
      </c>
      <c r="AA6" s="30" t="e">
        <f>IF($V6="Too early",V6,V6*AG6/Y6)</f>
        <v>#N/A</v>
      </c>
      <c r="AB6" s="218"/>
      <c r="AC6" s="222"/>
      <c r="AD6" s="226">
        <v>0</v>
      </c>
      <c r="AE6" s="203" t="str">
        <f>IF(AC6&gt;0,AC6/AD6,"")</f>
        <v/>
      </c>
      <c r="AF6" s="229">
        <v>1302</v>
      </c>
      <c r="AG6" s="204">
        <f>X6/S6</f>
        <v>118.70517241379311</v>
      </c>
      <c r="AH6" s="214">
        <v>228</v>
      </c>
      <c r="AI6" s="214">
        <v>295</v>
      </c>
      <c r="AJ6" s="214">
        <v>523</v>
      </c>
      <c r="AK6" s="340">
        <v>137698</v>
      </c>
      <c r="AL6" s="344">
        <f>L6-AK6</f>
        <v>0</v>
      </c>
    </row>
    <row r="7" spans="1:40" s="142" customFormat="1" ht="14.25" customHeight="1">
      <c r="A7" s="142">
        <v>1</v>
      </c>
      <c r="B7" s="142">
        <f t="shared" ref="B7:B70" si="1">A7-$G$4</f>
        <v>-4</v>
      </c>
      <c r="C7" s="143">
        <v>45901</v>
      </c>
      <c r="D7" s="142" t="s">
        <v>53</v>
      </c>
      <c r="G7" s="143">
        <v>45903.833333333336</v>
      </c>
      <c r="H7" s="142" t="s">
        <v>54</v>
      </c>
      <c r="I7" s="510">
        <v>0.85</v>
      </c>
      <c r="J7" s="521">
        <f>K7/AF7</f>
        <v>0.87480798771121349</v>
      </c>
      <c r="K7" s="36">
        <f>S7+AB7</f>
        <v>1139</v>
      </c>
      <c r="L7" s="38">
        <f>X7+AC7</f>
        <v>134386</v>
      </c>
      <c r="M7" s="31">
        <f>Y7+AD7</f>
        <v>153473</v>
      </c>
      <c r="N7" s="519">
        <f>L7-M7</f>
        <v>-19087</v>
      </c>
      <c r="O7" s="30" t="e">
        <f>IF(P7="Too early",P7,P7/AF7)</f>
        <v>#N/A</v>
      </c>
      <c r="P7" s="37" t="e">
        <f t="shared" ref="P7:P70" si="2">IF(V7="Too early",V7,V7+AB7)</f>
        <v>#N/A</v>
      </c>
      <c r="Q7" s="38" t="e">
        <f>AC7+V7*AG7</f>
        <v>#N/A</v>
      </c>
      <c r="R7" s="514" t="e">
        <f t="shared" si="0"/>
        <v>#N/A</v>
      </c>
      <c r="S7" s="238">
        <v>1139</v>
      </c>
      <c r="T7" s="380">
        <f t="shared" ref="T7:T70" si="3">AF7-AB7</f>
        <v>1302</v>
      </c>
      <c r="U7" s="380">
        <f>(AF7-AB7)*I7</f>
        <v>1106.7</v>
      </c>
      <c r="V7" s="202" t="e">
        <f>IF(B7&lt;11,MIN((S7/VLOOKUP(B7,'Sales Pacing'!$A$23:$E$36,2)),T7),"Too early")</f>
        <v>#N/A</v>
      </c>
      <c r="W7" s="379" t="e">
        <f>IF(V7="Too early","Too early",V7/U7)</f>
        <v>#N/A</v>
      </c>
      <c r="X7" s="363">
        <v>134386</v>
      </c>
      <c r="Y7" s="226">
        <v>153473</v>
      </c>
      <c r="Z7" s="233">
        <f t="shared" ref="Z7:Z70" si="4">IF(X7&gt;0,X7/Y7,"")</f>
        <v>0.87563284747154224</v>
      </c>
      <c r="AA7" s="203" t="e">
        <f>IF($V7="Too early",V7,V7*AG7/Y7)</f>
        <v>#N/A</v>
      </c>
      <c r="AB7" s="218"/>
      <c r="AC7" s="222"/>
      <c r="AD7" s="226">
        <v>0</v>
      </c>
      <c r="AE7" s="203" t="str">
        <f t="shared" ref="AE7:AE70" si="5">IF(AC7&gt;0,AC7/AD7,"")</f>
        <v/>
      </c>
      <c r="AF7" s="229">
        <v>1302</v>
      </c>
      <c r="AG7" s="204">
        <f>X7/S7</f>
        <v>117.98595258999121</v>
      </c>
      <c r="AH7" s="214">
        <v>227</v>
      </c>
      <c r="AI7" s="214">
        <v>289</v>
      </c>
      <c r="AJ7" s="214">
        <v>516</v>
      </c>
      <c r="AK7" s="340">
        <v>134386</v>
      </c>
      <c r="AL7" s="344">
        <f>L7-AK7</f>
        <v>0</v>
      </c>
    </row>
    <row r="8" spans="1:40" s="146" customFormat="1" ht="14.25" customHeight="1">
      <c r="A8" s="146">
        <v>1</v>
      </c>
      <c r="B8" s="146">
        <f t="shared" si="1"/>
        <v>-4</v>
      </c>
      <c r="C8" s="147">
        <v>45901</v>
      </c>
      <c r="D8" s="146" t="s">
        <v>55</v>
      </c>
      <c r="G8" s="147">
        <v>45905.833333333336</v>
      </c>
      <c r="H8" s="146" t="s">
        <v>54</v>
      </c>
      <c r="I8" s="510">
        <v>0.85</v>
      </c>
      <c r="J8" s="521">
        <f>K8/AF8</f>
        <v>1.165</v>
      </c>
      <c r="K8" s="148">
        <f>S8+AB8</f>
        <v>699</v>
      </c>
      <c r="L8" s="34">
        <f>X8+AC8</f>
        <v>20005</v>
      </c>
      <c r="M8" s="35">
        <f>Y8+AD8</f>
        <v>15000</v>
      </c>
      <c r="N8" s="531">
        <f>L8-M8</f>
        <v>5005</v>
      </c>
      <c r="O8" s="33" t="e">
        <f>IF(P8="Too early",P8,P8/AF8)</f>
        <v>#N/A</v>
      </c>
      <c r="P8" s="32" t="e">
        <f t="shared" si="2"/>
        <v>#N/A</v>
      </c>
      <c r="Q8" s="34" t="e">
        <f>AC8+V8*AG8</f>
        <v>#N/A</v>
      </c>
      <c r="R8" s="515" t="e">
        <f t="shared" si="0"/>
        <v>#N/A</v>
      </c>
      <c r="S8" s="240">
        <v>699</v>
      </c>
      <c r="T8" s="380">
        <f t="shared" si="3"/>
        <v>600</v>
      </c>
      <c r="U8" s="380">
        <f>(AF8-AB8)*I8</f>
        <v>510</v>
      </c>
      <c r="V8" s="202" t="e">
        <f>IF(B8&lt;11,MIN((S8/VLOOKUP(B8,'Sales Pacing'!$A$23:$E$36,2)),T8),"Too early")</f>
        <v>#N/A</v>
      </c>
      <c r="W8" s="379" t="e">
        <f>IF(V8="Too early","Too early",V8/U8)</f>
        <v>#N/A</v>
      </c>
      <c r="X8" s="349">
        <v>20005</v>
      </c>
      <c r="Y8" s="227">
        <v>15000</v>
      </c>
      <c r="Z8" s="234">
        <f t="shared" si="4"/>
        <v>1.3336666666666666</v>
      </c>
      <c r="AA8" s="206" t="e">
        <f>IF($V8="Too early",V8,V8*AG8/Y8)</f>
        <v>#N/A</v>
      </c>
      <c r="AB8" s="219"/>
      <c r="AC8" s="223"/>
      <c r="AD8" s="227">
        <v>0</v>
      </c>
      <c r="AE8" s="206" t="str">
        <f t="shared" si="5"/>
        <v/>
      </c>
      <c r="AF8" s="230">
        <v>600</v>
      </c>
      <c r="AG8" s="207">
        <f>X8/S8</f>
        <v>28.619456366237483</v>
      </c>
      <c r="AH8" s="215">
        <v>86</v>
      </c>
      <c r="AI8" s="215">
        <v>209</v>
      </c>
      <c r="AJ8" s="215">
        <v>295</v>
      </c>
      <c r="AK8" s="340">
        <v>20005</v>
      </c>
      <c r="AL8" s="344">
        <f>L8-AK8</f>
        <v>0</v>
      </c>
    </row>
    <row r="9" spans="1:40" s="185" customFormat="1" ht="14.25" customHeight="1">
      <c r="A9" s="185">
        <v>2</v>
      </c>
      <c r="B9" s="185">
        <f t="shared" si="1"/>
        <v>-3</v>
      </c>
      <c r="C9" s="186">
        <v>45908</v>
      </c>
      <c r="D9" s="185" t="s">
        <v>56</v>
      </c>
      <c r="G9" s="195"/>
      <c r="H9" s="196"/>
      <c r="I9" s="513"/>
      <c r="J9" s="209" t="e">
        <f>K9/AF9</f>
        <v>#DIV/0!</v>
      </c>
      <c r="K9" s="197">
        <f>S9+AB9</f>
        <v>0</v>
      </c>
      <c r="L9" s="200"/>
      <c r="M9" s="201"/>
      <c r="N9" s="499"/>
      <c r="O9" s="199"/>
      <c r="P9" s="198" t="e">
        <f t="shared" si="2"/>
        <v>#N/A</v>
      </c>
      <c r="Q9" s="200" t="e">
        <f>AC9+V9*AG9</f>
        <v>#N/A</v>
      </c>
      <c r="R9" s="516" t="e">
        <f t="shared" si="0"/>
        <v>#N/A</v>
      </c>
      <c r="S9" s="220"/>
      <c r="T9" s="220">
        <f t="shared" si="3"/>
        <v>0</v>
      </c>
      <c r="U9" s="220">
        <f>(AF9-AB9)*I9</f>
        <v>0</v>
      </c>
      <c r="V9" s="208" t="e">
        <f>IF(B9&lt;11,MIN((S9/VLOOKUP(B9,'Sales Pacing'!$A$23:$E$36,2)),T9),"Too early")</f>
        <v>#N/A</v>
      </c>
      <c r="W9" s="208"/>
      <c r="X9" s="224"/>
      <c r="Y9" s="224"/>
      <c r="Z9" s="235" t="str">
        <f t="shared" si="4"/>
        <v/>
      </c>
      <c r="AA9" s="209"/>
      <c r="AB9" s="220"/>
      <c r="AC9" s="224"/>
      <c r="AD9" s="224"/>
      <c r="AE9" s="209" t="s">
        <v>57</v>
      </c>
      <c r="AF9" s="220"/>
      <c r="AG9" s="210"/>
      <c r="AH9" s="216"/>
      <c r="AI9" s="216"/>
      <c r="AJ9" s="216"/>
      <c r="AK9" s="341"/>
      <c r="AL9" s="345"/>
    </row>
    <row r="10" spans="1:40" s="142" customFormat="1" ht="14.25" customHeight="1">
      <c r="A10" s="142">
        <v>3</v>
      </c>
      <c r="B10" s="142">
        <f t="shared" si="1"/>
        <v>-2</v>
      </c>
      <c r="C10" s="143">
        <v>45915</v>
      </c>
      <c r="D10" s="142" t="s">
        <v>58</v>
      </c>
      <c r="G10" s="143">
        <v>45919.833333333336</v>
      </c>
      <c r="H10" s="142" t="s">
        <v>59</v>
      </c>
      <c r="I10" s="510">
        <v>0.85</v>
      </c>
      <c r="J10" s="522">
        <f>K10/AF10</f>
        <v>0.71069182389937102</v>
      </c>
      <c r="K10" s="306">
        <f>S10+AB10</f>
        <v>1130</v>
      </c>
      <c r="L10" s="38">
        <f>X10+AC10</f>
        <v>75221.600000000006</v>
      </c>
      <c r="M10" s="31">
        <f>Y10+AD10</f>
        <v>100666</v>
      </c>
      <c r="N10" s="519">
        <f>L10-M10</f>
        <v>-25444.399999999994</v>
      </c>
      <c r="O10" s="30" t="e">
        <f>IF(P10="Too early",P10,P10/AF10)</f>
        <v>#N/A</v>
      </c>
      <c r="P10" s="37" t="e">
        <f t="shared" si="2"/>
        <v>#N/A</v>
      </c>
      <c r="Q10" s="38" t="e">
        <f>AC10+V10*AG10</f>
        <v>#N/A</v>
      </c>
      <c r="R10" s="514" t="e">
        <f t="shared" si="0"/>
        <v>#N/A</v>
      </c>
      <c r="S10" s="238">
        <v>515</v>
      </c>
      <c r="T10" s="380">
        <f t="shared" si="3"/>
        <v>975</v>
      </c>
      <c r="U10" s="380">
        <f>(AF10-AB10)*I10</f>
        <v>828.75</v>
      </c>
      <c r="V10" s="202" t="e">
        <f>IF(B10&lt;11,MIN((S10/VLOOKUP(B10,'Sales Pacing'!$A$23:$E$36,2)),T10),"Too early")</f>
        <v>#N/A</v>
      </c>
      <c r="W10" s="379" t="e">
        <f>IF(V10="Too early","Too early",V10/U10)</f>
        <v>#N/A</v>
      </c>
      <c r="X10" s="222">
        <v>29853</v>
      </c>
      <c r="Y10" s="226">
        <v>59333</v>
      </c>
      <c r="Z10" s="233">
        <f t="shared" si="4"/>
        <v>0.50314327608582066</v>
      </c>
      <c r="AA10" s="203" t="e">
        <f>IF($V10="Too early",V10,V10*AG10/Y10)</f>
        <v>#N/A</v>
      </c>
      <c r="AB10" s="218">
        <v>615</v>
      </c>
      <c r="AC10" s="222">
        <v>45368.6</v>
      </c>
      <c r="AD10" s="226">
        <v>41333</v>
      </c>
      <c r="AE10" s="203">
        <f t="shared" si="5"/>
        <v>1.0976362712602521</v>
      </c>
      <c r="AF10" s="229">
        <v>1590</v>
      </c>
      <c r="AG10" s="204">
        <f>X10/S10</f>
        <v>57.966990291262135</v>
      </c>
      <c r="AH10" s="214">
        <v>67</v>
      </c>
      <c r="AI10" s="214">
        <v>416</v>
      </c>
      <c r="AJ10" s="214">
        <v>483</v>
      </c>
      <c r="AK10" s="340">
        <v>71854.600000000006</v>
      </c>
      <c r="AL10" s="344">
        <f>L10-AK10</f>
        <v>3367</v>
      </c>
    </row>
    <row r="11" spans="1:40" s="142" customFormat="1" ht="14.25" customHeight="1">
      <c r="A11" s="142">
        <v>3</v>
      </c>
      <c r="B11" s="142">
        <f t="shared" si="1"/>
        <v>-2</v>
      </c>
      <c r="C11" s="143">
        <v>45915</v>
      </c>
      <c r="D11" s="142" t="s">
        <v>58</v>
      </c>
      <c r="G11" s="143">
        <v>45920.833333333336</v>
      </c>
      <c r="H11" s="142" t="s">
        <v>59</v>
      </c>
      <c r="I11" s="510">
        <v>0.85</v>
      </c>
      <c r="J11" s="522">
        <f>K11/AF11</f>
        <v>0.66918238993710688</v>
      </c>
      <c r="K11" s="306">
        <f>S11+AB11</f>
        <v>1064</v>
      </c>
      <c r="L11" s="38">
        <f>X11+AC11</f>
        <v>73932.3</v>
      </c>
      <c r="M11" s="31">
        <f>Y11+AD11</f>
        <v>100667</v>
      </c>
      <c r="N11" s="519">
        <f>L11-M11</f>
        <v>-26734.699999999997</v>
      </c>
      <c r="O11" s="30" t="e">
        <f>IF(P11="Too early",P11,P11/AF11)</f>
        <v>#N/A</v>
      </c>
      <c r="P11" s="37" t="e">
        <f t="shared" si="2"/>
        <v>#N/A</v>
      </c>
      <c r="Q11" s="38" t="e">
        <f>AC11+V11*AG11</f>
        <v>#N/A</v>
      </c>
      <c r="R11" s="514" t="e">
        <f t="shared" si="0"/>
        <v>#N/A</v>
      </c>
      <c r="S11" s="238">
        <v>550</v>
      </c>
      <c r="T11" s="380">
        <f t="shared" si="3"/>
        <v>1076</v>
      </c>
      <c r="U11" s="380">
        <f>(AF11-AB11)*I11</f>
        <v>914.6</v>
      </c>
      <c r="V11" s="202" t="e">
        <f>IF(B11&lt;11,MIN((S11/VLOOKUP(B11,'Sales Pacing'!$A$23:$E$36,2)),T11),"Too early")</f>
        <v>#N/A</v>
      </c>
      <c r="W11" s="379" t="e">
        <f>IF(V11="Too early","Too early",V11/U11)</f>
        <v>#N/A</v>
      </c>
      <c r="X11" s="222">
        <v>35384</v>
      </c>
      <c r="Y11" s="226">
        <v>59333</v>
      </c>
      <c r="Z11" s="233">
        <f t="shared" si="4"/>
        <v>0.59636290091517363</v>
      </c>
      <c r="AA11" s="203" t="e">
        <f>IF($V11="Too early",V11,V11*AG11/Y11)</f>
        <v>#N/A</v>
      </c>
      <c r="AB11" s="218">
        <v>514</v>
      </c>
      <c r="AC11" s="222">
        <v>38548.300000000003</v>
      </c>
      <c r="AD11" s="226">
        <v>41334</v>
      </c>
      <c r="AE11" s="203">
        <f t="shared" si="5"/>
        <v>0.93260511927226986</v>
      </c>
      <c r="AF11" s="229">
        <v>1590</v>
      </c>
      <c r="AG11" s="204">
        <f>X11/S11</f>
        <v>64.334545454545449</v>
      </c>
      <c r="AH11" s="214">
        <v>78</v>
      </c>
      <c r="AI11" s="214">
        <v>376</v>
      </c>
      <c r="AJ11" s="214">
        <v>454</v>
      </c>
      <c r="AK11" s="340">
        <v>70013.3</v>
      </c>
      <c r="AL11" s="344">
        <f>L11-AK11</f>
        <v>3919</v>
      </c>
    </row>
    <row r="12" spans="1:40" s="146" customFormat="1" ht="14.25" customHeight="1">
      <c r="A12" s="146">
        <v>3</v>
      </c>
      <c r="B12" s="146">
        <f t="shared" si="1"/>
        <v>-2</v>
      </c>
      <c r="C12" s="147">
        <v>45915</v>
      </c>
      <c r="D12" s="146" t="s">
        <v>58</v>
      </c>
      <c r="G12" s="147">
        <v>45921.583333333336</v>
      </c>
      <c r="H12" s="146" t="s">
        <v>59</v>
      </c>
      <c r="I12" s="527">
        <v>0.85</v>
      </c>
      <c r="J12" s="528">
        <f>K12/AF12</f>
        <v>0.63270440251572324</v>
      </c>
      <c r="K12" s="307">
        <f>S12+AB12</f>
        <v>1006</v>
      </c>
      <c r="L12" s="34">
        <f>X12+AC12</f>
        <v>64333.8</v>
      </c>
      <c r="M12" s="35">
        <f>Y12+AD12</f>
        <v>100666</v>
      </c>
      <c r="N12" s="520">
        <f>L12-M12</f>
        <v>-36332.199999999997</v>
      </c>
      <c r="O12" s="33" t="e">
        <f>IF(P12="Too early",P12,P12/AF12)</f>
        <v>#N/A</v>
      </c>
      <c r="P12" s="32" t="e">
        <f t="shared" si="2"/>
        <v>#N/A</v>
      </c>
      <c r="Q12" s="34" t="e">
        <f>AC12+V12*AG12</f>
        <v>#N/A</v>
      </c>
      <c r="R12" s="515" t="e">
        <f t="shared" si="0"/>
        <v>#N/A</v>
      </c>
      <c r="S12" s="240">
        <v>662</v>
      </c>
      <c r="T12" s="395">
        <f t="shared" si="3"/>
        <v>1246</v>
      </c>
      <c r="U12" s="395">
        <f>(AF12-AB12)*I12</f>
        <v>1059.0999999999999</v>
      </c>
      <c r="V12" s="205" t="e">
        <f>IF(B12&lt;11,MIN((S12/VLOOKUP(B12,'Sales Pacing'!$A$23:$E$36,2)),T12),"Too early")</f>
        <v>#N/A</v>
      </c>
      <c r="W12" s="396" t="e">
        <f>IF(V12="Too early","Too early",V12/U12)</f>
        <v>#N/A</v>
      </c>
      <c r="X12" s="223">
        <v>40186</v>
      </c>
      <c r="Y12" s="227">
        <v>59333</v>
      </c>
      <c r="Z12" s="234">
        <f t="shared" si="4"/>
        <v>0.67729593986483072</v>
      </c>
      <c r="AA12" s="206" t="e">
        <f>IF($V12="Too early",V12,V12*AG12/Y12)</f>
        <v>#N/A</v>
      </c>
      <c r="AB12" s="219">
        <v>344</v>
      </c>
      <c r="AC12" s="223">
        <v>24147.8</v>
      </c>
      <c r="AD12" s="227">
        <v>41333</v>
      </c>
      <c r="AE12" s="206">
        <f t="shared" si="5"/>
        <v>0.58422567923934865</v>
      </c>
      <c r="AF12" s="230">
        <v>1590</v>
      </c>
      <c r="AG12" s="207">
        <f>X12/S12</f>
        <v>60.703927492447129</v>
      </c>
      <c r="AH12" s="215">
        <v>74</v>
      </c>
      <c r="AI12" s="215">
        <v>286</v>
      </c>
      <c r="AJ12" s="215">
        <v>360</v>
      </c>
      <c r="AK12" s="342">
        <v>56072.3</v>
      </c>
      <c r="AL12" s="344">
        <f>L12-AK12</f>
        <v>8261.5</v>
      </c>
    </row>
    <row r="13" spans="1:40" s="146" customFormat="1" ht="14.25" customHeight="1">
      <c r="A13" s="146">
        <v>4</v>
      </c>
      <c r="B13" s="146">
        <f t="shared" si="1"/>
        <v>-1</v>
      </c>
      <c r="C13" s="147">
        <v>45922</v>
      </c>
      <c r="D13" s="146" t="s">
        <v>60</v>
      </c>
      <c r="G13" s="147">
        <v>45928.583333333336</v>
      </c>
      <c r="H13" s="146" t="s">
        <v>61</v>
      </c>
      <c r="I13" s="510">
        <v>0.5</v>
      </c>
      <c r="J13" s="523">
        <f>K13/AF13</f>
        <v>0.53993855606758834</v>
      </c>
      <c r="K13" s="148">
        <f>S13+AB13</f>
        <v>703</v>
      </c>
      <c r="L13" s="34">
        <f>X13+AC13</f>
        <v>22183</v>
      </c>
      <c r="M13" s="35">
        <f>Y13+AD13</f>
        <v>19500</v>
      </c>
      <c r="N13" s="531">
        <f>L13-M13</f>
        <v>2683</v>
      </c>
      <c r="O13" s="33" t="e">
        <f>IF(P13="Too early",P13,P13/AF13)</f>
        <v>#N/A</v>
      </c>
      <c r="P13" s="32" t="e">
        <f t="shared" si="2"/>
        <v>#N/A</v>
      </c>
      <c r="Q13" s="34" t="e">
        <f>IF(V13="Too early",V13,AC13+V13*AG13)</f>
        <v>#N/A</v>
      </c>
      <c r="R13" s="514" t="e">
        <f>IF(V13="Too early",V13,Q13-M13)</f>
        <v>#N/A</v>
      </c>
      <c r="S13" s="240">
        <v>507</v>
      </c>
      <c r="T13" s="395">
        <f t="shared" si="3"/>
        <v>1106</v>
      </c>
      <c r="U13" s="395">
        <f>(AF13-AB13)*I13</f>
        <v>553</v>
      </c>
      <c r="V13" s="205" t="e">
        <f>IF(B13&lt;11,MIN((S13/VLOOKUP(B13,'Sales Pacing'!$A$23:$E$36,2)),T13),"Too early")</f>
        <v>#N/A</v>
      </c>
      <c r="W13" s="396" t="e">
        <f>IF(V13="Too early","Too early",V13/U13)</f>
        <v>#N/A</v>
      </c>
      <c r="X13" s="223">
        <v>16966</v>
      </c>
      <c r="Y13" s="227">
        <v>10000</v>
      </c>
      <c r="Z13" s="234">
        <f t="shared" si="4"/>
        <v>1.6966000000000001</v>
      </c>
      <c r="AA13" s="206" t="e">
        <f>IF($V13="Too early",V13,V13*AG13/Y13)</f>
        <v>#N/A</v>
      </c>
      <c r="AB13" s="219">
        <v>196</v>
      </c>
      <c r="AC13" s="223">
        <v>5217</v>
      </c>
      <c r="AD13" s="227">
        <v>9500</v>
      </c>
      <c r="AE13" s="206">
        <f t="shared" si="5"/>
        <v>0.54915789473684207</v>
      </c>
      <c r="AF13" s="230">
        <v>1302</v>
      </c>
      <c r="AG13" s="207">
        <f>X13/S13</f>
        <v>33.463510848126234</v>
      </c>
      <c r="AH13" s="215">
        <v>21</v>
      </c>
      <c r="AI13" s="215">
        <v>104</v>
      </c>
      <c r="AJ13" s="215">
        <v>125</v>
      </c>
      <c r="AK13" s="342">
        <v>12684</v>
      </c>
      <c r="AL13" s="344">
        <f>L13-AK13</f>
        <v>9499</v>
      </c>
    </row>
    <row r="14" spans="1:40" s="146" customFormat="1" ht="14.25" customHeight="1">
      <c r="A14" s="146">
        <v>5</v>
      </c>
      <c r="B14" s="146">
        <f t="shared" si="1"/>
        <v>0</v>
      </c>
      <c r="C14" s="147">
        <v>45929</v>
      </c>
      <c r="D14" s="185" t="s">
        <v>62</v>
      </c>
      <c r="E14" s="185"/>
      <c r="F14" s="185"/>
      <c r="G14" s="195"/>
      <c r="H14" s="196"/>
      <c r="I14" s="513"/>
      <c r="J14" s="209" t="e">
        <f>K14/AF14</f>
        <v>#DIV/0!</v>
      </c>
      <c r="K14" s="197"/>
      <c r="L14" s="200"/>
      <c r="M14" s="201"/>
      <c r="N14" s="501"/>
      <c r="O14" s="199"/>
      <c r="P14" s="198"/>
      <c r="Q14" s="200">
        <f>IF(V14="Too early",V14,AC14+V14*AG14)</f>
        <v>0</v>
      </c>
      <c r="R14" s="518">
        <f t="shared" ref="R14:R77" si="6">IF(V14="Too early",V14,Q14-M14)</f>
        <v>0</v>
      </c>
      <c r="S14" s="220"/>
      <c r="T14" s="220">
        <f t="shared" si="3"/>
        <v>0</v>
      </c>
      <c r="U14" s="497">
        <f>(AF14-AB14)*I14</f>
        <v>0</v>
      </c>
      <c r="V14" s="208">
        <f>IF(B14&lt;11,MIN((S14/VLOOKUP(B14,'Sales Pacing'!$A$23:$E$36,2)),T14),"Too early")</f>
        <v>0</v>
      </c>
      <c r="W14" s="208"/>
      <c r="X14" s="224"/>
      <c r="Y14" s="224"/>
      <c r="Z14" s="235"/>
      <c r="AA14" s="209"/>
      <c r="AB14" s="220"/>
      <c r="AC14" s="224"/>
      <c r="AD14" s="224"/>
      <c r="AE14" s="209"/>
      <c r="AF14" s="220"/>
      <c r="AG14" s="210"/>
      <c r="AH14" s="216"/>
      <c r="AI14" s="216"/>
      <c r="AJ14" s="216"/>
      <c r="AK14" s="342"/>
      <c r="AL14" s="344"/>
    </row>
    <row r="15" spans="1:40" s="142" customFormat="1" ht="14.25" customHeight="1">
      <c r="A15" s="142">
        <v>6</v>
      </c>
      <c r="B15" s="142">
        <f t="shared" si="1"/>
        <v>1</v>
      </c>
      <c r="C15" s="143">
        <v>45936</v>
      </c>
      <c r="D15" s="142" t="s">
        <v>63</v>
      </c>
      <c r="G15" s="143">
        <v>45940.833333333336</v>
      </c>
      <c r="H15" s="142" t="s">
        <v>64</v>
      </c>
      <c r="I15" s="510">
        <v>0.85</v>
      </c>
      <c r="J15" s="203">
        <f>K15/AF15</f>
        <v>0.58269364968597348</v>
      </c>
      <c r="K15" s="36">
        <f>S15+AB15</f>
        <v>835</v>
      </c>
      <c r="L15" s="38">
        <f>X15+AC15</f>
        <v>50877</v>
      </c>
      <c r="M15" s="31">
        <f>Y15+AD15</f>
        <v>49999</v>
      </c>
      <c r="N15" s="498">
        <f>L15-M15</f>
        <v>878</v>
      </c>
      <c r="O15" s="30">
        <f>IF(P15="Too early",P15,P15/AF15)</f>
        <v>0.74078323299466575</v>
      </c>
      <c r="P15" s="37">
        <f t="shared" si="2"/>
        <v>1061.542372881356</v>
      </c>
      <c r="Q15" s="38">
        <f>IF(V15="Too early",V15,AC15+V15*AG15)</f>
        <v>62630.796610169491</v>
      </c>
      <c r="R15" s="514">
        <f t="shared" si="6"/>
        <v>12631.796610169491</v>
      </c>
      <c r="S15" s="218">
        <v>326</v>
      </c>
      <c r="T15" s="229">
        <f t="shared" si="3"/>
        <v>924</v>
      </c>
      <c r="U15" s="380">
        <f>(AF15-AB15)*I15</f>
        <v>785.4</v>
      </c>
      <c r="V15" s="202">
        <f>IF(B15&lt;11,MIN((S15/VLOOKUP(B15,'Sales Pacing'!$A$23:$E$36,2)),T15),"Too early")</f>
        <v>552.54237288135596</v>
      </c>
      <c r="W15" s="379">
        <f>IF(V15="Too early","Too early",V15/U15)</f>
        <v>0.7035171541652101</v>
      </c>
      <c r="X15" s="222">
        <v>16914</v>
      </c>
      <c r="Y15" s="226">
        <v>16666</v>
      </c>
      <c r="Z15" s="233">
        <f t="shared" si="4"/>
        <v>1.0148805952238089</v>
      </c>
      <c r="AA15" s="203">
        <f>IF($V15="Too early",V15,V15*AG15/Y15)</f>
        <v>1.7201366020742526</v>
      </c>
      <c r="AB15" s="218">
        <v>509</v>
      </c>
      <c r="AC15" s="222">
        <v>33963</v>
      </c>
      <c r="AD15" s="226">
        <v>33333</v>
      </c>
      <c r="AE15" s="203">
        <f t="shared" si="5"/>
        <v>1.0189001890018901</v>
      </c>
      <c r="AF15" s="229">
        <v>1433</v>
      </c>
      <c r="AG15" s="204">
        <f>X15/S15</f>
        <v>51.883435582822088</v>
      </c>
      <c r="AH15" s="214">
        <v>13</v>
      </c>
      <c r="AI15" s="214">
        <v>370</v>
      </c>
      <c r="AJ15" s="214">
        <v>383</v>
      </c>
      <c r="AK15" s="340">
        <v>47640</v>
      </c>
      <c r="AL15" s="344">
        <f>L15-AK15</f>
        <v>3237</v>
      </c>
    </row>
    <row r="16" spans="1:40" s="142" customFormat="1" ht="14.25" customHeight="1">
      <c r="A16" s="142">
        <v>6</v>
      </c>
      <c r="B16" s="142">
        <f t="shared" si="1"/>
        <v>1</v>
      </c>
      <c r="C16" s="143">
        <v>45936</v>
      </c>
      <c r="D16" s="142" t="s">
        <v>63</v>
      </c>
      <c r="G16" s="143">
        <v>45941.833333333336</v>
      </c>
      <c r="H16" s="142" t="s">
        <v>64</v>
      </c>
      <c r="I16" s="510">
        <v>0.85</v>
      </c>
      <c r="J16" s="203">
        <f>K16/AF16</f>
        <v>0.64549895324494067</v>
      </c>
      <c r="K16" s="36">
        <f>S16+AB16</f>
        <v>925</v>
      </c>
      <c r="L16" s="38">
        <f>X16+AC16</f>
        <v>58900.1</v>
      </c>
      <c r="M16" s="31">
        <f>Y16+AD16</f>
        <v>49999</v>
      </c>
      <c r="N16" s="498">
        <f>L16-M16</f>
        <v>8901.0999999999985</v>
      </c>
      <c r="O16" s="30">
        <f>IF(P16="Too early",P16,P16/AF16)</f>
        <v>0.81765172034489708</v>
      </c>
      <c r="P16" s="37">
        <f t="shared" si="2"/>
        <v>1171.6949152542375</v>
      </c>
      <c r="Q16" s="38">
        <f>IF(V16="Too early",V16,AC16+V16*AG16)</f>
        <v>73004.100000000006</v>
      </c>
      <c r="R16" s="514">
        <f t="shared" si="6"/>
        <v>23005.100000000006</v>
      </c>
      <c r="S16" s="218">
        <v>355</v>
      </c>
      <c r="T16" s="229">
        <f t="shared" si="3"/>
        <v>863</v>
      </c>
      <c r="U16" s="380">
        <f>(AF16-AB16)*I16</f>
        <v>733.55</v>
      </c>
      <c r="V16" s="202">
        <f>IF(B16&lt;11,MIN((S16/VLOOKUP(B16,'Sales Pacing'!$A$23:$E$36,2)),T16),"Too early")</f>
        <v>601.69491525423734</v>
      </c>
      <c r="W16" s="379">
        <f>IF(V16="Too early","Too early",V16/U16)</f>
        <v>0.82025071945230366</v>
      </c>
      <c r="X16" s="222">
        <v>20296</v>
      </c>
      <c r="Y16" s="226">
        <v>16666</v>
      </c>
      <c r="Z16" s="233">
        <f t="shared" si="4"/>
        <v>1.217808712348494</v>
      </c>
      <c r="AA16" s="203">
        <f>IF($V16="Too early",V16,V16*AG16/Y16)</f>
        <v>2.0640825633025321</v>
      </c>
      <c r="AB16" s="218">
        <v>570</v>
      </c>
      <c r="AC16" s="222">
        <v>38604.1</v>
      </c>
      <c r="AD16" s="226">
        <v>33333</v>
      </c>
      <c r="AE16" s="203">
        <f t="shared" si="5"/>
        <v>1.1581345813458135</v>
      </c>
      <c r="AF16" s="229">
        <v>1433</v>
      </c>
      <c r="AG16" s="204">
        <f>X16/S16</f>
        <v>57.171830985915491</v>
      </c>
      <c r="AH16" s="214">
        <v>21</v>
      </c>
      <c r="AI16" s="214">
        <v>386</v>
      </c>
      <c r="AJ16" s="214">
        <v>407</v>
      </c>
      <c r="AK16" s="340">
        <v>55614.1</v>
      </c>
      <c r="AL16" s="344">
        <f>L16-AK16</f>
        <v>3286</v>
      </c>
    </row>
    <row r="17" spans="1:38" s="146" customFormat="1" ht="14.25" customHeight="1">
      <c r="A17" s="146">
        <v>6</v>
      </c>
      <c r="B17" s="146">
        <f t="shared" si="1"/>
        <v>1</v>
      </c>
      <c r="C17" s="147">
        <v>45936</v>
      </c>
      <c r="D17" s="146" t="s">
        <v>63</v>
      </c>
      <c r="G17" s="147">
        <v>45942.583333333336</v>
      </c>
      <c r="H17" s="146" t="s">
        <v>64</v>
      </c>
      <c r="I17" s="527">
        <v>0.85</v>
      </c>
      <c r="J17" s="206">
        <f>K17/AF17</f>
        <v>0.71807397069085832</v>
      </c>
      <c r="K17" s="148">
        <f>S17+AB17</f>
        <v>1029</v>
      </c>
      <c r="L17" s="34">
        <f>X17+AC17</f>
        <v>63564.6</v>
      </c>
      <c r="M17" s="35">
        <f>Y17+AD17</f>
        <v>50000</v>
      </c>
      <c r="N17" s="500">
        <f>L17-M17</f>
        <v>13564.599999999999</v>
      </c>
      <c r="O17" s="33">
        <f>IF(P17="Too early",P17,P17/AF17)</f>
        <v>0.92659704069925619</v>
      </c>
      <c r="P17" s="32">
        <f t="shared" si="2"/>
        <v>1327.8135593220341</v>
      </c>
      <c r="Q17" s="34">
        <f>IF(V17="Too early",V17,AC17+V17*AG17)</f>
        <v>80868.684745762701</v>
      </c>
      <c r="R17" s="515">
        <f t="shared" si="6"/>
        <v>30868.684745762701</v>
      </c>
      <c r="S17" s="219">
        <v>430</v>
      </c>
      <c r="T17" s="230">
        <f t="shared" si="3"/>
        <v>834</v>
      </c>
      <c r="U17" s="395">
        <f>(AF17-AB17)*I17</f>
        <v>708.9</v>
      </c>
      <c r="V17" s="205">
        <f>IF(B17&lt;11,MIN((S17/VLOOKUP(B17,'Sales Pacing'!$A$23:$E$36,2)),T17),"Too early")</f>
        <v>728.81355932203394</v>
      </c>
      <c r="W17" s="396">
        <f>IF(V17="Too early","Too early",V17/U17)</f>
        <v>1.0280907875892706</v>
      </c>
      <c r="X17" s="223">
        <v>24901</v>
      </c>
      <c r="Y17" s="227">
        <v>16666</v>
      </c>
      <c r="Z17" s="234">
        <f t="shared" si="4"/>
        <v>1.4941197647905917</v>
      </c>
      <c r="AA17" s="206">
        <f>IF($V17="Too early",V17,V17*AG17/Y17)</f>
        <v>2.5324063810010027</v>
      </c>
      <c r="AB17" s="219">
        <v>599</v>
      </c>
      <c r="AC17" s="223">
        <v>38663.599999999999</v>
      </c>
      <c r="AD17" s="227">
        <v>33334</v>
      </c>
      <c r="AE17" s="206">
        <f t="shared" si="5"/>
        <v>1.1598848023039539</v>
      </c>
      <c r="AF17" s="230">
        <v>1433</v>
      </c>
      <c r="AG17" s="207">
        <f>X17/S17</f>
        <v>57.909302325581393</v>
      </c>
      <c r="AH17" s="215">
        <v>17</v>
      </c>
      <c r="AI17" s="215">
        <v>455</v>
      </c>
      <c r="AJ17" s="215">
        <v>472</v>
      </c>
      <c r="AK17" s="342">
        <v>57932.6</v>
      </c>
      <c r="AL17" s="344">
        <f>L17-AK17</f>
        <v>5632</v>
      </c>
    </row>
    <row r="18" spans="1:38" s="142" customFormat="1" ht="14.25" customHeight="1">
      <c r="A18" s="142">
        <v>7</v>
      </c>
      <c r="B18" s="142">
        <f t="shared" si="1"/>
        <v>2</v>
      </c>
      <c r="C18" s="143">
        <v>45943</v>
      </c>
      <c r="D18" s="142" t="s">
        <v>65</v>
      </c>
      <c r="G18" s="143">
        <v>45947.791666666664</v>
      </c>
      <c r="H18" s="142" t="s">
        <v>66</v>
      </c>
      <c r="I18" s="510">
        <v>0.85</v>
      </c>
      <c r="J18" s="203">
        <f>K18/AF18</f>
        <v>0.65284178187403996</v>
      </c>
      <c r="K18" s="306">
        <f>S18+AB18</f>
        <v>850</v>
      </c>
      <c r="L18" s="38">
        <f>X18+AC18</f>
        <v>63699</v>
      </c>
      <c r="M18" s="31">
        <f>Y18+AD18</f>
        <v>103497</v>
      </c>
      <c r="N18" s="498">
        <f>L18-M18</f>
        <v>-39798</v>
      </c>
      <c r="O18" s="30">
        <f>IF(P18="Too early",P18,P18/AF18)</f>
        <v>1</v>
      </c>
      <c r="P18" s="37">
        <f t="shared" si="2"/>
        <v>1302</v>
      </c>
      <c r="Q18" s="38">
        <f>IF(V18="Too early",V18,AC18+V18*AG18)</f>
        <v>97571.87999999999</v>
      </c>
      <c r="R18" s="514">
        <f t="shared" si="6"/>
        <v>-5925.1200000000099</v>
      </c>
      <c r="S18" s="238">
        <v>850</v>
      </c>
      <c r="T18" s="380">
        <f t="shared" si="3"/>
        <v>1302</v>
      </c>
      <c r="U18" s="380">
        <f>(AF18-AB18)*I18</f>
        <v>1106.7</v>
      </c>
      <c r="V18" s="202">
        <f>IF(B18&lt;11,MIN((S18/VLOOKUP(B18,'Sales Pacing'!$A$23:$E$36,2)),T18),"Too early")</f>
        <v>1302</v>
      </c>
      <c r="W18" s="379">
        <f>IF(V18="Too early","Too early",V18/U18)</f>
        <v>1.1764705882352942</v>
      </c>
      <c r="X18" s="222">
        <v>63699</v>
      </c>
      <c r="Y18" s="226">
        <v>103497</v>
      </c>
      <c r="Z18" s="233">
        <f t="shared" si="4"/>
        <v>0.61546711498884021</v>
      </c>
      <c r="AA18" s="203">
        <f>IF($V18="Too early",V18,V18*AG18/Y18)</f>
        <v>0.94275080437114112</v>
      </c>
      <c r="AB18" s="218"/>
      <c r="AC18" s="222"/>
      <c r="AD18" s="226"/>
      <c r="AE18" s="203" t="str">
        <f t="shared" si="5"/>
        <v/>
      </c>
      <c r="AF18" s="229">
        <v>1302</v>
      </c>
      <c r="AG18" s="204">
        <f>X18/S18</f>
        <v>74.94</v>
      </c>
      <c r="AH18" s="214">
        <v>51</v>
      </c>
      <c r="AI18" s="214">
        <v>179</v>
      </c>
      <c r="AJ18" s="214">
        <v>230</v>
      </c>
      <c r="AK18" s="340">
        <v>48750</v>
      </c>
      <c r="AL18" s="344">
        <f>L18-AK18</f>
        <v>14949</v>
      </c>
    </row>
    <row r="19" spans="1:38" s="142" customFormat="1" ht="14.25" customHeight="1">
      <c r="A19" s="142">
        <v>7</v>
      </c>
      <c r="B19" s="142">
        <f t="shared" si="1"/>
        <v>2</v>
      </c>
      <c r="C19" s="143">
        <v>45943</v>
      </c>
      <c r="D19" s="142" t="s">
        <v>65</v>
      </c>
      <c r="G19" s="143">
        <v>45948.791666666664</v>
      </c>
      <c r="H19" s="142" t="s">
        <v>66</v>
      </c>
      <c r="I19" s="510">
        <v>0.85</v>
      </c>
      <c r="J19" s="203">
        <f>K19/AF19</f>
        <v>0.75729646697388631</v>
      </c>
      <c r="K19" s="306">
        <f>S19+AB19</f>
        <v>986</v>
      </c>
      <c r="L19" s="38">
        <f>X19+AC19</f>
        <v>73005</v>
      </c>
      <c r="M19" s="31">
        <f>Y19+AD19</f>
        <v>103497</v>
      </c>
      <c r="N19" s="498">
        <f>L19-M19</f>
        <v>-30492</v>
      </c>
      <c r="O19" s="30">
        <f>IF(P19="Too early",P19,P19/AF19)</f>
        <v>1</v>
      </c>
      <c r="P19" s="37">
        <f t="shared" si="2"/>
        <v>1302</v>
      </c>
      <c r="Q19" s="38">
        <f>IF(V19="Too early",V19,AC19+V19*AG19)</f>
        <v>96402.139959432054</v>
      </c>
      <c r="R19" s="514">
        <f t="shared" si="6"/>
        <v>-7094.8600405679463</v>
      </c>
      <c r="S19" s="238">
        <v>986</v>
      </c>
      <c r="T19" s="380">
        <f t="shared" si="3"/>
        <v>1302</v>
      </c>
      <c r="U19" s="380">
        <f>(AF19-AB19)*I19</f>
        <v>1106.7</v>
      </c>
      <c r="V19" s="202">
        <f>IF(B19&lt;11,MIN((S19/VLOOKUP(B19,'Sales Pacing'!$A$23:$E$36,2)),T19),"Too early")</f>
        <v>1302</v>
      </c>
      <c r="W19" s="379">
        <f>IF(V19="Too early","Too early",V19/U19)</f>
        <v>1.1764705882352942</v>
      </c>
      <c r="X19" s="222">
        <v>73005</v>
      </c>
      <c r="Y19" s="226">
        <v>103497</v>
      </c>
      <c r="Z19" s="233">
        <f t="shared" si="4"/>
        <v>0.70538276471781791</v>
      </c>
      <c r="AA19" s="203">
        <f>IF($V19="Too early",V19,V19*AG19/Y19)</f>
        <v>0.93144864063143906</v>
      </c>
      <c r="AB19" s="218"/>
      <c r="AC19" s="222"/>
      <c r="AD19" s="226"/>
      <c r="AE19" s="203" t="str">
        <f t="shared" si="5"/>
        <v/>
      </c>
      <c r="AF19" s="229">
        <v>1302</v>
      </c>
      <c r="AG19" s="204">
        <f>X19/S19</f>
        <v>74.041582150101419</v>
      </c>
      <c r="AH19" s="214">
        <v>74</v>
      </c>
      <c r="AI19" s="214">
        <v>184</v>
      </c>
      <c r="AJ19" s="214">
        <v>258</v>
      </c>
      <c r="AK19" s="340">
        <v>60628</v>
      </c>
      <c r="AL19" s="344">
        <f>L19-AK19</f>
        <v>12377</v>
      </c>
    </row>
    <row r="20" spans="1:38" s="146" customFormat="1" ht="14.25" customHeight="1">
      <c r="A20" s="146">
        <v>7</v>
      </c>
      <c r="B20" s="146">
        <f t="shared" si="1"/>
        <v>2</v>
      </c>
      <c r="C20" s="147">
        <v>45943</v>
      </c>
      <c r="D20" s="146" t="s">
        <v>65</v>
      </c>
      <c r="G20" s="147">
        <v>45949.583333333336</v>
      </c>
      <c r="H20" s="146" t="s">
        <v>66</v>
      </c>
      <c r="I20" s="527">
        <v>0.85</v>
      </c>
      <c r="J20" s="206">
        <f>K20/AF20</f>
        <v>0.55913978494623651</v>
      </c>
      <c r="K20" s="307">
        <f>S20+AB20</f>
        <v>728</v>
      </c>
      <c r="L20" s="34">
        <f>X20+AC20</f>
        <v>55135</v>
      </c>
      <c r="M20" s="35">
        <f>Y20+AD20</f>
        <v>103496</v>
      </c>
      <c r="N20" s="500">
        <f>L20-M20</f>
        <v>-48361</v>
      </c>
      <c r="O20" s="33">
        <f>IF(P20="Too early",P20,P20/AF20)</f>
        <v>1</v>
      </c>
      <c r="P20" s="32">
        <f t="shared" si="2"/>
        <v>1302</v>
      </c>
      <c r="Q20" s="34">
        <f>IF(V20="Too early",V20,AC20+V20*AG20)</f>
        <v>98606.826923076937</v>
      </c>
      <c r="R20" s="515">
        <f t="shared" si="6"/>
        <v>-4889.1730769230635</v>
      </c>
      <c r="S20" s="240">
        <v>728</v>
      </c>
      <c r="T20" s="395">
        <f t="shared" si="3"/>
        <v>1302</v>
      </c>
      <c r="U20" s="395">
        <f>(AF20-AB20)*I20</f>
        <v>1106.7</v>
      </c>
      <c r="V20" s="205">
        <f>IF(B20&lt;11,MIN((S20/VLOOKUP(B20,'Sales Pacing'!$A$23:$E$36,2)),T20),"Too early")</f>
        <v>1302</v>
      </c>
      <c r="W20" s="396">
        <f>IF(V20="Too early","Too early",V20/U20)</f>
        <v>1.1764705882352942</v>
      </c>
      <c r="X20" s="223">
        <v>55135</v>
      </c>
      <c r="Y20" s="227">
        <v>103496</v>
      </c>
      <c r="Z20" s="234">
        <f t="shared" si="4"/>
        <v>0.53272590245033624</v>
      </c>
      <c r="AA20" s="206">
        <f>IF($V20="Too early",V20,V20*AG20/Y20)</f>
        <v>0.95275978707463993</v>
      </c>
      <c r="AB20" s="219"/>
      <c r="AC20" s="223"/>
      <c r="AD20" s="227"/>
      <c r="AE20" s="206" t="str">
        <f t="shared" si="5"/>
        <v/>
      </c>
      <c r="AF20" s="230">
        <v>1302</v>
      </c>
      <c r="AG20" s="207">
        <f>X20/S20</f>
        <v>75.734890109890117</v>
      </c>
      <c r="AH20" s="215">
        <v>38</v>
      </c>
      <c r="AI20" s="215">
        <v>149</v>
      </c>
      <c r="AJ20" s="215">
        <v>187</v>
      </c>
      <c r="AK20" s="342">
        <v>44494</v>
      </c>
      <c r="AL20" s="344">
        <f>L20-AK20</f>
        <v>10641</v>
      </c>
    </row>
    <row r="21" spans="1:38" s="142" customFormat="1" ht="14.25" customHeight="1">
      <c r="A21" s="142">
        <v>8</v>
      </c>
      <c r="B21" s="142">
        <f t="shared" si="1"/>
        <v>3</v>
      </c>
      <c r="C21" s="143">
        <v>45950</v>
      </c>
      <c r="D21" s="142" t="s">
        <v>67</v>
      </c>
      <c r="G21" s="143">
        <v>45952.791666666664</v>
      </c>
      <c r="H21" s="142" t="s">
        <v>66</v>
      </c>
      <c r="I21" s="527">
        <v>0.5</v>
      </c>
      <c r="J21" s="206">
        <f>K21/AF21</f>
        <v>0.19662058371735791</v>
      </c>
      <c r="K21" s="36">
        <f>S21+AB21</f>
        <v>256</v>
      </c>
      <c r="L21" s="38">
        <f>X21+AC21</f>
        <v>13747</v>
      </c>
      <c r="M21" s="31">
        <f>Y21+AD21</f>
        <v>50000</v>
      </c>
      <c r="N21" s="498">
        <f>L21-M21</f>
        <v>-36253</v>
      </c>
      <c r="O21" s="524">
        <f>IF(P21="Too early",P21,P21/AF21)</f>
        <v>0.50415534286502028</v>
      </c>
      <c r="P21" s="37">
        <f t="shared" si="2"/>
        <v>656.41025641025635</v>
      </c>
      <c r="Q21" s="38">
        <f>IF(V21="Too early",V21,AC21+V21*AG21)</f>
        <v>35248.717948717946</v>
      </c>
      <c r="R21" s="514">
        <f t="shared" si="6"/>
        <v>-14751.282051282054</v>
      </c>
      <c r="S21" s="218">
        <v>256</v>
      </c>
      <c r="T21" s="230">
        <f t="shared" si="3"/>
        <v>1302</v>
      </c>
      <c r="U21" s="395">
        <f>(AF21-AB21)*I21</f>
        <v>651</v>
      </c>
      <c r="V21" s="202">
        <f>IF(B21&lt;11,MIN((S21/VLOOKUP(B21,'Sales Pacing'!$A$23:$E$36,2)),T21),"Too early")</f>
        <v>656.41025641025635</v>
      </c>
      <c r="W21" s="396">
        <f>IF(V21="Too early","Too early",V21/U21)</f>
        <v>1.0083106857300406</v>
      </c>
      <c r="X21" s="222">
        <v>13747</v>
      </c>
      <c r="Y21" s="226">
        <v>50000</v>
      </c>
      <c r="Z21" s="233">
        <f t="shared" si="4"/>
        <v>0.27494000000000002</v>
      </c>
      <c r="AA21" s="203">
        <f>IF($V21="Too early",V21,V21*AG21/Y21)</f>
        <v>0.70497435897435889</v>
      </c>
      <c r="AB21" s="218"/>
      <c r="AC21" s="222"/>
      <c r="AD21" s="226"/>
      <c r="AE21" s="203" t="str">
        <f t="shared" si="5"/>
        <v/>
      </c>
      <c r="AF21" s="229">
        <v>1302</v>
      </c>
      <c r="AG21" s="204">
        <f>X21/S21</f>
        <v>53.69921875</v>
      </c>
      <c r="AH21" s="214">
        <v>5</v>
      </c>
      <c r="AI21" s="214">
        <v>78</v>
      </c>
      <c r="AJ21" s="214">
        <v>83</v>
      </c>
      <c r="AK21" s="340">
        <v>10588</v>
      </c>
      <c r="AL21" s="344">
        <f>L21-AK21</f>
        <v>3159</v>
      </c>
    </row>
    <row r="22" spans="1:38" s="178" customFormat="1" ht="14.25" customHeight="1">
      <c r="A22" s="178">
        <v>8</v>
      </c>
      <c r="B22" s="178">
        <f t="shared" si="1"/>
        <v>3</v>
      </c>
      <c r="C22" s="179">
        <v>45950</v>
      </c>
      <c r="D22" s="178" t="s">
        <v>68</v>
      </c>
      <c r="G22" s="179">
        <v>45954.833333333336</v>
      </c>
      <c r="H22" s="178" t="s">
        <v>59</v>
      </c>
      <c r="I22" s="510">
        <v>0.85</v>
      </c>
      <c r="J22" s="203">
        <f>K22/AF22</f>
        <v>0.53647798742138364</v>
      </c>
      <c r="K22" s="180">
        <f>S22+AB22</f>
        <v>853</v>
      </c>
      <c r="L22" s="183">
        <f>X22+AC22</f>
        <v>60234.9</v>
      </c>
      <c r="M22" s="184">
        <f>Y22+AD22</f>
        <v>92333</v>
      </c>
      <c r="N22" s="502">
        <f>L22-M22</f>
        <v>-32098.1</v>
      </c>
      <c r="O22" s="182">
        <f>IF(P22="Too early",P22,P22/AF22)</f>
        <v>0.67911627156910181</v>
      </c>
      <c r="P22" s="181">
        <f t="shared" si="2"/>
        <v>1079.7948717948718</v>
      </c>
      <c r="Q22" s="183">
        <f>IF(V22="Too early",V22,AC22+V22*AG22)</f>
        <v>74241.438461538462</v>
      </c>
      <c r="R22" s="517">
        <f t="shared" si="6"/>
        <v>-18091.561538461538</v>
      </c>
      <c r="S22" s="301">
        <v>145</v>
      </c>
      <c r="T22" s="380">
        <f t="shared" si="3"/>
        <v>882</v>
      </c>
      <c r="U22" s="380">
        <f>(AF22-AB22)*I22</f>
        <v>749.69999999999993</v>
      </c>
      <c r="V22" s="211">
        <f>IF(B22&lt;11,MIN((S22/VLOOKUP(B22,'Sales Pacing'!$A$23:$E$36,2)),T22),"Too early")</f>
        <v>371.79487179487177</v>
      </c>
      <c r="W22" s="379">
        <f>IF(V22="Too early","Too early",V22/U22)</f>
        <v>0.49592486567276484</v>
      </c>
      <c r="X22" s="225">
        <v>8955</v>
      </c>
      <c r="Y22" s="228">
        <v>53333</v>
      </c>
      <c r="Z22" s="236">
        <f t="shared" si="4"/>
        <v>0.16790729942062138</v>
      </c>
      <c r="AA22" s="212">
        <f>IF($V22="Too early",V22,V22*AG22/Y22)</f>
        <v>0.43053153697595226</v>
      </c>
      <c r="AB22" s="221">
        <v>708</v>
      </c>
      <c r="AC22" s="225">
        <v>51279.9</v>
      </c>
      <c r="AD22" s="228">
        <v>39000</v>
      </c>
      <c r="AE22" s="212">
        <f t="shared" si="5"/>
        <v>1.3148692307692309</v>
      </c>
      <c r="AF22" s="231">
        <v>1590</v>
      </c>
      <c r="AG22" s="213">
        <f>X22/S22</f>
        <v>61.758620689655174</v>
      </c>
      <c r="AH22" s="217">
        <v>7</v>
      </c>
      <c r="AI22" s="217">
        <v>350</v>
      </c>
      <c r="AJ22" s="217">
        <v>357</v>
      </c>
      <c r="AK22" s="343">
        <v>57609.1</v>
      </c>
      <c r="AL22" s="344">
        <f>L22-AK22</f>
        <v>2625.8000000000029</v>
      </c>
    </row>
    <row r="23" spans="1:38" s="142" customFormat="1" ht="14.25" customHeight="1">
      <c r="A23" s="142">
        <v>8</v>
      </c>
      <c r="B23" s="142">
        <f t="shared" si="1"/>
        <v>3</v>
      </c>
      <c r="C23" s="143">
        <v>45950</v>
      </c>
      <c r="D23" s="142" t="s">
        <v>68</v>
      </c>
      <c r="G23" s="143">
        <v>45955.833333333336</v>
      </c>
      <c r="H23" s="142" t="s">
        <v>59</v>
      </c>
      <c r="I23" s="510">
        <v>0.85</v>
      </c>
      <c r="J23" s="203">
        <f>K23/AF23</f>
        <v>0.51509433962264151</v>
      </c>
      <c r="K23" s="36">
        <f>S23+AB23</f>
        <v>819</v>
      </c>
      <c r="L23" s="38">
        <f>X23+AC23</f>
        <v>56647.8</v>
      </c>
      <c r="M23" s="31">
        <f>Y23+AD23</f>
        <v>92333</v>
      </c>
      <c r="N23" s="498">
        <f>L23-M23</f>
        <v>-35685.199999999997</v>
      </c>
      <c r="O23" s="30">
        <f>IF(P23="Too early",P23,P23/AF23)</f>
        <v>0.7019996774713757</v>
      </c>
      <c r="P23" s="37">
        <f t="shared" si="2"/>
        <v>1116.1794871794873</v>
      </c>
      <c r="Q23" s="38">
        <f>IF(V23="Too early",V23,AC23+V23*AG23)</f>
        <v>74614.646153846159</v>
      </c>
      <c r="R23" s="514">
        <f t="shared" si="6"/>
        <v>-17718.353846153841</v>
      </c>
      <c r="S23" s="238">
        <v>190</v>
      </c>
      <c r="T23" s="380">
        <f t="shared" si="3"/>
        <v>961</v>
      </c>
      <c r="U23" s="380">
        <f>(AF23-AB23)*I23</f>
        <v>816.85</v>
      </c>
      <c r="V23" s="202">
        <f>IF(B23&lt;11,MIN((S23/VLOOKUP(B23,'Sales Pacing'!$A$23:$E$36,2)),T23),"Too early")</f>
        <v>487.17948717948718</v>
      </c>
      <c r="W23" s="379">
        <f>IF(V23="Too early","Too early",V23/U23)</f>
        <v>0.59641242232905323</v>
      </c>
      <c r="X23" s="222">
        <v>11487</v>
      </c>
      <c r="Y23" s="226">
        <v>53333</v>
      </c>
      <c r="Z23" s="233">
        <f t="shared" si="4"/>
        <v>0.21538259614122587</v>
      </c>
      <c r="AA23" s="203">
        <f>IF($V23="Too early",V23,V23*AG23/Y23)</f>
        <v>0.55226306702878436</v>
      </c>
      <c r="AB23" s="218">
        <v>629</v>
      </c>
      <c r="AC23" s="222">
        <v>45160.800000000003</v>
      </c>
      <c r="AD23" s="226">
        <v>39000</v>
      </c>
      <c r="AE23" s="203">
        <f t="shared" si="5"/>
        <v>1.1579692307692309</v>
      </c>
      <c r="AF23" s="229">
        <v>1590</v>
      </c>
      <c r="AG23" s="204">
        <f>X23/S23</f>
        <v>60.457894736842107</v>
      </c>
      <c r="AH23" s="214">
        <v>11</v>
      </c>
      <c r="AI23" s="214">
        <v>320</v>
      </c>
      <c r="AJ23" s="214">
        <v>311</v>
      </c>
      <c r="AK23" s="340">
        <v>52382.8</v>
      </c>
      <c r="AL23" s="344">
        <f>L23-AK23</f>
        <v>4265</v>
      </c>
    </row>
    <row r="24" spans="1:38" s="146" customFormat="1" ht="14.25" customHeight="1">
      <c r="A24" s="146">
        <v>8</v>
      </c>
      <c r="B24" s="146">
        <f t="shared" si="1"/>
        <v>3</v>
      </c>
      <c r="C24" s="147">
        <v>45950</v>
      </c>
      <c r="D24" s="372" t="s">
        <v>68</v>
      </c>
      <c r="G24" s="147">
        <v>45956.583333333336</v>
      </c>
      <c r="H24" s="146" t="s">
        <v>59</v>
      </c>
      <c r="I24" s="527">
        <v>0.85</v>
      </c>
      <c r="J24" s="206">
        <f>K24/AF24</f>
        <v>0.34276729559748426</v>
      </c>
      <c r="K24" s="148">
        <f>S24+AB24</f>
        <v>545</v>
      </c>
      <c r="L24" s="34">
        <f>X24+AC24</f>
        <v>36579.5</v>
      </c>
      <c r="M24" s="35">
        <f>Y24+AD24</f>
        <v>92333</v>
      </c>
      <c r="N24" s="500">
        <f>L24-M24</f>
        <v>-55753.5</v>
      </c>
      <c r="O24" s="33">
        <f>IF(P24="Too early",P24,P24/AF24)</f>
        <v>0.50311240122560885</v>
      </c>
      <c r="P24" s="32">
        <f t="shared" si="2"/>
        <v>799.94871794871801</v>
      </c>
      <c r="Q24" s="34">
        <f>IF(V24="Too early",V24,AC24+V24*AG24)</f>
        <v>53285.679487179485</v>
      </c>
      <c r="R24" s="515">
        <f t="shared" si="6"/>
        <v>-39047.320512820515</v>
      </c>
      <c r="S24" s="240">
        <v>163</v>
      </c>
      <c r="T24" s="395">
        <f t="shared" si="3"/>
        <v>1208</v>
      </c>
      <c r="U24" s="395">
        <f>(AF24-AB24)*I24</f>
        <v>1026.8</v>
      </c>
      <c r="V24" s="205">
        <f>IF(B24&lt;11,MIN((S24/VLOOKUP(B24,'Sales Pacing'!$A$23:$E$36,2)),T24),"Too early")</f>
        <v>417.94871794871796</v>
      </c>
      <c r="W24" s="396">
        <f>IF(V24="Too early","Too early",V24/U24)</f>
        <v>0.40704004474943317</v>
      </c>
      <c r="X24" s="223">
        <v>10681</v>
      </c>
      <c r="Y24" s="227">
        <v>53333</v>
      </c>
      <c r="Z24" s="234">
        <f t="shared" si="4"/>
        <v>0.20027000168751055</v>
      </c>
      <c r="AA24" s="206">
        <f>IF($V24="Too early",V24,V24*AG24/Y24)</f>
        <v>0.51351282483977068</v>
      </c>
      <c r="AB24" s="219">
        <v>382</v>
      </c>
      <c r="AC24" s="223">
        <v>25898.5</v>
      </c>
      <c r="AD24" s="227">
        <v>39000</v>
      </c>
      <c r="AE24" s="206">
        <f t="shared" si="5"/>
        <v>0.66406410256410253</v>
      </c>
      <c r="AF24" s="230">
        <v>1590</v>
      </c>
      <c r="AG24" s="207">
        <f>X24/S24</f>
        <v>65.527607361963192</v>
      </c>
      <c r="AH24" s="215">
        <v>6</v>
      </c>
      <c r="AI24" s="215">
        <v>209</v>
      </c>
      <c r="AJ24" s="215">
        <v>203</v>
      </c>
      <c r="AK24" s="342">
        <v>31818.5</v>
      </c>
      <c r="AL24" s="344">
        <f>L24-AK24</f>
        <v>4761</v>
      </c>
    </row>
    <row r="25" spans="1:38" s="142" customFormat="1" ht="14.25" customHeight="1">
      <c r="A25" s="142">
        <v>9</v>
      </c>
      <c r="B25" s="142">
        <f t="shared" si="1"/>
        <v>4</v>
      </c>
      <c r="C25" s="143">
        <v>45957</v>
      </c>
      <c r="D25" s="142" t="s">
        <v>69</v>
      </c>
      <c r="G25" s="143">
        <v>45959.833333333336</v>
      </c>
      <c r="H25" s="142" t="s">
        <v>70</v>
      </c>
      <c r="I25" s="510">
        <v>0.85</v>
      </c>
      <c r="J25" s="203">
        <f>K25/AF25</f>
        <v>0.28999999999999998</v>
      </c>
      <c r="K25" s="36">
        <f>S25+AB25</f>
        <v>29</v>
      </c>
      <c r="L25" s="38">
        <f>X25+AC25</f>
        <v>3360</v>
      </c>
      <c r="M25" s="31">
        <v>11200</v>
      </c>
      <c r="N25" s="498">
        <f>L25-M25</f>
        <v>-7840</v>
      </c>
      <c r="O25" s="30">
        <f>IF(P25="Too early",P25,P25/AF25)</f>
        <v>0.87878787878787878</v>
      </c>
      <c r="P25" s="37">
        <f t="shared" si="2"/>
        <v>87.878787878787875</v>
      </c>
      <c r="Q25" s="38">
        <f>IF(V25="Too early",V25,AC25+V25*AG25)</f>
        <v>10181.818181818182</v>
      </c>
      <c r="R25" s="514">
        <f t="shared" si="6"/>
        <v>-1018.181818181818</v>
      </c>
      <c r="S25" s="218">
        <v>29</v>
      </c>
      <c r="T25" s="229">
        <f t="shared" si="3"/>
        <v>100</v>
      </c>
      <c r="U25" s="380">
        <f>(AF25-AB25)*I25</f>
        <v>85</v>
      </c>
      <c r="V25" s="202">
        <f>IF(B25&lt;11,MIN((S25/VLOOKUP(B25,'Sales Pacing'!$A$23:$E$36,2)),T25),"Too early")</f>
        <v>87.878787878787875</v>
      </c>
      <c r="W25" s="379">
        <f>IF(V25="Too early","Too early",V25/U25)</f>
        <v>1.0338680926916222</v>
      </c>
      <c r="X25" s="222">
        <v>3360</v>
      </c>
      <c r="Y25" s="226">
        <v>11200</v>
      </c>
      <c r="Z25" s="233">
        <f t="shared" si="4"/>
        <v>0.3</v>
      </c>
      <c r="AA25" s="203">
        <f>IF($V25="Too early",V25,V25*AG25/Y25)</f>
        <v>0.90909090909090906</v>
      </c>
      <c r="AB25" s="218"/>
      <c r="AC25" s="222"/>
      <c r="AD25" s="226"/>
      <c r="AE25" s="203" t="str">
        <f t="shared" si="5"/>
        <v/>
      </c>
      <c r="AF25" s="229">
        <v>100</v>
      </c>
      <c r="AG25" s="204">
        <f>X25/S25</f>
        <v>115.86206896551724</v>
      </c>
      <c r="AH25" s="214">
        <v>0</v>
      </c>
      <c r="AI25" s="214">
        <v>11</v>
      </c>
      <c r="AJ25" s="214">
        <v>11</v>
      </c>
      <c r="AK25" s="340">
        <v>2800</v>
      </c>
      <c r="AL25" s="344">
        <f>L25-AK25</f>
        <v>560</v>
      </c>
    </row>
    <row r="26" spans="1:38" s="142" customFormat="1" ht="14.25" customHeight="1">
      <c r="A26" s="142">
        <v>9</v>
      </c>
      <c r="B26" s="142">
        <f t="shared" si="1"/>
        <v>4</v>
      </c>
      <c r="C26" s="176">
        <v>45957</v>
      </c>
      <c r="D26" s="177" t="s">
        <v>71</v>
      </c>
      <c r="E26" s="177"/>
      <c r="F26" s="177"/>
      <c r="G26" s="176">
        <v>45961.833333333336</v>
      </c>
      <c r="H26" s="177" t="s">
        <v>64</v>
      </c>
      <c r="I26" s="510">
        <v>0.5</v>
      </c>
      <c r="J26" s="203">
        <f>K26/AF26</f>
        <v>0.33914863921842286</v>
      </c>
      <c r="K26" s="36">
        <f>S26+AB26</f>
        <v>486</v>
      </c>
      <c r="L26" s="38">
        <f>X26+AC26</f>
        <v>31409</v>
      </c>
      <c r="M26" s="31">
        <f>Y26+AD26</f>
        <v>52000</v>
      </c>
      <c r="N26" s="498">
        <f>L26-M26</f>
        <v>-20591</v>
      </c>
      <c r="O26" s="524">
        <f>IF(P26="Too early",P26,P26/AF26)</f>
        <v>0.54317071623421931</v>
      </c>
      <c r="P26" s="37">
        <f t="shared" si="2"/>
        <v>778.36363636363626</v>
      </c>
      <c r="Q26" s="38">
        <f>IF(V26="Too early",V26,AC26+V26*AG26)</f>
        <v>46855.545454545456</v>
      </c>
      <c r="R26" s="514">
        <f t="shared" si="6"/>
        <v>-5144.4545454545441</v>
      </c>
      <c r="S26" s="218">
        <v>144</v>
      </c>
      <c r="T26" s="229">
        <f t="shared" si="3"/>
        <v>1091</v>
      </c>
      <c r="U26" s="380">
        <f>(AF26-AB26)*I26</f>
        <v>545.5</v>
      </c>
      <c r="V26" s="202">
        <f>IF(B26&lt;11,MIN((S26/VLOOKUP(B26,'Sales Pacing'!$A$23:$E$36,2)),T26),"Too early")</f>
        <v>436.36363636363632</v>
      </c>
      <c r="W26" s="379">
        <f>IF(V26="Too early","Too early",V26/U26)</f>
        <v>0.79993333888842588</v>
      </c>
      <c r="X26" s="222">
        <v>7608</v>
      </c>
      <c r="Y26" s="226">
        <v>22000</v>
      </c>
      <c r="Z26" s="233">
        <f t="shared" si="4"/>
        <v>0.3458181818181818</v>
      </c>
      <c r="AA26" s="203">
        <f>IF($V26="Too early",V26,V26*AG26/Y26)</f>
        <v>1.0479338842975205</v>
      </c>
      <c r="AB26" s="218">
        <v>342</v>
      </c>
      <c r="AC26" s="222">
        <v>23801</v>
      </c>
      <c r="AD26" s="226">
        <v>30000</v>
      </c>
      <c r="AE26" s="203">
        <f t="shared" si="5"/>
        <v>0.79336666666666666</v>
      </c>
      <c r="AF26" s="229">
        <v>1433</v>
      </c>
      <c r="AG26" s="204">
        <f>X26/S26</f>
        <v>52.833333333333336</v>
      </c>
      <c r="AH26" s="214">
        <v>10</v>
      </c>
      <c r="AI26" s="214">
        <v>222</v>
      </c>
      <c r="AJ26" s="214">
        <v>232</v>
      </c>
      <c r="AK26" s="340">
        <v>30757</v>
      </c>
      <c r="AL26" s="344">
        <f>L26-AK26</f>
        <v>652</v>
      </c>
    </row>
    <row r="27" spans="1:38" s="142" customFormat="1" ht="14.25" customHeight="1">
      <c r="A27" s="142">
        <v>9</v>
      </c>
      <c r="B27" s="142">
        <f t="shared" si="1"/>
        <v>4</v>
      </c>
      <c r="C27" s="143">
        <v>45957</v>
      </c>
      <c r="D27" s="142" t="s">
        <v>71</v>
      </c>
      <c r="G27" s="143">
        <v>45962.833333333336</v>
      </c>
      <c r="H27" s="142" t="s">
        <v>64</v>
      </c>
      <c r="I27" s="510">
        <v>0.85</v>
      </c>
      <c r="J27" s="203">
        <f>K27/AF27</f>
        <v>0.70062805303558973</v>
      </c>
      <c r="K27" s="36">
        <f>S27+AB27</f>
        <v>1004</v>
      </c>
      <c r="L27" s="38">
        <f>X27+AC27</f>
        <v>61737</v>
      </c>
      <c r="M27" s="31">
        <f>Y27+AD27</f>
        <v>86500</v>
      </c>
      <c r="N27" s="498">
        <f>L27-M27</f>
        <v>-24763</v>
      </c>
      <c r="O27" s="30">
        <f>IF(P27="Too early",P27,P27/AF27)</f>
        <v>1</v>
      </c>
      <c r="P27" s="37">
        <f t="shared" si="2"/>
        <v>1433</v>
      </c>
      <c r="Q27" s="38">
        <f>IF(V27="Too early",V27,AC27+V27*AG27)</f>
        <v>86030.32735426008</v>
      </c>
      <c r="R27" s="514">
        <f t="shared" si="6"/>
        <v>-469.67264573991997</v>
      </c>
      <c r="S27" s="218">
        <v>446</v>
      </c>
      <c r="T27" s="229">
        <f t="shared" si="3"/>
        <v>875</v>
      </c>
      <c r="U27" s="380">
        <f>(AF27-AB27)*I27</f>
        <v>743.75</v>
      </c>
      <c r="V27" s="202">
        <f>IF(B27&lt;11,MIN((S27/VLOOKUP(B27,'Sales Pacing'!$A$23:$E$36,2)),T27),"Too early")</f>
        <v>875</v>
      </c>
      <c r="W27" s="379">
        <f>IF(V27="Too early","Too early",V27/U27)</f>
        <v>1.1764705882352942</v>
      </c>
      <c r="X27" s="222">
        <v>25256</v>
      </c>
      <c r="Y27" s="226">
        <v>31500</v>
      </c>
      <c r="Z27" s="233">
        <f t="shared" si="4"/>
        <v>0.80177777777777781</v>
      </c>
      <c r="AA27" s="203">
        <f>IF($V27="Too early",V27,V27*AG27/Y27)</f>
        <v>1.5729945191828598</v>
      </c>
      <c r="AB27" s="218">
        <v>558</v>
      </c>
      <c r="AC27" s="222">
        <v>36481</v>
      </c>
      <c r="AD27" s="226">
        <v>55000</v>
      </c>
      <c r="AE27" s="203">
        <f t="shared" si="5"/>
        <v>0.66329090909090904</v>
      </c>
      <c r="AF27" s="229">
        <v>1433</v>
      </c>
      <c r="AG27" s="204">
        <f>X27/S27</f>
        <v>56.627802690582961</v>
      </c>
      <c r="AH27" s="214">
        <v>26</v>
      </c>
      <c r="AI27" s="214">
        <v>397</v>
      </c>
      <c r="AJ27" s="214">
        <v>423</v>
      </c>
      <c r="AK27" s="340">
        <v>57693</v>
      </c>
      <c r="AL27" s="344">
        <f>L27-AK27</f>
        <v>4044</v>
      </c>
    </row>
    <row r="28" spans="1:38" s="146" customFormat="1" ht="14.25" customHeight="1">
      <c r="A28" s="146">
        <v>9</v>
      </c>
      <c r="B28" s="146">
        <f t="shared" si="1"/>
        <v>4</v>
      </c>
      <c r="C28" s="147">
        <v>45957</v>
      </c>
      <c r="D28" s="146" t="s">
        <v>71</v>
      </c>
      <c r="G28" s="147">
        <v>45963.583333333336</v>
      </c>
      <c r="H28" s="146" t="s">
        <v>64</v>
      </c>
      <c r="I28" s="527">
        <v>0.85</v>
      </c>
      <c r="J28" s="206">
        <f>K28/AF28</f>
        <v>0.6071179344033496</v>
      </c>
      <c r="K28" s="148">
        <f>S28+AB28</f>
        <v>870</v>
      </c>
      <c r="L28" s="34">
        <f>X28+AC28</f>
        <v>54318.1</v>
      </c>
      <c r="M28" s="35">
        <f>Y28+AD28</f>
        <v>86500</v>
      </c>
      <c r="N28" s="500">
        <f>L28-M28</f>
        <v>-32181.9</v>
      </c>
      <c r="O28" s="33">
        <f>IF(P28="Too early",P28,P28/AF28)</f>
        <v>1</v>
      </c>
      <c r="P28" s="32">
        <f t="shared" si="2"/>
        <v>1433</v>
      </c>
      <c r="Q28" s="34">
        <f>IF(V28="Too early",V28,AC28+V28*AG28)</f>
        <v>87343.789320388343</v>
      </c>
      <c r="R28" s="515">
        <f t="shared" si="6"/>
        <v>843.78932038834319</v>
      </c>
      <c r="S28" s="219">
        <v>309</v>
      </c>
      <c r="T28" s="230">
        <f t="shared" si="3"/>
        <v>872</v>
      </c>
      <c r="U28" s="395">
        <f>(AF28-AB28)*I28</f>
        <v>741.19999999999993</v>
      </c>
      <c r="V28" s="205">
        <f>IF(B28&lt;11,MIN((S28/VLOOKUP(B28,'Sales Pacing'!$A$23:$E$36,2)),T28),"Too early")</f>
        <v>872</v>
      </c>
      <c r="W28" s="396">
        <f>IF(V28="Too early","Too early",V28/U28)</f>
        <v>1.1764705882352942</v>
      </c>
      <c r="X28" s="223">
        <v>18126</v>
      </c>
      <c r="Y28" s="227">
        <v>31500</v>
      </c>
      <c r="Z28" s="234">
        <f t="shared" si="4"/>
        <v>0.5754285714285714</v>
      </c>
      <c r="AA28" s="206">
        <f>IF($V28="Too early",V28,V28*AG28/Y28)</f>
        <v>1.6238631530282015</v>
      </c>
      <c r="AB28" s="219">
        <v>561</v>
      </c>
      <c r="AC28" s="223">
        <v>36192.1</v>
      </c>
      <c r="AD28" s="227">
        <v>55000</v>
      </c>
      <c r="AE28" s="206">
        <f t="shared" si="5"/>
        <v>0.65803818181818174</v>
      </c>
      <c r="AF28" s="230">
        <v>1433</v>
      </c>
      <c r="AG28" s="207">
        <f>X28/S28</f>
        <v>58.660194174757279</v>
      </c>
      <c r="AH28" s="215">
        <v>17</v>
      </c>
      <c r="AI28" s="215">
        <v>407</v>
      </c>
      <c r="AJ28" s="215">
        <v>424</v>
      </c>
      <c r="AK28" s="342">
        <v>51432.1</v>
      </c>
      <c r="AL28" s="344">
        <f>L28-AK28</f>
        <v>2886</v>
      </c>
    </row>
    <row r="29" spans="1:38" s="146" customFormat="1" ht="14.25" customHeight="1">
      <c r="A29" s="146">
        <v>10</v>
      </c>
      <c r="B29" s="146">
        <f t="shared" si="1"/>
        <v>5</v>
      </c>
      <c r="C29" s="147">
        <v>45964</v>
      </c>
      <c r="D29" s="146" t="s">
        <v>72</v>
      </c>
      <c r="G29" s="147">
        <v>45970.583333333336</v>
      </c>
      <c r="H29" s="146" t="s">
        <v>61</v>
      </c>
      <c r="I29" s="510">
        <v>0.5</v>
      </c>
      <c r="J29" s="203">
        <f>K29/AF29</f>
        <v>0.36615384615384616</v>
      </c>
      <c r="K29" s="148">
        <f>S29+AB29</f>
        <v>476</v>
      </c>
      <c r="L29" s="34">
        <f>X29+AC29</f>
        <v>11664</v>
      </c>
      <c r="M29" s="35">
        <f>Y29+AD29</f>
        <v>19500</v>
      </c>
      <c r="N29" s="500">
        <f>L29-M29</f>
        <v>-7836</v>
      </c>
      <c r="O29" s="525">
        <f>IF(P29="Too early",P29,P29/AF29)</f>
        <v>0.66948717948717951</v>
      </c>
      <c r="P29" s="32">
        <f t="shared" si="2"/>
        <v>870.33333333333337</v>
      </c>
      <c r="Q29" s="34">
        <f>IF(V29="Too early",V29,AC29+V29*AG29)</f>
        <v>22929.333333333336</v>
      </c>
      <c r="R29" s="515">
        <f t="shared" si="6"/>
        <v>3429.3333333333358</v>
      </c>
      <c r="S29" s="219">
        <v>169</v>
      </c>
      <c r="T29" s="229">
        <f t="shared" si="3"/>
        <v>993</v>
      </c>
      <c r="U29" s="380">
        <f>(AF29-AB29)*I29</f>
        <v>496.5</v>
      </c>
      <c r="V29" s="205">
        <f>IF(B29&lt;11,MIN((S29/VLOOKUP(B29,'Sales Pacing'!$A$23:$E$36,2)),T29),"Too early")</f>
        <v>563.33333333333337</v>
      </c>
      <c r="W29" s="379">
        <f>IF(V29="Too early","Too early",V29/U29)</f>
        <v>1.1346089291708628</v>
      </c>
      <c r="X29" s="223">
        <v>4828</v>
      </c>
      <c r="Y29" s="227">
        <v>10000</v>
      </c>
      <c r="Z29" s="234">
        <f t="shared" si="4"/>
        <v>0.48280000000000001</v>
      </c>
      <c r="AA29" s="206">
        <f>IF($V29="Too early",V29,V29*AG29/Y29)</f>
        <v>1.6093333333333335</v>
      </c>
      <c r="AB29" s="219">
        <v>307</v>
      </c>
      <c r="AC29" s="223">
        <v>6836</v>
      </c>
      <c r="AD29" s="227">
        <v>9500</v>
      </c>
      <c r="AE29" s="206">
        <f t="shared" si="5"/>
        <v>0.7195789473684211</v>
      </c>
      <c r="AF29" s="230">
        <v>1300</v>
      </c>
      <c r="AG29" s="207">
        <f>X29/S29</f>
        <v>28.568047337278106</v>
      </c>
      <c r="AH29" s="215">
        <v>9</v>
      </c>
      <c r="AI29" s="215">
        <v>103</v>
      </c>
      <c r="AJ29" s="215">
        <v>112</v>
      </c>
      <c r="AK29" s="342">
        <v>10703</v>
      </c>
      <c r="AL29" s="344">
        <f>L29-AK29</f>
        <v>961</v>
      </c>
    </row>
    <row r="30" spans="1:38" s="185" customFormat="1" ht="14.25" customHeight="1">
      <c r="A30" s="185">
        <v>11</v>
      </c>
      <c r="B30" s="185">
        <f t="shared" si="1"/>
        <v>6</v>
      </c>
      <c r="C30" s="186">
        <v>45971</v>
      </c>
      <c r="D30" s="185" t="s">
        <v>73</v>
      </c>
      <c r="G30" s="195"/>
      <c r="H30" s="196"/>
      <c r="I30" s="513"/>
      <c r="J30" s="209" t="e">
        <f>K30/AF30</f>
        <v>#DIV/0!</v>
      </c>
      <c r="K30" s="197">
        <f>S30+AB30</f>
        <v>0</v>
      </c>
      <c r="L30" s="200">
        <f>X30+AC30</f>
        <v>0</v>
      </c>
      <c r="M30" s="201">
        <f>Y30+AD30</f>
        <v>0</v>
      </c>
      <c r="N30" s="499"/>
      <c r="O30" s="199"/>
      <c r="P30" s="198">
        <f t="shared" si="2"/>
        <v>0</v>
      </c>
      <c r="Q30" s="200" t="e">
        <f>IF(V30="Too early",V30,AC30+V30*AG30)</f>
        <v>#DIV/0!</v>
      </c>
      <c r="R30" s="516" t="e">
        <f t="shared" si="6"/>
        <v>#DIV/0!</v>
      </c>
      <c r="S30" s="220"/>
      <c r="T30" s="220">
        <f t="shared" si="3"/>
        <v>0</v>
      </c>
      <c r="U30" s="220">
        <f>(AF30-AB30)*I30</f>
        <v>0</v>
      </c>
      <c r="V30" s="208">
        <f>IF(B30&lt;7,(S30/VLOOKUP(B30,'Sales Pacing'!$A$23:$E$36,2)),"Too early")</f>
        <v>0</v>
      </c>
      <c r="W30" s="208"/>
      <c r="X30" s="224"/>
      <c r="Y30" s="224"/>
      <c r="Z30" s="235" t="str">
        <f t="shared" si="4"/>
        <v/>
      </c>
      <c r="AA30" s="209"/>
      <c r="AB30" s="220"/>
      <c r="AC30" s="224"/>
      <c r="AD30" s="224"/>
      <c r="AE30" s="209" t="s">
        <v>57</v>
      </c>
      <c r="AF30" s="220"/>
      <c r="AG30" s="210" t="e">
        <f>X30/S30</f>
        <v>#DIV/0!</v>
      </c>
      <c r="AH30" s="216"/>
      <c r="AI30" s="216"/>
      <c r="AJ30" s="216"/>
      <c r="AK30" s="341">
        <v>0</v>
      </c>
      <c r="AL30" s="345"/>
    </row>
    <row r="31" spans="1:38" s="142" customFormat="1" ht="14.25" customHeight="1">
      <c r="A31" s="142">
        <v>12</v>
      </c>
      <c r="B31" s="142">
        <f t="shared" si="1"/>
        <v>7</v>
      </c>
      <c r="C31" s="176">
        <v>45978</v>
      </c>
      <c r="D31" s="177" t="s">
        <v>74</v>
      </c>
      <c r="E31" s="177"/>
      <c r="F31" s="177"/>
      <c r="G31" s="176">
        <v>45982.833333333336</v>
      </c>
      <c r="H31" s="177" t="s">
        <v>64</v>
      </c>
      <c r="I31" s="510">
        <v>0.5</v>
      </c>
      <c r="J31" s="203">
        <f>K31/AF31</f>
        <v>0.27798742138364779</v>
      </c>
      <c r="K31" s="36">
        <f>S31+AB31</f>
        <v>442</v>
      </c>
      <c r="L31" s="38">
        <f>X31+AC31</f>
        <v>29152</v>
      </c>
      <c r="M31" s="31">
        <f>Y31+AD31</f>
        <v>40000</v>
      </c>
      <c r="N31" s="498">
        <f>L31-M31</f>
        <v>-10848</v>
      </c>
      <c r="O31" s="526">
        <f>IF(P31="Too early",P31,P31/AF31)</f>
        <v>0.42735849056603775</v>
      </c>
      <c r="P31" s="37">
        <f t="shared" si="2"/>
        <v>679.5</v>
      </c>
      <c r="Q31" s="38">
        <f>IF(V31="Too early",V31,AC31+V31*AG31)</f>
        <v>41198</v>
      </c>
      <c r="R31" s="514">
        <f t="shared" si="6"/>
        <v>1198</v>
      </c>
      <c r="S31" s="238">
        <v>75</v>
      </c>
      <c r="T31" s="380">
        <f t="shared" si="3"/>
        <v>1223</v>
      </c>
      <c r="U31" s="380">
        <f>(AF31-AB31)*I31</f>
        <v>611.5</v>
      </c>
      <c r="V31" s="202">
        <f>IF(B31&lt;11,MIN((S31/VLOOKUP(B31,'Sales Pacing'!$A$23:$E$36,2)),T31),"Too early")</f>
        <v>312.5</v>
      </c>
      <c r="W31" s="379">
        <f>IF(V31="Too early","Too early",V31/U31)</f>
        <v>0.51103843008994276</v>
      </c>
      <c r="X31" s="222">
        <v>3804</v>
      </c>
      <c r="Y31" s="226">
        <v>15000</v>
      </c>
      <c r="Z31" s="233">
        <f t="shared" si="4"/>
        <v>0.25359999999999999</v>
      </c>
      <c r="AA31" s="203">
        <f>IF($V31="Too early",V31,V31*AG31/Y31)</f>
        <v>1.0566666666666666</v>
      </c>
      <c r="AB31" s="218">
        <v>367</v>
      </c>
      <c r="AC31" s="222">
        <v>25348</v>
      </c>
      <c r="AD31" s="226">
        <v>25000</v>
      </c>
      <c r="AE31" s="203">
        <f t="shared" si="5"/>
        <v>1.0139199999999999</v>
      </c>
      <c r="AF31" s="229">
        <v>1590</v>
      </c>
      <c r="AG31" s="204">
        <f>X31/S31</f>
        <v>50.72</v>
      </c>
      <c r="AH31" s="214">
        <v>1</v>
      </c>
      <c r="AI31" s="214">
        <v>221</v>
      </c>
      <c r="AJ31" s="214">
        <v>222</v>
      </c>
      <c r="AK31" s="340">
        <v>29114</v>
      </c>
      <c r="AL31" s="344">
        <f>L31-AK31</f>
        <v>38</v>
      </c>
    </row>
    <row r="32" spans="1:38" s="142" customFormat="1" ht="14.25" customHeight="1">
      <c r="A32" s="142">
        <v>12</v>
      </c>
      <c r="B32" s="142">
        <f t="shared" si="1"/>
        <v>7</v>
      </c>
      <c r="C32" s="143">
        <v>45978</v>
      </c>
      <c r="D32" s="142" t="s">
        <v>74</v>
      </c>
      <c r="G32" s="143">
        <v>45983.833333333336</v>
      </c>
      <c r="H32" s="142" t="s">
        <v>64</v>
      </c>
      <c r="I32" s="510">
        <v>0.85</v>
      </c>
      <c r="J32" s="203">
        <f>K32/AF32</f>
        <v>0.45660377358490567</v>
      </c>
      <c r="K32" s="36">
        <f>S32+AB32</f>
        <v>726</v>
      </c>
      <c r="L32" s="38">
        <f>X32+AC32</f>
        <v>48098.9</v>
      </c>
      <c r="M32" s="31">
        <f>Y32+AD32</f>
        <v>66500</v>
      </c>
      <c r="N32" s="498">
        <f>L32-M32</f>
        <v>-18401.099999999999</v>
      </c>
      <c r="O32" s="30">
        <f>IF(P32="Too early",P32,P32/AF32)</f>
        <v>0.74140461215932929</v>
      </c>
      <c r="P32" s="37">
        <f t="shared" si="2"/>
        <v>1178.8333333333335</v>
      </c>
      <c r="Q32" s="38">
        <f>IF(V32="Too early",V32,AC32+V32*AG32)</f>
        <v>74673.56666666668</v>
      </c>
      <c r="R32" s="514">
        <f t="shared" si="6"/>
        <v>8173.5666666666802</v>
      </c>
      <c r="S32" s="238">
        <v>143</v>
      </c>
      <c r="T32" s="380">
        <f t="shared" si="3"/>
        <v>1007</v>
      </c>
      <c r="U32" s="380">
        <f>(AF32-AB32)*I32</f>
        <v>855.94999999999993</v>
      </c>
      <c r="V32" s="202">
        <f>IF(B32&lt;11,MIN((S32/VLOOKUP(B32,'Sales Pacing'!$A$23:$E$36,2)),T32),"Too early")</f>
        <v>595.83333333333337</v>
      </c>
      <c r="W32" s="379">
        <f>IF(V32="Too early","Too early",V32/U32)</f>
        <v>0.6961076386860604</v>
      </c>
      <c r="X32" s="222">
        <v>8392</v>
      </c>
      <c r="Y32" s="226">
        <v>11500</v>
      </c>
      <c r="Z32" s="233">
        <f t="shared" si="4"/>
        <v>0.72973913043478256</v>
      </c>
      <c r="AA32" s="203">
        <f>IF($V32="Too early",V32,V32*AG32/Y32)</f>
        <v>3.0405797101449279</v>
      </c>
      <c r="AB32" s="218">
        <v>583</v>
      </c>
      <c r="AC32" s="222">
        <v>39706.9</v>
      </c>
      <c r="AD32" s="226">
        <v>55000</v>
      </c>
      <c r="AE32" s="203">
        <f t="shared" si="5"/>
        <v>0.72194363636363634</v>
      </c>
      <c r="AF32" s="229">
        <v>1590</v>
      </c>
      <c r="AG32" s="204">
        <f>X32/S32</f>
        <v>58.685314685314687</v>
      </c>
      <c r="AH32" s="214">
        <v>4</v>
      </c>
      <c r="AI32" s="214">
        <v>347</v>
      </c>
      <c r="AJ32" s="214">
        <v>351</v>
      </c>
      <c r="AK32" s="340">
        <v>47477.9</v>
      </c>
      <c r="AL32" s="344">
        <f>L32-AK32</f>
        <v>621</v>
      </c>
    </row>
    <row r="33" spans="1:38" s="146" customFormat="1" ht="14.25" customHeight="1">
      <c r="A33" s="146">
        <v>12</v>
      </c>
      <c r="B33" s="146">
        <f t="shared" si="1"/>
        <v>7</v>
      </c>
      <c r="C33" s="147">
        <v>45978</v>
      </c>
      <c r="D33" s="146" t="s">
        <v>74</v>
      </c>
      <c r="G33" s="147">
        <v>45984.583333333336</v>
      </c>
      <c r="H33" s="146" t="s">
        <v>64</v>
      </c>
      <c r="I33" s="527">
        <v>0.85</v>
      </c>
      <c r="J33" s="206">
        <f>K33/AF33</f>
        <v>0.44968553459119498</v>
      </c>
      <c r="K33" s="148">
        <f>S33+AB33</f>
        <v>715</v>
      </c>
      <c r="L33" s="34">
        <f>X33+AC33</f>
        <v>46572.2</v>
      </c>
      <c r="M33" s="35">
        <f>Y33+AD33</f>
        <v>66500</v>
      </c>
      <c r="N33" s="500">
        <f>L33-M33</f>
        <v>-19927.800000000003</v>
      </c>
      <c r="O33" s="33">
        <f>IF(P33="Too early",P33,P33/AF33)</f>
        <v>0.63490566037735852</v>
      </c>
      <c r="P33" s="32">
        <f t="shared" si="2"/>
        <v>1009.5</v>
      </c>
      <c r="Q33" s="34">
        <f>IF(V33="Too early",V33,AC33+V33*AG33)</f>
        <v>66892.7</v>
      </c>
      <c r="R33" s="515">
        <f t="shared" si="6"/>
        <v>392.69999999999709</v>
      </c>
      <c r="S33" s="240">
        <v>93</v>
      </c>
      <c r="T33" s="395">
        <f t="shared" si="3"/>
        <v>968</v>
      </c>
      <c r="U33" s="395">
        <f>(AF33-AB33)*I33</f>
        <v>822.8</v>
      </c>
      <c r="V33" s="205">
        <f>IF(B33&lt;11,MIN((S33/VLOOKUP(B33,'Sales Pacing'!$A$23:$E$36,2)),T33),"Too early")</f>
        <v>387.5</v>
      </c>
      <c r="W33" s="396">
        <f>IF(V33="Too early","Too early",V33/U33)</f>
        <v>0.47095284394749637</v>
      </c>
      <c r="X33" s="223">
        <v>6417</v>
      </c>
      <c r="Y33" s="227">
        <v>11500</v>
      </c>
      <c r="Z33" s="234">
        <f t="shared" si="4"/>
        <v>0.55800000000000005</v>
      </c>
      <c r="AA33" s="206">
        <f>IF($V33="Too early",V33,V33*AG33/Y33)</f>
        <v>2.3250000000000002</v>
      </c>
      <c r="AB33" s="219">
        <v>622</v>
      </c>
      <c r="AC33" s="223">
        <v>40155.199999999997</v>
      </c>
      <c r="AD33" s="227">
        <v>55000</v>
      </c>
      <c r="AE33" s="206">
        <f t="shared" si="5"/>
        <v>0.73009454545454544</v>
      </c>
      <c r="AF33" s="230">
        <v>1590</v>
      </c>
      <c r="AG33" s="207">
        <f>X33/S33</f>
        <v>69</v>
      </c>
      <c r="AH33" s="215">
        <v>3</v>
      </c>
      <c r="AI33" s="215">
        <v>391</v>
      </c>
      <c r="AJ33" s="215">
        <v>394</v>
      </c>
      <c r="AK33" s="342">
        <v>46613.2</v>
      </c>
      <c r="AL33" s="344">
        <f>L33-AK33</f>
        <v>-41</v>
      </c>
    </row>
    <row r="34" spans="1:38" s="142" customFormat="1" ht="14.25">
      <c r="A34" s="142">
        <v>13</v>
      </c>
      <c r="B34" s="142">
        <f t="shared" si="1"/>
        <v>8</v>
      </c>
      <c r="C34" s="143">
        <v>45985</v>
      </c>
      <c r="D34" s="142" t="s">
        <v>75</v>
      </c>
      <c r="G34" s="143">
        <v>45989.791666666664</v>
      </c>
      <c r="H34" s="142" t="s">
        <v>66</v>
      </c>
      <c r="I34" s="510">
        <v>0.85</v>
      </c>
      <c r="J34" s="203">
        <f>K34/AF34</f>
        <v>0.26036866359447003</v>
      </c>
      <c r="K34" s="306">
        <f>S34+AB34</f>
        <v>339</v>
      </c>
      <c r="L34" s="38">
        <f>X34+AC34</f>
        <v>23191</v>
      </c>
      <c r="M34" s="31">
        <f>Y34+AD34</f>
        <v>107500</v>
      </c>
      <c r="N34" s="498">
        <f>L34-M34</f>
        <v>-84309</v>
      </c>
      <c r="O34" s="30">
        <f>IF(P34="Too early",P34,P34/AF34)</f>
        <v>1</v>
      </c>
      <c r="P34" s="37">
        <f t="shared" si="2"/>
        <v>1302</v>
      </c>
      <c r="Q34" s="38">
        <f>IF(V34="Too early",V34,AC34+V34*AG34)</f>
        <v>89069.85840707965</v>
      </c>
      <c r="R34" s="514">
        <f t="shared" si="6"/>
        <v>-18430.14159292035</v>
      </c>
      <c r="S34" s="238">
        <v>339</v>
      </c>
      <c r="T34" s="380">
        <f t="shared" si="3"/>
        <v>1302</v>
      </c>
      <c r="U34" s="380">
        <f>(AF34-AB34)*I34</f>
        <v>1106.7</v>
      </c>
      <c r="V34" s="202">
        <f>IF(B34&lt;11,MIN((S34/VLOOKUP(B34,'Sales Pacing'!$A$23:$E$36,2)),T34),"Too early")</f>
        <v>1302</v>
      </c>
      <c r="W34" s="379">
        <f>IF(V34="Too early","Too early",V34/U34)</f>
        <v>1.1764705882352942</v>
      </c>
      <c r="X34" s="222">
        <v>23191</v>
      </c>
      <c r="Y34" s="226">
        <v>107500</v>
      </c>
      <c r="Z34" s="233">
        <f t="shared" si="4"/>
        <v>0.21573023255813953</v>
      </c>
      <c r="AA34" s="203">
        <f>IF($V34="Too early",V34,V34*AG34/Y34)</f>
        <v>0.82855682239143857</v>
      </c>
      <c r="AB34" s="218"/>
      <c r="AC34" s="222"/>
      <c r="AD34" s="226"/>
      <c r="AE34" s="203" t="str">
        <f t="shared" si="5"/>
        <v/>
      </c>
      <c r="AF34" s="229">
        <v>1302</v>
      </c>
      <c r="AG34" s="204">
        <f>X34/S34</f>
        <v>68.410029498525077</v>
      </c>
      <c r="AH34" s="214">
        <v>17</v>
      </c>
      <c r="AI34" s="214">
        <v>45</v>
      </c>
      <c r="AJ34" s="214">
        <v>62</v>
      </c>
      <c r="AK34" s="340">
        <v>20977.599999999999</v>
      </c>
      <c r="AL34" s="344">
        <f>L34-AK34</f>
        <v>2213.4000000000015</v>
      </c>
    </row>
    <row r="35" spans="1:38" s="142" customFormat="1" ht="14.25">
      <c r="A35" s="142">
        <v>13</v>
      </c>
      <c r="B35" s="142">
        <f t="shared" si="1"/>
        <v>8</v>
      </c>
      <c r="C35" s="143">
        <v>45985</v>
      </c>
      <c r="D35" s="142" t="s">
        <v>75</v>
      </c>
      <c r="G35" s="143">
        <v>45990.541666666664</v>
      </c>
      <c r="H35" s="142" t="s">
        <v>66</v>
      </c>
      <c r="I35" s="510">
        <v>0.85</v>
      </c>
      <c r="J35" s="203">
        <f>K35/AF35</f>
        <v>0.31797235023041476</v>
      </c>
      <c r="K35" s="306">
        <f>S35+AB35</f>
        <v>414</v>
      </c>
      <c r="L35" s="38">
        <f>X35+AC35</f>
        <v>27757</v>
      </c>
      <c r="M35" s="31">
        <f>Y35+AD35</f>
        <v>107500</v>
      </c>
      <c r="N35" s="498">
        <f>L35-M35</f>
        <v>-79743</v>
      </c>
      <c r="O35" s="30">
        <f>IF(P35="Too early",P35,P35/AF35)</f>
        <v>1</v>
      </c>
      <c r="P35" s="37">
        <f t="shared" si="2"/>
        <v>1302</v>
      </c>
      <c r="Q35" s="38">
        <f>IF(V35="Too early",V35,AC35+V35*AG35)</f>
        <v>87293.753623188415</v>
      </c>
      <c r="R35" s="514">
        <f t="shared" si="6"/>
        <v>-20206.246376811585</v>
      </c>
      <c r="S35" s="238">
        <v>414</v>
      </c>
      <c r="T35" s="380">
        <f t="shared" si="3"/>
        <v>1302</v>
      </c>
      <c r="U35" s="380">
        <f>(AF35-AB35)*I35</f>
        <v>1106.7</v>
      </c>
      <c r="V35" s="202">
        <f>IF(B35&lt;11,MIN((S35/VLOOKUP(B35,'Sales Pacing'!$A$23:$E$36,2)),T35),"Too early")</f>
        <v>1302</v>
      </c>
      <c r="W35" s="379">
        <f>IF(V35="Too early","Too early",V35/U35)</f>
        <v>1.1764705882352942</v>
      </c>
      <c r="X35" s="222">
        <v>27757</v>
      </c>
      <c r="Y35" s="226">
        <v>107500</v>
      </c>
      <c r="Z35" s="233">
        <f t="shared" si="4"/>
        <v>0.25820465116279068</v>
      </c>
      <c r="AA35" s="203">
        <f>IF($V35="Too early",V35,V35*AG35/Y35)</f>
        <v>0.81203491742500855</v>
      </c>
      <c r="AB35" s="218"/>
      <c r="AC35" s="222"/>
      <c r="AD35" s="226"/>
      <c r="AE35" s="203" t="str">
        <f t="shared" si="5"/>
        <v/>
      </c>
      <c r="AF35" s="229">
        <v>1302</v>
      </c>
      <c r="AG35" s="204">
        <f>X35/S35</f>
        <v>67.04589371980677</v>
      </c>
      <c r="AH35" s="214">
        <v>22</v>
      </c>
      <c r="AI35" s="214">
        <v>53</v>
      </c>
      <c r="AJ35" s="214">
        <v>75</v>
      </c>
      <c r="AK35" s="340">
        <v>24414.6</v>
      </c>
      <c r="AL35" s="344">
        <f>L35-AK35</f>
        <v>3342.4000000000015</v>
      </c>
    </row>
    <row r="36" spans="1:38" s="142" customFormat="1" ht="14.25">
      <c r="A36" s="142">
        <v>13</v>
      </c>
      <c r="B36" s="142">
        <f t="shared" si="1"/>
        <v>8</v>
      </c>
      <c r="C36" s="143">
        <v>45985</v>
      </c>
      <c r="D36" s="142" t="s">
        <v>75</v>
      </c>
      <c r="G36" s="143">
        <v>45990.791666666664</v>
      </c>
      <c r="H36" s="142" t="s">
        <v>66</v>
      </c>
      <c r="I36" s="510">
        <v>0.85</v>
      </c>
      <c r="J36" s="203">
        <f>K36/AF36</f>
        <v>0.25268817204301075</v>
      </c>
      <c r="K36" s="306">
        <f>S36+AB36</f>
        <v>329</v>
      </c>
      <c r="L36" s="38">
        <f>X36+AC36</f>
        <v>22388</v>
      </c>
      <c r="M36" s="31">
        <f>Y36+AD36</f>
        <v>107500</v>
      </c>
      <c r="N36" s="498">
        <f>L36-M36</f>
        <v>-85112</v>
      </c>
      <c r="O36" s="30">
        <f>IF(P36="Too early",P36,P36/AF36)</f>
        <v>1</v>
      </c>
      <c r="P36" s="37">
        <f t="shared" si="2"/>
        <v>1302</v>
      </c>
      <c r="Q36" s="38">
        <f>IF(V36="Too early",V36,AC36+V36*AG36)</f>
        <v>88599.319148936178</v>
      </c>
      <c r="R36" s="514">
        <f t="shared" si="6"/>
        <v>-18900.680851063822</v>
      </c>
      <c r="S36" s="238">
        <v>329</v>
      </c>
      <c r="T36" s="380">
        <f t="shared" si="3"/>
        <v>1302</v>
      </c>
      <c r="U36" s="380">
        <f>(AF36-AB36)*I36</f>
        <v>1106.7</v>
      </c>
      <c r="V36" s="202">
        <f>IF(B36&lt;11,MIN((S36/VLOOKUP(B36,'Sales Pacing'!$A$23:$E$36,2)),T36),"Too early")</f>
        <v>1302</v>
      </c>
      <c r="W36" s="379">
        <f>IF(V36="Too early","Too early",V36/U36)</f>
        <v>1.1764705882352942</v>
      </c>
      <c r="X36" s="222">
        <v>22388</v>
      </c>
      <c r="Y36" s="226">
        <v>107500</v>
      </c>
      <c r="Z36" s="233">
        <f t="shared" si="4"/>
        <v>0.20826046511627908</v>
      </c>
      <c r="AA36" s="203">
        <f>IF($V36="Too early",V36,V36*AG36/Y36)</f>
        <v>0.82417971301335979</v>
      </c>
      <c r="AB36" s="218"/>
      <c r="AC36" s="222"/>
      <c r="AD36" s="226"/>
      <c r="AE36" s="203" t="str">
        <f t="shared" si="5"/>
        <v/>
      </c>
      <c r="AF36" s="229">
        <v>1302</v>
      </c>
      <c r="AG36" s="204">
        <f>X36/S36</f>
        <v>68.048632218844986</v>
      </c>
      <c r="AH36" s="214">
        <v>12</v>
      </c>
      <c r="AI36" s="214">
        <v>56</v>
      </c>
      <c r="AJ36" s="214">
        <v>68</v>
      </c>
      <c r="AK36" s="340">
        <v>19000</v>
      </c>
      <c r="AL36" s="344">
        <f>L36-AK36</f>
        <v>3388</v>
      </c>
    </row>
    <row r="37" spans="1:38" s="146" customFormat="1" ht="14.25">
      <c r="A37" s="146">
        <v>13</v>
      </c>
      <c r="B37" s="146">
        <f t="shared" si="1"/>
        <v>8</v>
      </c>
      <c r="C37" s="147">
        <v>45985</v>
      </c>
      <c r="D37" s="146" t="s">
        <v>75</v>
      </c>
      <c r="G37" s="147">
        <v>45991.583333333336</v>
      </c>
      <c r="H37" s="146" t="s">
        <v>66</v>
      </c>
      <c r="I37" s="527">
        <v>0.85</v>
      </c>
      <c r="J37" s="206">
        <f>K37/AF37</f>
        <v>0.41628264208909371</v>
      </c>
      <c r="K37" s="307">
        <f>S37+AB37</f>
        <v>542</v>
      </c>
      <c r="L37" s="34">
        <f>X37+AC37</f>
        <v>37521</v>
      </c>
      <c r="M37" s="35">
        <f>Y37+AD37</f>
        <v>107500</v>
      </c>
      <c r="N37" s="500">
        <f>L37-M37</f>
        <v>-69979</v>
      </c>
      <c r="O37" s="33">
        <f>IF(P37="Too early",P37,P37/AF37)</f>
        <v>1</v>
      </c>
      <c r="P37" s="32">
        <f t="shared" si="2"/>
        <v>1302</v>
      </c>
      <c r="Q37" s="34">
        <f>IF(V37="Too early",V37,AC37+V37*AG37)</f>
        <v>90133.472324723247</v>
      </c>
      <c r="R37" s="515">
        <f t="shared" si="6"/>
        <v>-17366.527675276753</v>
      </c>
      <c r="S37" s="240">
        <v>542</v>
      </c>
      <c r="T37" s="395">
        <f t="shared" si="3"/>
        <v>1302</v>
      </c>
      <c r="U37" s="395">
        <f>(AF37-AB37)*I37</f>
        <v>1106.7</v>
      </c>
      <c r="V37" s="205">
        <f>IF(B37&lt;11,MIN((S37/VLOOKUP(B37,'Sales Pacing'!$A$23:$E$36,2)),T37),"Too early")</f>
        <v>1302</v>
      </c>
      <c r="W37" s="396">
        <f>IF(V37="Too early","Too early",V37/U37)</f>
        <v>1.1764705882352942</v>
      </c>
      <c r="X37" s="223">
        <v>37521</v>
      </c>
      <c r="Y37" s="227">
        <v>107500</v>
      </c>
      <c r="Z37" s="234">
        <f t="shared" si="4"/>
        <v>0.34903255813953488</v>
      </c>
      <c r="AA37" s="206">
        <f>IF($V37="Too early",V37,V37*AG37/Y37)</f>
        <v>0.83845090534626276</v>
      </c>
      <c r="AB37" s="219"/>
      <c r="AC37" s="223"/>
      <c r="AD37" s="227"/>
      <c r="AE37" s="206" t="str">
        <f t="shared" si="5"/>
        <v/>
      </c>
      <c r="AF37" s="230">
        <v>1302</v>
      </c>
      <c r="AG37" s="207">
        <f>X37/S37</f>
        <v>69.226937269372698</v>
      </c>
      <c r="AH37" s="215">
        <v>21</v>
      </c>
      <c r="AI37" s="215">
        <v>88</v>
      </c>
      <c r="AJ37" s="215">
        <v>109</v>
      </c>
      <c r="AK37" s="340">
        <v>34569.599999999999</v>
      </c>
      <c r="AL37" s="344">
        <f>L37-AK37</f>
        <v>2951.4000000000015</v>
      </c>
    </row>
    <row r="38" spans="1:38" s="142" customFormat="1" ht="14.25">
      <c r="A38" s="142">
        <v>14</v>
      </c>
      <c r="B38" s="142">
        <f t="shared" si="1"/>
        <v>9</v>
      </c>
      <c r="C38" s="143">
        <v>45992</v>
      </c>
      <c r="D38" s="142" t="s">
        <v>76</v>
      </c>
      <c r="G38" s="143">
        <v>45996.791666666664</v>
      </c>
      <c r="H38" s="142" t="s">
        <v>77</v>
      </c>
      <c r="I38" s="510">
        <v>0.85</v>
      </c>
      <c r="J38" s="203">
        <f>K38/AF38</f>
        <v>0.2602930914166085</v>
      </c>
      <c r="K38" s="36">
        <f>S38+AB38</f>
        <v>373</v>
      </c>
      <c r="L38" s="38">
        <f>X38+AC38</f>
        <v>19843.5</v>
      </c>
      <c r="M38" s="31">
        <f>Y38+AD38</f>
        <v>78333</v>
      </c>
      <c r="N38" s="498">
        <f>L38-M38</f>
        <v>-58489.5</v>
      </c>
      <c r="O38" s="30">
        <f>IF(P38="Too early",P38,P38/AF38)</f>
        <v>1</v>
      </c>
      <c r="P38" s="37">
        <f t="shared" si="2"/>
        <v>1433</v>
      </c>
      <c r="Q38" s="38">
        <f>IF(V38="Too early",V38,AC38+V38*AG38)</f>
        <v>76235.215817694378</v>
      </c>
      <c r="R38" s="514">
        <f t="shared" si="6"/>
        <v>-2097.7841823056224</v>
      </c>
      <c r="S38" s="218">
        <v>373</v>
      </c>
      <c r="T38" s="229">
        <f t="shared" si="3"/>
        <v>1433</v>
      </c>
      <c r="U38" s="380">
        <f>(AF38-AB38)*I38</f>
        <v>1218.05</v>
      </c>
      <c r="V38" s="202">
        <f>IF(B38&lt;11,MIN((S38/VLOOKUP(B38,'Sales Pacing'!$A$23:$E$36,2)),T38),"Too early")</f>
        <v>1433</v>
      </c>
      <c r="W38" s="379">
        <f>IF(V38="Too early","Too early",V38/U38)</f>
        <v>1.1764705882352942</v>
      </c>
      <c r="X38" s="222">
        <v>19843.5</v>
      </c>
      <c r="Y38" s="226">
        <v>78333</v>
      </c>
      <c r="Z38" s="233">
        <f t="shared" si="4"/>
        <v>0.25332235456321089</v>
      </c>
      <c r="AA38" s="203">
        <f>IF($V38="Too early",V38,V38*AG38/Y38)</f>
        <v>0.97321966243721514</v>
      </c>
      <c r="AB38" s="218"/>
      <c r="AC38" s="222"/>
      <c r="AD38" s="226"/>
      <c r="AE38" s="203" t="str">
        <f t="shared" si="5"/>
        <v/>
      </c>
      <c r="AF38" s="229">
        <v>1433</v>
      </c>
      <c r="AG38" s="204">
        <f>X38/S38</f>
        <v>53.199731903485258</v>
      </c>
      <c r="AH38" s="214">
        <v>19</v>
      </c>
      <c r="AI38" s="214">
        <v>86</v>
      </c>
      <c r="AJ38" s="214">
        <v>105</v>
      </c>
      <c r="AK38" s="340">
        <v>18853.5</v>
      </c>
      <c r="AL38" s="344">
        <f>L38-AK38</f>
        <v>990</v>
      </c>
    </row>
    <row r="39" spans="1:38" s="142" customFormat="1" ht="14.25">
      <c r="A39" s="142">
        <v>14</v>
      </c>
      <c r="B39" s="142">
        <f t="shared" si="1"/>
        <v>9</v>
      </c>
      <c r="C39" s="143">
        <v>45992</v>
      </c>
      <c r="D39" s="142" t="s">
        <v>76</v>
      </c>
      <c r="G39" s="143">
        <v>45997.791666666664</v>
      </c>
      <c r="H39" s="142" t="s">
        <v>77</v>
      </c>
      <c r="I39" s="510">
        <v>0.85</v>
      </c>
      <c r="J39" s="203">
        <f>K39/AF39</f>
        <v>0.26378227494766227</v>
      </c>
      <c r="K39" s="36">
        <f>S39+AB39</f>
        <v>378</v>
      </c>
      <c r="L39" s="38">
        <f>X39+AC39</f>
        <v>22606.5</v>
      </c>
      <c r="M39" s="31">
        <f>Y39+AD39</f>
        <v>78334</v>
      </c>
      <c r="N39" s="498">
        <f>L39-M39</f>
        <v>-55727.5</v>
      </c>
      <c r="O39" s="30">
        <f>IF(P39="Too early",P39,P39/AF39)</f>
        <v>1</v>
      </c>
      <c r="P39" s="37">
        <f t="shared" si="2"/>
        <v>1433</v>
      </c>
      <c r="Q39" s="38">
        <f>IF(V39="Too early",V39,AC39+V39*AG39)</f>
        <v>85701.361111111109</v>
      </c>
      <c r="R39" s="514">
        <f t="shared" si="6"/>
        <v>7367.3611111111095</v>
      </c>
      <c r="S39" s="218">
        <v>378</v>
      </c>
      <c r="T39" s="229">
        <f t="shared" si="3"/>
        <v>1433</v>
      </c>
      <c r="U39" s="380">
        <f>(AF39-AB39)*I39</f>
        <v>1218.05</v>
      </c>
      <c r="V39" s="202">
        <f>IF(B39&lt;11,MIN((S39/VLOOKUP(B39,'Sales Pacing'!$A$23:$E$36,2)),T39),"Too early")</f>
        <v>1433</v>
      </c>
      <c r="W39" s="379">
        <f>IF(V39="Too early","Too early",V39/U39)</f>
        <v>1.1764705882352942</v>
      </c>
      <c r="X39" s="222">
        <v>22606.5</v>
      </c>
      <c r="Y39" s="226">
        <v>78334</v>
      </c>
      <c r="Z39" s="233">
        <f t="shared" si="4"/>
        <v>0.28859116092629</v>
      </c>
      <c r="AA39" s="203">
        <f>IF($V39="Too early",V39,V39*AG39/Y39)</f>
        <v>1.0940506180089247</v>
      </c>
      <c r="AB39" s="218"/>
      <c r="AC39" s="222"/>
      <c r="AD39" s="226"/>
      <c r="AE39" s="203" t="str">
        <f t="shared" si="5"/>
        <v/>
      </c>
      <c r="AF39" s="229">
        <v>1433</v>
      </c>
      <c r="AG39" s="204">
        <f>X39/S39</f>
        <v>59.805555555555557</v>
      </c>
      <c r="AH39" s="214">
        <v>20</v>
      </c>
      <c r="AI39" s="214">
        <v>95</v>
      </c>
      <c r="AJ39" s="214">
        <v>115</v>
      </c>
      <c r="AK39" s="340">
        <v>22001.5</v>
      </c>
      <c r="AL39" s="344">
        <f>L39-AK39</f>
        <v>605</v>
      </c>
    </row>
    <row r="40" spans="1:38" s="146" customFormat="1" ht="14.25">
      <c r="A40" s="146">
        <v>14</v>
      </c>
      <c r="B40" s="146">
        <f t="shared" si="1"/>
        <v>9</v>
      </c>
      <c r="C40" s="147">
        <v>45992</v>
      </c>
      <c r="D40" s="146" t="s">
        <v>76</v>
      </c>
      <c r="G40" s="147">
        <v>45998.583333333336</v>
      </c>
      <c r="H40" s="146" t="s">
        <v>77</v>
      </c>
      <c r="I40" s="527">
        <v>0.85</v>
      </c>
      <c r="J40" s="206">
        <f>K40/AF40</f>
        <v>0.29658060013956733</v>
      </c>
      <c r="K40" s="148">
        <f>S40+AB40</f>
        <v>425</v>
      </c>
      <c r="L40" s="34">
        <f>X40+AC40</f>
        <v>22602.5</v>
      </c>
      <c r="M40" s="35">
        <f>Y40+AD40</f>
        <v>78333</v>
      </c>
      <c r="N40" s="500">
        <f>L40-M40</f>
        <v>-55730.5</v>
      </c>
      <c r="O40" s="33">
        <f>IF(P40="Too early",P40,P40/AF40)</f>
        <v>1</v>
      </c>
      <c r="P40" s="32">
        <f t="shared" si="2"/>
        <v>1433</v>
      </c>
      <c r="Q40" s="34">
        <f>IF(V40="Too early",V40,AC40+V40*AG40)</f>
        <v>76210.311764705883</v>
      </c>
      <c r="R40" s="515">
        <f t="shared" si="6"/>
        <v>-2122.6882352941175</v>
      </c>
      <c r="S40" s="219">
        <v>425</v>
      </c>
      <c r="T40" s="230">
        <f t="shared" si="3"/>
        <v>1433</v>
      </c>
      <c r="U40" s="395">
        <f>(AF40-AB40)*I40</f>
        <v>1218.05</v>
      </c>
      <c r="V40" s="205">
        <f>IF(B40&lt;11,MIN((S40/VLOOKUP(B40,'Sales Pacing'!$A$23:$E$36,2)),T40),"Too early")</f>
        <v>1433</v>
      </c>
      <c r="W40" s="396">
        <f>IF(V40="Too early","Too early",V40/U40)</f>
        <v>1.1764705882352942</v>
      </c>
      <c r="X40" s="223">
        <v>22602.5</v>
      </c>
      <c r="Y40" s="227">
        <v>78333</v>
      </c>
      <c r="Z40" s="234">
        <f t="shared" si="4"/>
        <v>0.28854378103736611</v>
      </c>
      <c r="AA40" s="206">
        <f>IF($V40="Too early",V40,V40*AG40/Y40)</f>
        <v>0.9729017370036368</v>
      </c>
      <c r="AB40" s="219"/>
      <c r="AC40" s="223"/>
      <c r="AD40" s="227"/>
      <c r="AE40" s="206" t="str">
        <f t="shared" si="5"/>
        <v/>
      </c>
      <c r="AF40" s="230">
        <v>1433</v>
      </c>
      <c r="AG40" s="207">
        <f>X40/S40</f>
        <v>53.182352941176468</v>
      </c>
      <c r="AH40" s="215">
        <v>26</v>
      </c>
      <c r="AI40" s="215">
        <v>105</v>
      </c>
      <c r="AJ40" s="215">
        <v>131</v>
      </c>
      <c r="AK40" s="342">
        <v>21652.5</v>
      </c>
      <c r="AL40" s="344">
        <f>L40-AK40</f>
        <v>950</v>
      </c>
    </row>
    <row r="41" spans="1:38" s="142" customFormat="1" ht="14.25">
      <c r="A41" s="142">
        <v>15</v>
      </c>
      <c r="B41" s="142">
        <f t="shared" si="1"/>
        <v>10</v>
      </c>
      <c r="C41" s="143">
        <v>45999</v>
      </c>
      <c r="D41" s="142" t="s">
        <v>78</v>
      </c>
      <c r="G41" s="143">
        <v>46003.791666666664</v>
      </c>
      <c r="H41" s="142" t="s">
        <v>54</v>
      </c>
      <c r="I41" s="510">
        <v>0.85</v>
      </c>
      <c r="J41" s="203">
        <f>K41/AF41</f>
        <v>0.6924528301886792</v>
      </c>
      <c r="K41" s="36">
        <f>S41+AB41</f>
        <v>1101</v>
      </c>
      <c r="L41" s="38">
        <f>X41+AC41</f>
        <v>112007</v>
      </c>
      <c r="M41" s="31">
        <f>Y41+AD41</f>
        <v>150000</v>
      </c>
      <c r="N41" s="498">
        <f>L41-M41</f>
        <v>-37993</v>
      </c>
      <c r="O41" s="30">
        <f>IF(P41="Too early",P41,P41/AF41)</f>
        <v>1</v>
      </c>
      <c r="P41" s="37">
        <f t="shared" si="2"/>
        <v>1590</v>
      </c>
      <c r="Q41" s="38">
        <f>IF(V41="Too early",V41,AC41+V41*AG41)</f>
        <v>161753.97820163489</v>
      </c>
      <c r="R41" s="514">
        <f t="shared" si="6"/>
        <v>11753.978201634891</v>
      </c>
      <c r="S41" s="218">
        <v>1101</v>
      </c>
      <c r="T41" s="229">
        <f t="shared" si="3"/>
        <v>1590</v>
      </c>
      <c r="U41" s="380">
        <f>(AF41-AB41)*I41</f>
        <v>1351.5</v>
      </c>
      <c r="V41" s="202">
        <f>IF(B41&lt;11,MIN((S41/VLOOKUP(B41,'Sales Pacing'!$A$23:$E$36,2)),T41),"Too early")</f>
        <v>1590</v>
      </c>
      <c r="W41" s="379">
        <f>IF(V41="Too early","Too early",V41/U41)</f>
        <v>1.1764705882352942</v>
      </c>
      <c r="X41" s="348">
        <v>112007</v>
      </c>
      <c r="Y41" s="226">
        <v>150000</v>
      </c>
      <c r="Z41" s="233">
        <f t="shared" si="4"/>
        <v>0.74671333333333334</v>
      </c>
      <c r="AA41" s="203">
        <f>IF($V41="Too early",V41,V41*AG41/Y41)</f>
        <v>1.0783598546775659</v>
      </c>
      <c r="AB41" s="218"/>
      <c r="AC41" s="222"/>
      <c r="AD41" s="226"/>
      <c r="AE41" s="203" t="str">
        <f t="shared" si="5"/>
        <v/>
      </c>
      <c r="AF41" s="229">
        <v>1590</v>
      </c>
      <c r="AG41" s="204">
        <f>X41/S41</f>
        <v>101.73206176203452</v>
      </c>
      <c r="AH41" s="214">
        <v>87</v>
      </c>
      <c r="AI41" s="214">
        <v>264</v>
      </c>
      <c r="AJ41" s="214">
        <v>351</v>
      </c>
      <c r="AK41" s="340">
        <v>103427</v>
      </c>
      <c r="AL41" s="344">
        <f>L41-AK41</f>
        <v>8580</v>
      </c>
    </row>
    <row r="42" spans="1:38" s="146" customFormat="1" ht="14.25">
      <c r="A42" s="146">
        <v>15</v>
      </c>
      <c r="B42" s="146">
        <f t="shared" si="1"/>
        <v>10</v>
      </c>
      <c r="C42" s="147">
        <v>45999</v>
      </c>
      <c r="D42" s="146" t="s">
        <v>78</v>
      </c>
      <c r="G42" s="147">
        <v>46004.791666666664</v>
      </c>
      <c r="H42" s="146" t="s">
        <v>54</v>
      </c>
      <c r="I42" s="527">
        <v>0.85</v>
      </c>
      <c r="J42" s="206">
        <f>K42/AF42</f>
        <v>0.82893081761006293</v>
      </c>
      <c r="K42" s="148">
        <f>S42+AB42</f>
        <v>1318</v>
      </c>
      <c r="L42" s="34">
        <f>X42+AC42</f>
        <v>130041</v>
      </c>
      <c r="M42" s="35">
        <f>Y42+AD42</f>
        <v>150000</v>
      </c>
      <c r="N42" s="500">
        <f>L42-M42</f>
        <v>-19959</v>
      </c>
      <c r="O42" s="33">
        <f>IF(P42="Too early",P42,P42/AF42)</f>
        <v>1</v>
      </c>
      <c r="P42" s="32">
        <f t="shared" si="2"/>
        <v>1590</v>
      </c>
      <c r="Q42" s="34">
        <f>IF(V42="Too early",V42,AC42+V42*AG42)</f>
        <v>156877.98937784522</v>
      </c>
      <c r="R42" s="515">
        <f t="shared" si="6"/>
        <v>6877.9893778452242</v>
      </c>
      <c r="S42" s="219">
        <v>1318</v>
      </c>
      <c r="T42" s="230">
        <f t="shared" si="3"/>
        <v>1590</v>
      </c>
      <c r="U42" s="395">
        <f>(AF42-AB42)*I42</f>
        <v>1351.5</v>
      </c>
      <c r="V42" s="205">
        <f>IF(B42&lt;11,MIN((S42/VLOOKUP(B42,'Sales Pacing'!$A$23:$E$36,2)),T42),"Too early")</f>
        <v>1590</v>
      </c>
      <c r="W42" s="396">
        <f>IF(V42="Too early","Too early",V42/U42)</f>
        <v>1.1764705882352942</v>
      </c>
      <c r="X42" s="349">
        <v>130041</v>
      </c>
      <c r="Y42" s="227">
        <v>150000</v>
      </c>
      <c r="Z42" s="234">
        <f t="shared" si="4"/>
        <v>0.86694000000000004</v>
      </c>
      <c r="AA42" s="206">
        <f>IF($V42="Too early",V42,V42*AG42/Y42)</f>
        <v>1.0458532625189683</v>
      </c>
      <c r="AB42" s="219"/>
      <c r="AC42" s="223"/>
      <c r="AD42" s="227"/>
      <c r="AE42" s="206" t="str">
        <f t="shared" si="5"/>
        <v/>
      </c>
      <c r="AF42" s="230">
        <v>1590</v>
      </c>
      <c r="AG42" s="207">
        <f>X42/S42</f>
        <v>98.665402124430955</v>
      </c>
      <c r="AH42" s="215">
        <v>128</v>
      </c>
      <c r="AI42" s="215">
        <v>291</v>
      </c>
      <c r="AJ42" s="215">
        <v>419</v>
      </c>
      <c r="AK42" s="340">
        <v>123198</v>
      </c>
      <c r="AL42" s="344">
        <f>L42-AK42</f>
        <v>6843</v>
      </c>
    </row>
    <row r="43" spans="1:38" s="142" customFormat="1" ht="14.25">
      <c r="A43" s="142">
        <v>16</v>
      </c>
      <c r="B43" s="142">
        <f t="shared" si="1"/>
        <v>11</v>
      </c>
      <c r="C43" s="143">
        <v>46006</v>
      </c>
      <c r="D43" s="142" t="s">
        <v>79</v>
      </c>
      <c r="G43" s="143">
        <v>46009.791666666664</v>
      </c>
      <c r="H43" s="142" t="s">
        <v>77</v>
      </c>
      <c r="I43" s="510">
        <v>0.85</v>
      </c>
      <c r="J43" s="203">
        <f>K43/AF43</f>
        <v>0.15352407536636428</v>
      </c>
      <c r="K43" s="36">
        <f>S43+AB43</f>
        <v>220</v>
      </c>
      <c r="L43" s="38">
        <f>X43+AC43</f>
        <v>13448</v>
      </c>
      <c r="M43" s="31">
        <f>Y43+AD43</f>
        <v>75833</v>
      </c>
      <c r="N43" s="498">
        <f>L43-M43</f>
        <v>-62385</v>
      </c>
      <c r="O43" s="30" t="str">
        <f>IF(P43="Too early",P43,P43/AF43)</f>
        <v>Too early</v>
      </c>
      <c r="P43" s="37" t="str">
        <f t="shared" si="2"/>
        <v>Too early</v>
      </c>
      <c r="Q43" s="38" t="str">
        <f>IF(V43="Too early",V43,AC43+V43*AG43)</f>
        <v>Too early</v>
      </c>
      <c r="R43" s="514" t="str">
        <f t="shared" si="6"/>
        <v>Too early</v>
      </c>
      <c r="S43" s="218">
        <v>220</v>
      </c>
      <c r="T43" s="229">
        <f t="shared" si="3"/>
        <v>1433</v>
      </c>
      <c r="U43" s="380">
        <f>(AF43-AB43)*I43</f>
        <v>1218.05</v>
      </c>
      <c r="V43" s="202" t="str">
        <f>IF(B43&lt;11,MIN((S43/VLOOKUP(B43,'Sales Pacing'!$A$23:$E$36,2)),T43),"Too early")</f>
        <v>Too early</v>
      </c>
      <c r="W43" s="379" t="str">
        <f>IF(V43="Too early","Too early",V43/U43)</f>
        <v>Too early</v>
      </c>
      <c r="X43" s="222">
        <v>13448</v>
      </c>
      <c r="Y43" s="226">
        <v>75833</v>
      </c>
      <c r="Z43" s="233">
        <f t="shared" si="4"/>
        <v>0.1773370432397505</v>
      </c>
      <c r="AA43" s="203" t="str">
        <f>IF($V43="Too early",V43,V43*AG43/Y43)</f>
        <v>Too early</v>
      </c>
      <c r="AB43" s="218"/>
      <c r="AC43" s="222"/>
      <c r="AD43" s="226"/>
      <c r="AE43" s="203" t="str">
        <f t="shared" si="5"/>
        <v/>
      </c>
      <c r="AF43" s="229">
        <v>1433</v>
      </c>
      <c r="AG43" s="204">
        <f>X43/S43</f>
        <v>61.127272727272725</v>
      </c>
      <c r="AH43" s="214"/>
      <c r="AI43" s="214"/>
      <c r="AJ43" s="214"/>
      <c r="AK43" s="340">
        <v>13189</v>
      </c>
      <c r="AL43" s="344">
        <f>L43-AK43</f>
        <v>259</v>
      </c>
    </row>
    <row r="44" spans="1:38" s="142" customFormat="1" ht="14.25">
      <c r="A44" s="142">
        <v>16</v>
      </c>
      <c r="B44" s="142">
        <f t="shared" si="1"/>
        <v>11</v>
      </c>
      <c r="C44" s="143">
        <v>46006</v>
      </c>
      <c r="D44" s="142" t="s">
        <v>79</v>
      </c>
      <c r="G44" s="143">
        <v>46010.791666666664</v>
      </c>
      <c r="H44" s="142" t="s">
        <v>77</v>
      </c>
      <c r="I44" s="510">
        <v>0.85</v>
      </c>
      <c r="J44" s="203">
        <f>K44/AF44</f>
        <v>0.14724354501046755</v>
      </c>
      <c r="K44" s="36">
        <f>S44+AB44</f>
        <v>211</v>
      </c>
      <c r="L44" s="38">
        <f>X44+AC44</f>
        <v>12725</v>
      </c>
      <c r="M44" s="31">
        <f>Y44+AD44</f>
        <v>75833</v>
      </c>
      <c r="N44" s="498">
        <f>L44-M44</f>
        <v>-63108</v>
      </c>
      <c r="O44" s="30" t="str">
        <f>IF(P44="Too early",P44,P44/AF44)</f>
        <v>Too early</v>
      </c>
      <c r="P44" s="37" t="str">
        <f t="shared" si="2"/>
        <v>Too early</v>
      </c>
      <c r="Q44" s="38" t="str">
        <f>IF(V44="Too early",V44,AC44+V44*AG44)</f>
        <v>Too early</v>
      </c>
      <c r="R44" s="514" t="str">
        <f t="shared" si="6"/>
        <v>Too early</v>
      </c>
      <c r="S44" s="218">
        <v>211</v>
      </c>
      <c r="T44" s="229">
        <f t="shared" si="3"/>
        <v>1433</v>
      </c>
      <c r="U44" s="380">
        <f>(AF44-AB44)*I44</f>
        <v>1218.05</v>
      </c>
      <c r="V44" s="202" t="str">
        <f>IF(B44&lt;11,MIN((S44/VLOOKUP(B44,'Sales Pacing'!$A$23:$E$36,2)),T44),"Too early")</f>
        <v>Too early</v>
      </c>
      <c r="W44" s="379" t="str">
        <f>IF(V44="Too early","Too early",V44/U44)</f>
        <v>Too early</v>
      </c>
      <c r="X44" s="222">
        <v>12725</v>
      </c>
      <c r="Y44" s="226">
        <v>75833</v>
      </c>
      <c r="Z44" s="233">
        <f t="shared" si="4"/>
        <v>0.16780293539751823</v>
      </c>
      <c r="AA44" s="203" t="str">
        <f>IF($V44="Too early",V44,V44*AG44/Y44)</f>
        <v>Too early</v>
      </c>
      <c r="AB44" s="218"/>
      <c r="AC44" s="222"/>
      <c r="AD44" s="226"/>
      <c r="AE44" s="203" t="str">
        <f t="shared" si="5"/>
        <v/>
      </c>
      <c r="AF44" s="229">
        <v>1433</v>
      </c>
      <c r="AG44" s="204">
        <f>X44/S44</f>
        <v>60.308056872037916</v>
      </c>
      <c r="AH44" s="214"/>
      <c r="AI44" s="214"/>
      <c r="AJ44" s="214"/>
      <c r="AK44" s="340">
        <v>11666.5</v>
      </c>
      <c r="AL44" s="344">
        <f>L44-AK44</f>
        <v>1058.5</v>
      </c>
    </row>
    <row r="45" spans="1:38" s="142" customFormat="1" ht="14.25">
      <c r="A45" s="142">
        <v>16</v>
      </c>
      <c r="B45" s="142">
        <f t="shared" si="1"/>
        <v>11</v>
      </c>
      <c r="C45" s="143">
        <v>46006</v>
      </c>
      <c r="D45" s="142" t="s">
        <v>79</v>
      </c>
      <c r="G45" s="143">
        <v>46011.541666666664</v>
      </c>
      <c r="H45" s="142" t="s">
        <v>77</v>
      </c>
      <c r="I45" s="510">
        <v>0.85</v>
      </c>
      <c r="J45" s="203">
        <f>K45/AF45</f>
        <v>0.27076064200976974</v>
      </c>
      <c r="K45" s="36">
        <f>S45+AB45</f>
        <v>388</v>
      </c>
      <c r="L45" s="38">
        <f>X45+AC45</f>
        <v>23671</v>
      </c>
      <c r="M45" s="31">
        <f>Y45+AD45</f>
        <v>75833</v>
      </c>
      <c r="N45" s="498">
        <f>L45-M45</f>
        <v>-52162</v>
      </c>
      <c r="O45" s="30" t="str">
        <f>IF(P45="Too early",P45,P45/AF45)</f>
        <v>Too early</v>
      </c>
      <c r="P45" s="37" t="str">
        <f t="shared" si="2"/>
        <v>Too early</v>
      </c>
      <c r="Q45" s="38" t="str">
        <f>IF(V45="Too early",V45,AC45+V45*AG45)</f>
        <v>Too early</v>
      </c>
      <c r="R45" s="514" t="str">
        <f t="shared" si="6"/>
        <v>Too early</v>
      </c>
      <c r="S45" s="218">
        <v>388</v>
      </c>
      <c r="T45" s="229">
        <f t="shared" si="3"/>
        <v>1433</v>
      </c>
      <c r="U45" s="380">
        <f>(AF45-AB45)*I45</f>
        <v>1218.05</v>
      </c>
      <c r="V45" s="202" t="str">
        <f>IF(B45&lt;11,MIN((S45/VLOOKUP(B45,'Sales Pacing'!$A$23:$E$36,2)),T45),"Too early")</f>
        <v>Too early</v>
      </c>
      <c r="W45" s="379" t="str">
        <f>IF(V45="Too early","Too early",V45/U45)</f>
        <v>Too early</v>
      </c>
      <c r="X45" s="222">
        <v>23671</v>
      </c>
      <c r="Y45" s="226">
        <v>75833</v>
      </c>
      <c r="Z45" s="233">
        <f t="shared" si="4"/>
        <v>0.31214642701726164</v>
      </c>
      <c r="AA45" s="203" t="str">
        <f>IF($V45="Too early",V45,V45*AG45/Y45)</f>
        <v>Too early</v>
      </c>
      <c r="AB45" s="218"/>
      <c r="AC45" s="222"/>
      <c r="AD45" s="226"/>
      <c r="AE45" s="203" t="str">
        <f t="shared" si="5"/>
        <v/>
      </c>
      <c r="AF45" s="229">
        <v>1433</v>
      </c>
      <c r="AG45" s="204">
        <f>X45/S45</f>
        <v>61.007731958762889</v>
      </c>
      <c r="AH45" s="214"/>
      <c r="AI45" s="214"/>
      <c r="AJ45" s="214"/>
      <c r="AK45" s="340">
        <v>21404.5</v>
      </c>
      <c r="AL45" s="344">
        <f>L45-AK45</f>
        <v>2266.5</v>
      </c>
    </row>
    <row r="46" spans="1:38" s="142" customFormat="1" ht="14.25">
      <c r="A46" s="142">
        <v>16</v>
      </c>
      <c r="B46" s="142">
        <f t="shared" si="1"/>
        <v>11</v>
      </c>
      <c r="C46" s="143">
        <v>46006</v>
      </c>
      <c r="D46" s="142" t="s">
        <v>79</v>
      </c>
      <c r="G46" s="143">
        <v>46011.791666666664</v>
      </c>
      <c r="H46" s="142" t="s">
        <v>77</v>
      </c>
      <c r="I46" s="510">
        <v>0.85</v>
      </c>
      <c r="J46" s="203">
        <f>K46/AF46</f>
        <v>0.20376831821353802</v>
      </c>
      <c r="K46" s="36">
        <f>S46+AB46</f>
        <v>292</v>
      </c>
      <c r="L46" s="38">
        <f>X46+AC46</f>
        <v>18196</v>
      </c>
      <c r="M46" s="31">
        <f>Y46+AD46</f>
        <v>75833</v>
      </c>
      <c r="N46" s="498">
        <f>L46-M46</f>
        <v>-57637</v>
      </c>
      <c r="O46" s="30" t="str">
        <f>IF(P46="Too early",P46,P46/AF46)</f>
        <v>Too early</v>
      </c>
      <c r="P46" s="37" t="str">
        <f t="shared" si="2"/>
        <v>Too early</v>
      </c>
      <c r="Q46" s="38" t="str">
        <f>IF(V46="Too early",V46,AC46+V46*AG46)</f>
        <v>Too early</v>
      </c>
      <c r="R46" s="514" t="str">
        <f t="shared" si="6"/>
        <v>Too early</v>
      </c>
      <c r="S46" s="218">
        <v>292</v>
      </c>
      <c r="T46" s="229">
        <f t="shared" si="3"/>
        <v>1433</v>
      </c>
      <c r="U46" s="380">
        <f>(AF46-AB46)*I46</f>
        <v>1218.05</v>
      </c>
      <c r="V46" s="202" t="str">
        <f>IF(B46&lt;11,MIN((S46/VLOOKUP(B46,'Sales Pacing'!$A$23:$E$36,2)),T46),"Too early")</f>
        <v>Too early</v>
      </c>
      <c r="W46" s="379" t="str">
        <f>IF(V46="Too early","Too early",V46/U46)</f>
        <v>Too early</v>
      </c>
      <c r="X46" s="222">
        <v>18196</v>
      </c>
      <c r="Y46" s="226">
        <v>75833</v>
      </c>
      <c r="Z46" s="233">
        <f t="shared" si="4"/>
        <v>0.23994830746508775</v>
      </c>
      <c r="AA46" s="203" t="str">
        <f>IF($V46="Too early",V46,V46*AG46/Y46)</f>
        <v>Too early</v>
      </c>
      <c r="AB46" s="218"/>
      <c r="AC46" s="222"/>
      <c r="AD46" s="226"/>
      <c r="AE46" s="203" t="str">
        <f t="shared" si="5"/>
        <v/>
      </c>
      <c r="AF46" s="229">
        <v>1433</v>
      </c>
      <c r="AG46" s="204">
        <f>X46/S46</f>
        <v>62.315068493150683</v>
      </c>
      <c r="AH46" s="214"/>
      <c r="AI46" s="214"/>
      <c r="AJ46" s="214"/>
      <c r="AK46" s="340">
        <v>13817</v>
      </c>
      <c r="AL46" s="344">
        <f>L46-AK46</f>
        <v>4379</v>
      </c>
    </row>
    <row r="47" spans="1:38" s="142" customFormat="1" ht="14.25">
      <c r="A47" s="142">
        <v>16</v>
      </c>
      <c r="B47" s="142">
        <f t="shared" si="1"/>
        <v>11</v>
      </c>
      <c r="C47" s="143">
        <v>46006</v>
      </c>
      <c r="D47" s="142" t="s">
        <v>79</v>
      </c>
      <c r="G47" s="143">
        <v>46012.583333333336</v>
      </c>
      <c r="H47" s="142" t="s">
        <v>77</v>
      </c>
      <c r="I47" s="510">
        <v>0.85</v>
      </c>
      <c r="J47" s="203">
        <f>K47/AF47</f>
        <v>0.43893928820655964</v>
      </c>
      <c r="K47" s="36">
        <f>S47+AB47</f>
        <v>629</v>
      </c>
      <c r="L47" s="38">
        <f>X47+AC47</f>
        <v>26133</v>
      </c>
      <c r="M47" s="31">
        <f>Y47+AD47</f>
        <v>88284</v>
      </c>
      <c r="N47" s="498">
        <f>L47-M47</f>
        <v>-62151</v>
      </c>
      <c r="O47" s="30" t="str">
        <f>IF(P47="Too early",P47,P47/AF47)</f>
        <v>Too early</v>
      </c>
      <c r="P47" s="37" t="str">
        <f t="shared" si="2"/>
        <v>Too early</v>
      </c>
      <c r="Q47" s="38" t="str">
        <f>IF(V47="Too early",V47,AC47+V47*AG47)</f>
        <v>Too early</v>
      </c>
      <c r="R47" s="514" t="str">
        <f t="shared" si="6"/>
        <v>Too early</v>
      </c>
      <c r="S47" s="218">
        <v>328</v>
      </c>
      <c r="T47" s="229">
        <f t="shared" si="3"/>
        <v>1132</v>
      </c>
      <c r="U47" s="380">
        <f>(AF47-AB47)*I47</f>
        <v>962.19999999999993</v>
      </c>
      <c r="V47" s="202" t="str">
        <f>IF(B47&lt;11,MIN((S47/VLOOKUP(B47,'Sales Pacing'!$A$23:$E$36,2)),T47),"Too early")</f>
        <v>Too early</v>
      </c>
      <c r="W47" s="379" t="str">
        <f>IF(V47="Too early","Too early",V47/U47)</f>
        <v>Too early</v>
      </c>
      <c r="X47" s="222">
        <v>19456</v>
      </c>
      <c r="Y47" s="226">
        <v>75834</v>
      </c>
      <c r="Z47" s="233">
        <f t="shared" si="4"/>
        <v>0.25656038188675262</v>
      </c>
      <c r="AA47" s="203" t="str">
        <f>IF($V47="Too early",V47,V47*AG47/Y47)</f>
        <v>Too early</v>
      </c>
      <c r="AB47" s="218">
        <v>301</v>
      </c>
      <c r="AC47" s="222">
        <v>6677</v>
      </c>
      <c r="AD47" s="226">
        <v>12450</v>
      </c>
      <c r="AE47" s="203">
        <f t="shared" si="5"/>
        <v>0.53630522088353416</v>
      </c>
      <c r="AF47" s="229">
        <v>1433</v>
      </c>
      <c r="AG47" s="204">
        <f>X47/S47</f>
        <v>59.31707317073171</v>
      </c>
      <c r="AH47" s="214"/>
      <c r="AI47" s="214"/>
      <c r="AJ47" s="214"/>
      <c r="AK47" s="340">
        <v>23553</v>
      </c>
      <c r="AL47" s="344">
        <f>L47-AK47</f>
        <v>2580</v>
      </c>
    </row>
    <row r="48" spans="1:38" s="146" customFormat="1" ht="14.25">
      <c r="A48" s="146">
        <v>16</v>
      </c>
      <c r="B48" s="146">
        <f t="shared" si="1"/>
        <v>11</v>
      </c>
      <c r="C48" s="147">
        <v>46006</v>
      </c>
      <c r="D48" s="146" t="s">
        <v>79</v>
      </c>
      <c r="G48" s="147">
        <v>46012.791666666664</v>
      </c>
      <c r="H48" s="146" t="s">
        <v>77</v>
      </c>
      <c r="I48" s="527">
        <v>0.85</v>
      </c>
      <c r="J48" s="206">
        <f>K48/AF48</f>
        <v>0.1060711793440335</v>
      </c>
      <c r="K48" s="148">
        <f>S48+AB48</f>
        <v>152</v>
      </c>
      <c r="L48" s="34">
        <f>X48+AC48</f>
        <v>8879</v>
      </c>
      <c r="M48" s="35">
        <f>Y48+AD48</f>
        <v>75834</v>
      </c>
      <c r="N48" s="500">
        <f>L48-M48</f>
        <v>-66955</v>
      </c>
      <c r="O48" s="33" t="str">
        <f>IF(P48="Too early",P48,P48/AF48)</f>
        <v>Too early</v>
      </c>
      <c r="P48" s="32" t="str">
        <f t="shared" si="2"/>
        <v>Too early</v>
      </c>
      <c r="Q48" s="34" t="str">
        <f>IF(V48="Too early",V48,AC48+V48*AG48)</f>
        <v>Too early</v>
      </c>
      <c r="R48" s="515" t="str">
        <f t="shared" si="6"/>
        <v>Too early</v>
      </c>
      <c r="S48" s="219">
        <v>152</v>
      </c>
      <c r="T48" s="230">
        <f t="shared" si="3"/>
        <v>1433</v>
      </c>
      <c r="U48" s="395">
        <f>(AF48-AB48)*I48</f>
        <v>1218.05</v>
      </c>
      <c r="V48" s="205" t="str">
        <f>IF(B48&lt;11,MIN((S48/VLOOKUP(B48,'Sales Pacing'!$A$23:$E$36,2)),T48),"Too early")</f>
        <v>Too early</v>
      </c>
      <c r="W48" s="396" t="str">
        <f>IF(V48="Too early","Too early",V48/U48)</f>
        <v>Too early</v>
      </c>
      <c r="X48" s="223">
        <v>8879</v>
      </c>
      <c r="Y48" s="227">
        <v>75834</v>
      </c>
      <c r="Z48" s="234">
        <f t="shared" si="4"/>
        <v>0.11708468496980247</v>
      </c>
      <c r="AA48" s="206" t="str">
        <f>IF($V48="Too early",V48,V48*AG48/Y48)</f>
        <v>Too early</v>
      </c>
      <c r="AB48" s="219"/>
      <c r="AC48" s="223"/>
      <c r="AD48" s="227"/>
      <c r="AE48" s="206" t="str">
        <f t="shared" si="5"/>
        <v/>
      </c>
      <c r="AF48" s="230">
        <v>1433</v>
      </c>
      <c r="AG48" s="207">
        <f>X48/S48</f>
        <v>58.414473684210527</v>
      </c>
      <c r="AH48" s="215"/>
      <c r="AI48" s="215"/>
      <c r="AJ48" s="215"/>
      <c r="AK48" s="342">
        <v>7896</v>
      </c>
      <c r="AL48" s="344">
        <f>L48-AK48</f>
        <v>983</v>
      </c>
    </row>
    <row r="49" spans="1:38" s="142" customFormat="1" ht="14.25">
      <c r="A49" s="142">
        <v>17</v>
      </c>
      <c r="B49" s="142">
        <f t="shared" si="1"/>
        <v>12</v>
      </c>
      <c r="C49" s="143">
        <v>46013</v>
      </c>
      <c r="D49" s="142" t="s">
        <v>80</v>
      </c>
      <c r="G49" s="143">
        <v>46014.791666666664</v>
      </c>
      <c r="H49" s="142" t="s">
        <v>66</v>
      </c>
      <c r="I49" s="510">
        <v>0.85</v>
      </c>
      <c r="J49" s="203">
        <f>K49/AF49</f>
        <v>0.70046082949308752</v>
      </c>
      <c r="K49" s="36">
        <f>S49+AB49</f>
        <v>912</v>
      </c>
      <c r="L49" s="38">
        <f>X49+AC49</f>
        <v>71586</v>
      </c>
      <c r="M49" s="31">
        <f>Y49+AD49</f>
        <v>100000</v>
      </c>
      <c r="N49" s="498">
        <f>L49-M49</f>
        <v>-28414</v>
      </c>
      <c r="O49" s="30" t="str">
        <f>IF(P49="Too early",P49,P49/AF49)</f>
        <v>Too early</v>
      </c>
      <c r="P49" s="37" t="str">
        <f t="shared" si="2"/>
        <v>Too early</v>
      </c>
      <c r="Q49" s="38" t="str">
        <f>IF(V49="Too early",V49,AC49+V49*AG49)</f>
        <v>Too early</v>
      </c>
      <c r="R49" s="514" t="str">
        <f t="shared" si="6"/>
        <v>Too early</v>
      </c>
      <c r="S49" s="238">
        <v>912</v>
      </c>
      <c r="T49" s="380">
        <f t="shared" si="3"/>
        <v>1302</v>
      </c>
      <c r="U49" s="380">
        <f>(AF49-AB49)*I49</f>
        <v>1106.7</v>
      </c>
      <c r="V49" s="202" t="str">
        <f>IF(B49&lt;11,MIN((S49/VLOOKUP(B49,'Sales Pacing'!$A$23:$E$36,2)),T49),"Too early")</f>
        <v>Too early</v>
      </c>
      <c r="W49" s="379" t="str">
        <f>IF(V49="Too early","Too early",V49/U49)</f>
        <v>Too early</v>
      </c>
      <c r="X49" s="222">
        <v>71586</v>
      </c>
      <c r="Y49" s="226">
        <v>100000</v>
      </c>
      <c r="Z49" s="233">
        <f t="shared" si="4"/>
        <v>0.71586000000000005</v>
      </c>
      <c r="AA49" s="203" t="str">
        <f>IF($V49="Too early",V49,V49*AG49/Y49)</f>
        <v>Too early</v>
      </c>
      <c r="AB49" s="218"/>
      <c r="AC49" s="222"/>
      <c r="AD49" s="226"/>
      <c r="AE49" s="203" t="str">
        <f t="shared" si="5"/>
        <v/>
      </c>
      <c r="AF49" s="229">
        <v>1302</v>
      </c>
      <c r="AG49" s="204">
        <f>X49/S49</f>
        <v>78.493421052631575</v>
      </c>
      <c r="AH49" s="214"/>
      <c r="AI49" s="214"/>
      <c r="AJ49" s="214"/>
      <c r="AK49" s="340">
        <v>66653.600000000006</v>
      </c>
      <c r="AL49" s="344">
        <f>L49-AK49</f>
        <v>4932.3999999999942</v>
      </c>
    </row>
    <row r="50" spans="1:38" s="146" customFormat="1" ht="14.25">
      <c r="A50" s="146">
        <v>17</v>
      </c>
      <c r="B50" s="146">
        <f t="shared" si="1"/>
        <v>12</v>
      </c>
      <c r="C50" s="147">
        <v>46013</v>
      </c>
      <c r="D50" s="146" t="s">
        <v>80</v>
      </c>
      <c r="G50" s="147">
        <v>46015.458333333336</v>
      </c>
      <c r="H50" s="146" t="s">
        <v>66</v>
      </c>
      <c r="I50" s="510">
        <v>0.85</v>
      </c>
      <c r="J50" s="203">
        <f>K50/AF50</f>
        <v>0.16973886328725038</v>
      </c>
      <c r="K50" s="148">
        <f>S50+AB50</f>
        <v>221</v>
      </c>
      <c r="L50" s="34">
        <f>X50+AC50</f>
        <v>15226</v>
      </c>
      <c r="M50" s="35">
        <f>Y50+AD50</f>
        <v>100000</v>
      </c>
      <c r="N50" s="500">
        <f>L50-M50</f>
        <v>-84774</v>
      </c>
      <c r="O50" s="33" t="str">
        <f>IF(P50="Too early",P50,P50/AF50)</f>
        <v>Too early</v>
      </c>
      <c r="P50" s="32" t="str">
        <f t="shared" si="2"/>
        <v>Too early</v>
      </c>
      <c r="Q50" s="34" t="str">
        <f>IF(V50="Too early",V50,AC50+V50*AG50)</f>
        <v>Too early</v>
      </c>
      <c r="R50" s="515" t="str">
        <f t="shared" si="6"/>
        <v>Too early</v>
      </c>
      <c r="S50" s="240">
        <v>221</v>
      </c>
      <c r="T50" s="380">
        <f t="shared" si="3"/>
        <v>1302</v>
      </c>
      <c r="U50" s="380">
        <f>(AF50-AB50)*I50</f>
        <v>1106.7</v>
      </c>
      <c r="V50" s="205" t="str">
        <f>IF(B50&lt;11,MIN((S50/VLOOKUP(B50,'Sales Pacing'!$A$23:$E$36,2)),T50),"Too early")</f>
        <v>Too early</v>
      </c>
      <c r="W50" s="379" t="str">
        <f>IF(V50="Too early","Too early",V50/U50)</f>
        <v>Too early</v>
      </c>
      <c r="X50" s="223">
        <v>15226</v>
      </c>
      <c r="Y50" s="227">
        <v>100000</v>
      </c>
      <c r="Z50" s="234">
        <f t="shared" si="4"/>
        <v>0.15226000000000001</v>
      </c>
      <c r="AA50" s="206" t="str">
        <f>IF($V50="Too early",V50,V50*AG50/Y50)</f>
        <v>Too early</v>
      </c>
      <c r="AB50" s="219"/>
      <c r="AC50" s="223"/>
      <c r="AD50" s="227"/>
      <c r="AE50" s="206" t="str">
        <f t="shared" si="5"/>
        <v/>
      </c>
      <c r="AF50" s="230">
        <v>1302</v>
      </c>
      <c r="AG50" s="207">
        <f>X50/S50</f>
        <v>68.895927601809959</v>
      </c>
      <c r="AH50" s="215"/>
      <c r="AI50" s="215"/>
      <c r="AJ50" s="215"/>
      <c r="AK50" s="342">
        <v>14364.4</v>
      </c>
      <c r="AL50" s="344">
        <f>L50-AK50</f>
        <v>861.60000000000036</v>
      </c>
    </row>
    <row r="51" spans="1:38" s="185" customFormat="1" ht="14.25">
      <c r="A51" s="185">
        <v>18</v>
      </c>
      <c r="B51" s="185">
        <f t="shared" si="1"/>
        <v>13</v>
      </c>
      <c r="C51" s="186">
        <v>46020</v>
      </c>
      <c r="D51" s="185" t="s">
        <v>73</v>
      </c>
      <c r="G51" s="195"/>
      <c r="H51" s="196"/>
      <c r="I51" s="513"/>
      <c r="J51" s="209" t="e">
        <f>K51/AF51</f>
        <v>#DIV/0!</v>
      </c>
      <c r="K51" s="197">
        <f>S51+AB51</f>
        <v>0</v>
      </c>
      <c r="L51" s="200">
        <f>X51+AC51</f>
        <v>0</v>
      </c>
      <c r="M51" s="201">
        <f>Y51+AD51</f>
        <v>0</v>
      </c>
      <c r="N51" s="499"/>
      <c r="O51" s="199"/>
      <c r="P51" s="198" t="str">
        <f t="shared" si="2"/>
        <v>Too early</v>
      </c>
      <c r="Q51" s="200" t="str">
        <f>IF(V51="Too early",V51,AC51+V51*AG51)</f>
        <v>Too early</v>
      </c>
      <c r="R51" s="516" t="str">
        <f t="shared" si="6"/>
        <v>Too early</v>
      </c>
      <c r="S51" s="220"/>
      <c r="T51" s="220">
        <f t="shared" si="3"/>
        <v>0</v>
      </c>
      <c r="U51" s="220">
        <f>(AF51-AB51)*I51</f>
        <v>0</v>
      </c>
      <c r="V51" s="208" t="str">
        <f>IF(B51&lt;11,MIN((S51/VLOOKUP(B51,'Sales Pacing'!$A$23:$E$36,2)),T51),"Too early")</f>
        <v>Too early</v>
      </c>
      <c r="W51" s="208"/>
      <c r="X51" s="224"/>
      <c r="Y51" s="224"/>
      <c r="Z51" s="235" t="str">
        <f t="shared" si="4"/>
        <v/>
      </c>
      <c r="AA51" s="209"/>
      <c r="AB51" s="220"/>
      <c r="AC51" s="224"/>
      <c r="AD51" s="224"/>
      <c r="AE51" s="209" t="s">
        <v>57</v>
      </c>
      <c r="AF51" s="220"/>
      <c r="AG51" s="210" t="e">
        <f>X51/S51</f>
        <v>#DIV/0!</v>
      </c>
      <c r="AH51" s="216"/>
      <c r="AI51" s="216"/>
      <c r="AJ51" s="216"/>
      <c r="AK51" s="341">
        <v>0</v>
      </c>
    </row>
    <row r="52" spans="1:38" s="142" customFormat="1" ht="14.25">
      <c r="A52" s="142">
        <v>19</v>
      </c>
      <c r="B52" s="142">
        <f t="shared" si="1"/>
        <v>14</v>
      </c>
      <c r="C52" s="143">
        <v>46027</v>
      </c>
      <c r="D52" s="142" t="s">
        <v>81</v>
      </c>
      <c r="G52" s="143">
        <v>46031.833333333336</v>
      </c>
      <c r="H52" s="142" t="s">
        <v>64</v>
      </c>
      <c r="I52" s="510">
        <v>0.85</v>
      </c>
      <c r="J52" s="203">
        <f>K52/AF52</f>
        <v>0.37987421383647801</v>
      </c>
      <c r="K52" s="36">
        <f>S52+AB52</f>
        <v>604</v>
      </c>
      <c r="L52" s="38">
        <f>X52+AC52</f>
        <v>39771</v>
      </c>
      <c r="M52" s="31">
        <f>Y52+AD52</f>
        <v>54999</v>
      </c>
      <c r="N52" s="498">
        <f>L52-M52</f>
        <v>-15228</v>
      </c>
      <c r="O52" s="30" t="str">
        <f>IF(P52="Too early",P52,P52/AF52)</f>
        <v>Too early</v>
      </c>
      <c r="P52" s="37" t="str">
        <f t="shared" si="2"/>
        <v>Too early</v>
      </c>
      <c r="Q52" s="38" t="str">
        <f>IF(V52="Too early",V52,AC52+V52*AG52)</f>
        <v>Too early</v>
      </c>
      <c r="R52" s="514" t="str">
        <f t="shared" si="6"/>
        <v>Too early</v>
      </c>
      <c r="S52" s="218">
        <v>31</v>
      </c>
      <c r="T52" s="229">
        <f t="shared" si="3"/>
        <v>1017</v>
      </c>
      <c r="U52" s="380">
        <f>(AF52-AB52)*I52</f>
        <v>864.44999999999993</v>
      </c>
      <c r="V52" s="202" t="str">
        <f>IF(B52&lt;11,MIN((S52/VLOOKUP(B52,'Sales Pacing'!$A$23:$E$36,2)),T52),"Too early")</f>
        <v>Too early</v>
      </c>
      <c r="W52" s="379" t="str">
        <f>IF(V52="Too early","Too early",V52/U52)</f>
        <v>Too early</v>
      </c>
      <c r="X52" s="222">
        <v>1334</v>
      </c>
      <c r="Y52" s="226">
        <v>21666</v>
      </c>
      <c r="Z52" s="233">
        <f t="shared" si="4"/>
        <v>6.1571125265392782E-2</v>
      </c>
      <c r="AA52" s="203" t="str">
        <f>IF($V52="Too early",V52,V52*AG52/Y52)</f>
        <v>Too early</v>
      </c>
      <c r="AB52" s="218">
        <v>573</v>
      </c>
      <c r="AC52" s="222">
        <v>38437</v>
      </c>
      <c r="AD52" s="226">
        <v>33333</v>
      </c>
      <c r="AE52" s="203">
        <f t="shared" si="5"/>
        <v>1.1531215312153122</v>
      </c>
      <c r="AF52" s="229">
        <v>1590</v>
      </c>
      <c r="AG52" s="204">
        <f>X52/S52</f>
        <v>43.032258064516128</v>
      </c>
      <c r="AH52" s="214"/>
      <c r="AI52" s="214"/>
      <c r="AJ52" s="214"/>
      <c r="AK52" s="340">
        <v>39591</v>
      </c>
      <c r="AL52" s="344">
        <f>L52-AK52</f>
        <v>180</v>
      </c>
    </row>
    <row r="53" spans="1:38" s="142" customFormat="1" ht="14.25">
      <c r="A53" s="142">
        <v>19</v>
      </c>
      <c r="B53" s="142">
        <f t="shared" si="1"/>
        <v>14</v>
      </c>
      <c r="C53" s="143">
        <v>46027</v>
      </c>
      <c r="D53" s="142" t="s">
        <v>82</v>
      </c>
      <c r="G53" s="143">
        <v>46032.833333333336</v>
      </c>
      <c r="H53" s="142" t="s">
        <v>64</v>
      </c>
      <c r="I53" s="510">
        <v>0.85</v>
      </c>
      <c r="J53" s="203">
        <f>K53/AF53</f>
        <v>0.39622641509433965</v>
      </c>
      <c r="K53" s="36">
        <f>S53+AB53</f>
        <v>630</v>
      </c>
      <c r="L53" s="38">
        <f>X53+AC53</f>
        <v>40664</v>
      </c>
      <c r="M53" s="31">
        <f>Y53+AD53</f>
        <v>54999</v>
      </c>
      <c r="N53" s="498">
        <f>L53-M53</f>
        <v>-14335</v>
      </c>
      <c r="O53" s="30" t="str">
        <f>IF(P53="Too early",P53,P53/AF53)</f>
        <v>Too early</v>
      </c>
      <c r="P53" s="37" t="str">
        <f t="shared" si="2"/>
        <v>Too early</v>
      </c>
      <c r="Q53" s="38" t="str">
        <f>IF(V53="Too early",V53,AC53+V53*AG53)</f>
        <v>Too early</v>
      </c>
      <c r="R53" s="514" t="str">
        <f t="shared" si="6"/>
        <v>Too early</v>
      </c>
      <c r="S53" s="218">
        <v>73</v>
      </c>
      <c r="T53" s="229">
        <f t="shared" si="3"/>
        <v>1033</v>
      </c>
      <c r="U53" s="380">
        <f>(AF53-AB53)*I53</f>
        <v>878.05</v>
      </c>
      <c r="V53" s="202" t="str">
        <f>IF(B53&lt;11,MIN((S53/VLOOKUP(B53,'Sales Pacing'!$A$23:$E$36,2)),T53),"Too early")</f>
        <v>Too early</v>
      </c>
      <c r="W53" s="379" t="str">
        <f>IF(V53="Too early","Too early",V53/U53)</f>
        <v>Too early</v>
      </c>
      <c r="X53" s="222">
        <v>4273</v>
      </c>
      <c r="Y53" s="226">
        <v>21666</v>
      </c>
      <c r="Z53" s="233">
        <f t="shared" si="4"/>
        <v>0.19722145296778362</v>
      </c>
      <c r="AA53" s="203" t="str">
        <f>IF($V53="Too early",V53,V53*AG53/Y53)</f>
        <v>Too early</v>
      </c>
      <c r="AB53" s="218">
        <v>557</v>
      </c>
      <c r="AC53" s="222">
        <v>36391</v>
      </c>
      <c r="AD53" s="226">
        <v>33333</v>
      </c>
      <c r="AE53" s="203">
        <f t="shared" si="5"/>
        <v>1.0917409174091741</v>
      </c>
      <c r="AF53" s="229">
        <v>1590</v>
      </c>
      <c r="AG53" s="204">
        <f>X53/S53</f>
        <v>58.534246575342465</v>
      </c>
      <c r="AH53" s="214"/>
      <c r="AI53" s="214"/>
      <c r="AJ53" s="214"/>
      <c r="AK53" s="340">
        <v>40128</v>
      </c>
      <c r="AL53" s="344">
        <f>L53-AK53</f>
        <v>536</v>
      </c>
    </row>
    <row r="54" spans="1:38" s="146" customFormat="1" ht="14.25">
      <c r="A54" s="146">
        <v>19</v>
      </c>
      <c r="B54" s="146">
        <f t="shared" si="1"/>
        <v>14</v>
      </c>
      <c r="C54" s="147">
        <v>46027</v>
      </c>
      <c r="D54" s="372" t="s">
        <v>83</v>
      </c>
      <c r="G54" s="147">
        <v>46033.583333333336</v>
      </c>
      <c r="H54" s="146" t="s">
        <v>64</v>
      </c>
      <c r="I54" s="527">
        <v>0.85</v>
      </c>
      <c r="J54" s="206">
        <f>K54/AF54</f>
        <v>0.39371069182389939</v>
      </c>
      <c r="K54" s="148">
        <f>S54+AB54</f>
        <v>626</v>
      </c>
      <c r="L54" s="34">
        <f>X54+AC54</f>
        <v>39937.5</v>
      </c>
      <c r="M54" s="35">
        <f>Y54+AD54</f>
        <v>55000</v>
      </c>
      <c r="N54" s="500">
        <f>L54-M54</f>
        <v>-15062.5</v>
      </c>
      <c r="O54" s="33" t="str">
        <f>IF(P54="Too early",P54,P54/AF54)</f>
        <v>Too early</v>
      </c>
      <c r="P54" s="32" t="str">
        <f t="shared" si="2"/>
        <v>Too early</v>
      </c>
      <c r="Q54" s="34" t="str">
        <f>IF(V54="Too early",V54,AC54+V54*AG54)</f>
        <v>Too early</v>
      </c>
      <c r="R54" s="515" t="str">
        <f t="shared" si="6"/>
        <v>Too early</v>
      </c>
      <c r="S54" s="219">
        <v>55</v>
      </c>
      <c r="T54" s="230">
        <f t="shared" si="3"/>
        <v>1019</v>
      </c>
      <c r="U54" s="395">
        <f>(AF54-AB54)*I54</f>
        <v>866.15</v>
      </c>
      <c r="V54" s="205" t="str">
        <f>IF(B54&lt;11,MIN((S54/VLOOKUP(B54,'Sales Pacing'!$A$23:$E$36,2)),T54),"Too early")</f>
        <v>Too early</v>
      </c>
      <c r="W54" s="396" t="str">
        <f>IF(V54="Too early","Too early",V54/U54)</f>
        <v>Too early</v>
      </c>
      <c r="X54" s="223">
        <v>3188</v>
      </c>
      <c r="Y54" s="227">
        <v>21666</v>
      </c>
      <c r="Z54" s="234">
        <f t="shared" si="4"/>
        <v>0.1471429890150466</v>
      </c>
      <c r="AA54" s="206" t="str">
        <f>IF($V54="Too early",V54,V54*AG54/Y54)</f>
        <v>Too early</v>
      </c>
      <c r="AB54" s="219">
        <v>571</v>
      </c>
      <c r="AC54" s="223">
        <v>36749.5</v>
      </c>
      <c r="AD54" s="227">
        <v>33334</v>
      </c>
      <c r="AE54" s="206">
        <f t="shared" si="5"/>
        <v>1.1024629507409851</v>
      </c>
      <c r="AF54" s="230">
        <v>1590</v>
      </c>
      <c r="AG54" s="207">
        <f>X54/S54</f>
        <v>57.963636363636361</v>
      </c>
      <c r="AH54" s="215"/>
      <c r="AI54" s="215"/>
      <c r="AJ54" s="215"/>
      <c r="AK54" s="342">
        <v>39791.5</v>
      </c>
      <c r="AL54" s="344">
        <f>L54-AK54</f>
        <v>146</v>
      </c>
    </row>
    <row r="55" spans="1:38" s="142" customFormat="1" ht="14.25">
      <c r="A55" s="142">
        <v>20</v>
      </c>
      <c r="B55" s="142">
        <f t="shared" si="1"/>
        <v>15</v>
      </c>
      <c r="C55" s="176">
        <v>46034</v>
      </c>
      <c r="D55" s="177" t="s">
        <v>84</v>
      </c>
      <c r="E55" s="177"/>
      <c r="F55" s="177"/>
      <c r="G55" s="176">
        <v>46038.833333333336</v>
      </c>
      <c r="H55" s="177" t="s">
        <v>64</v>
      </c>
      <c r="I55" s="510">
        <v>0.85</v>
      </c>
      <c r="J55" s="203">
        <f>K55/AF55</f>
        <v>0.26352201257861635</v>
      </c>
      <c r="K55" s="36">
        <f>S55+AB55</f>
        <v>419</v>
      </c>
      <c r="L55" s="38">
        <f>X55+AC55</f>
        <v>28302</v>
      </c>
      <c r="M55" s="31">
        <f>Y55+AD55</f>
        <v>60000</v>
      </c>
      <c r="N55" s="498">
        <f>L55-M55</f>
        <v>-31698</v>
      </c>
      <c r="O55" s="30" t="str">
        <f>IF(P55="Too early",P55,P55/AF55)</f>
        <v>Too early</v>
      </c>
      <c r="P55" s="37" t="str">
        <f t="shared" si="2"/>
        <v>Too early</v>
      </c>
      <c r="Q55" s="38" t="str">
        <f>IF(V55="Too early",V55,AC55+V55*AG55)</f>
        <v>Too early</v>
      </c>
      <c r="R55" s="514" t="str">
        <f t="shared" si="6"/>
        <v>Too early</v>
      </c>
      <c r="S55" s="238">
        <v>51</v>
      </c>
      <c r="T55" s="380">
        <f t="shared" si="3"/>
        <v>1222</v>
      </c>
      <c r="U55" s="380">
        <f>(AF55-AB55)*I55</f>
        <v>1038.7</v>
      </c>
      <c r="V55" s="202" t="str">
        <f>IF(B55&lt;11,MIN((S55/VLOOKUP(B55,'Sales Pacing'!$A$23:$E$36,2)),T55),"Too early")</f>
        <v>Too early</v>
      </c>
      <c r="W55" s="379" t="str">
        <f>IF(V55="Too early","Too early",V55/U55)</f>
        <v>Too early</v>
      </c>
      <c r="X55" s="222">
        <v>2960</v>
      </c>
      <c r="Y55" s="226">
        <v>30000</v>
      </c>
      <c r="Z55" s="233">
        <f t="shared" si="4"/>
        <v>9.8666666666666666E-2</v>
      </c>
      <c r="AA55" s="203" t="str">
        <f>IF($V55="Too early",V55,V55*AG55/Y55)</f>
        <v>Too early</v>
      </c>
      <c r="AB55" s="218">
        <v>368</v>
      </c>
      <c r="AC55" s="222">
        <v>25342</v>
      </c>
      <c r="AD55" s="226">
        <v>30000</v>
      </c>
      <c r="AE55" s="203">
        <f t="shared" si="5"/>
        <v>0.84473333333333334</v>
      </c>
      <c r="AF55" s="229">
        <v>1590</v>
      </c>
      <c r="AG55" s="204">
        <f>X55/S55</f>
        <v>58.03921568627451</v>
      </c>
      <c r="AH55" s="214"/>
      <c r="AI55" s="214"/>
      <c r="AJ55" s="214"/>
      <c r="AK55" s="340">
        <v>28243</v>
      </c>
      <c r="AL55" s="344">
        <f>L55-AK55</f>
        <v>59</v>
      </c>
    </row>
    <row r="56" spans="1:38" s="142" customFormat="1" ht="14.25">
      <c r="A56" s="142">
        <v>20</v>
      </c>
      <c r="B56" s="142">
        <f t="shared" si="1"/>
        <v>15</v>
      </c>
      <c r="C56" s="143">
        <v>46034</v>
      </c>
      <c r="D56" s="142" t="s">
        <v>84</v>
      </c>
      <c r="G56" s="143">
        <v>46039.833333333336</v>
      </c>
      <c r="H56" s="142" t="s">
        <v>64</v>
      </c>
      <c r="I56" s="510">
        <v>0.85</v>
      </c>
      <c r="J56" s="203">
        <f>K56/AF56</f>
        <v>0.45660377358490567</v>
      </c>
      <c r="K56" s="36">
        <f>S56+AB56</f>
        <v>726</v>
      </c>
      <c r="L56" s="38">
        <f>X56+AC56</f>
        <v>47864.9</v>
      </c>
      <c r="M56" s="31">
        <f>Y56+AD56</f>
        <v>75000</v>
      </c>
      <c r="N56" s="498">
        <f>L56-M56</f>
        <v>-27135.1</v>
      </c>
      <c r="O56" s="30" t="str">
        <f>IF(P56="Too early",P56,P56/AF56)</f>
        <v>Too early</v>
      </c>
      <c r="P56" s="37" t="str">
        <f t="shared" si="2"/>
        <v>Too early</v>
      </c>
      <c r="Q56" s="38" t="str">
        <f>IF(V56="Too early",V56,AC56+V56*AG56)</f>
        <v>Too early</v>
      </c>
      <c r="R56" s="514" t="str">
        <f t="shared" si="6"/>
        <v>Too early</v>
      </c>
      <c r="S56" s="238">
        <v>126</v>
      </c>
      <c r="T56" s="380">
        <f t="shared" si="3"/>
        <v>990</v>
      </c>
      <c r="U56" s="380">
        <f>(AF56-AB56)*I56</f>
        <v>841.5</v>
      </c>
      <c r="V56" s="202" t="str">
        <f>IF(B56&lt;11,MIN((S56/VLOOKUP(B56,'Sales Pacing'!$A$23:$E$36,2)),T56),"Too early")</f>
        <v>Too early</v>
      </c>
      <c r="W56" s="379" t="str">
        <f>IF(V56="Too early","Too early",V56/U56)</f>
        <v>Too early</v>
      </c>
      <c r="X56" s="222">
        <v>7358</v>
      </c>
      <c r="Y56" s="226">
        <v>20000</v>
      </c>
      <c r="Z56" s="233">
        <f t="shared" si="4"/>
        <v>0.3679</v>
      </c>
      <c r="AA56" s="203" t="str">
        <f>IF($V56="Too early",V56,V56*AG56/Y56)</f>
        <v>Too early</v>
      </c>
      <c r="AB56" s="218">
        <v>600</v>
      </c>
      <c r="AC56" s="222">
        <v>40506.9</v>
      </c>
      <c r="AD56" s="226">
        <v>55000</v>
      </c>
      <c r="AE56" s="203">
        <f t="shared" si="5"/>
        <v>0.73648909090909098</v>
      </c>
      <c r="AF56" s="229">
        <v>1590</v>
      </c>
      <c r="AG56" s="204">
        <f>X56/S56</f>
        <v>58.396825396825399</v>
      </c>
      <c r="AH56" s="214"/>
      <c r="AI56" s="214"/>
      <c r="AJ56" s="214"/>
      <c r="AK56" s="340">
        <v>47394.9</v>
      </c>
      <c r="AL56" s="344">
        <f>L56-AK56</f>
        <v>470</v>
      </c>
    </row>
    <row r="57" spans="1:38" s="146" customFormat="1" ht="14.25">
      <c r="A57" s="146">
        <v>20</v>
      </c>
      <c r="B57" s="146">
        <f t="shared" si="1"/>
        <v>15</v>
      </c>
      <c r="C57" s="147">
        <v>46034</v>
      </c>
      <c r="D57" s="146" t="s">
        <v>84</v>
      </c>
      <c r="G57" s="147">
        <v>46040.583333333336</v>
      </c>
      <c r="H57" s="146" t="s">
        <v>64</v>
      </c>
      <c r="I57" s="527">
        <v>0.85</v>
      </c>
      <c r="J57" s="206">
        <f>K57/AF57</f>
        <v>0.4408805031446541</v>
      </c>
      <c r="K57" s="148">
        <f>S57+AB57</f>
        <v>701</v>
      </c>
      <c r="L57" s="34">
        <f>X57+AC57</f>
        <v>44947.199999999997</v>
      </c>
      <c r="M57" s="35">
        <f>Y57+AD57</f>
        <v>75000</v>
      </c>
      <c r="N57" s="500">
        <f>L57-M57</f>
        <v>-30052.800000000003</v>
      </c>
      <c r="O57" s="33" t="str">
        <f>IF(P57="Too early",P57,P57/AF57)</f>
        <v>Too early</v>
      </c>
      <c r="P57" s="32" t="str">
        <f t="shared" si="2"/>
        <v>Too early</v>
      </c>
      <c r="Q57" s="34" t="str">
        <f>IF(V57="Too early",V57,AC57+V57*AG57)</f>
        <v>Too early</v>
      </c>
      <c r="R57" s="515" t="str">
        <f t="shared" si="6"/>
        <v>Too early</v>
      </c>
      <c r="S57" s="240">
        <v>93</v>
      </c>
      <c r="T57" s="395">
        <f t="shared" si="3"/>
        <v>982</v>
      </c>
      <c r="U57" s="395">
        <f>(AF57-AB57)*I57</f>
        <v>834.69999999999993</v>
      </c>
      <c r="V57" s="205" t="str">
        <f>IF(B57&lt;11,MIN((S57/VLOOKUP(B57,'Sales Pacing'!$A$23:$E$36,2)),T57),"Too early")</f>
        <v>Too early</v>
      </c>
      <c r="W57" s="396" t="str">
        <f>IF(V57="Too early","Too early",V57/U57)</f>
        <v>Too early</v>
      </c>
      <c r="X57" s="223">
        <v>5931</v>
      </c>
      <c r="Y57" s="227">
        <v>20000</v>
      </c>
      <c r="Z57" s="234">
        <f t="shared" si="4"/>
        <v>0.29654999999999998</v>
      </c>
      <c r="AA57" s="206" t="str">
        <f>IF($V57="Too early",V57,V57*AG57/Y57)</f>
        <v>Too early</v>
      </c>
      <c r="AB57" s="219">
        <v>608</v>
      </c>
      <c r="AC57" s="223">
        <v>39016.199999999997</v>
      </c>
      <c r="AD57" s="227">
        <v>55000</v>
      </c>
      <c r="AE57" s="206">
        <f t="shared" si="5"/>
        <v>0.70938545454545454</v>
      </c>
      <c r="AF57" s="230">
        <v>1590</v>
      </c>
      <c r="AG57" s="207">
        <f>X57/S57</f>
        <v>63.774193548387096</v>
      </c>
      <c r="AH57" s="215"/>
      <c r="AI57" s="215"/>
      <c r="AJ57" s="215"/>
      <c r="AK57" s="342">
        <v>44600.2</v>
      </c>
      <c r="AL57" s="344">
        <f>L57-AK57</f>
        <v>347</v>
      </c>
    </row>
    <row r="58" spans="1:38" s="142" customFormat="1" ht="14.25">
      <c r="A58" s="142">
        <v>21</v>
      </c>
      <c r="B58" s="142">
        <f t="shared" si="1"/>
        <v>16</v>
      </c>
      <c r="C58" s="143">
        <v>46041</v>
      </c>
      <c r="D58" s="142" t="s">
        <v>85</v>
      </c>
      <c r="G58" s="143">
        <v>46044.791666666664</v>
      </c>
      <c r="H58" s="142" t="s">
        <v>66</v>
      </c>
      <c r="I58" s="510">
        <v>0.85</v>
      </c>
      <c r="J58" s="203">
        <f>K58/AF58</f>
        <v>0.10061443932411675</v>
      </c>
      <c r="K58" s="36">
        <f>S58+AB58</f>
        <v>131</v>
      </c>
      <c r="L58" s="38">
        <f>X58+AC58</f>
        <v>7965</v>
      </c>
      <c r="M58" s="31">
        <f>Y58+AD58</f>
        <v>90000</v>
      </c>
      <c r="N58" s="498">
        <f>L58-M58</f>
        <v>-82035</v>
      </c>
      <c r="O58" s="30" t="str">
        <f>IF(P58="Too early",P58,P58/AF58)</f>
        <v>Too early</v>
      </c>
      <c r="P58" s="37" t="str">
        <f t="shared" si="2"/>
        <v>Too early</v>
      </c>
      <c r="Q58" s="38" t="str">
        <f>IF(V58="Too early",V58,AC58+V58*AG58)</f>
        <v>Too early</v>
      </c>
      <c r="R58" s="514" t="str">
        <f t="shared" si="6"/>
        <v>Too early</v>
      </c>
      <c r="S58" s="218">
        <v>131</v>
      </c>
      <c r="T58" s="229">
        <f t="shared" si="3"/>
        <v>1302</v>
      </c>
      <c r="U58" s="380">
        <f>(AF58-AB58)*I58</f>
        <v>1106.7</v>
      </c>
      <c r="V58" s="202" t="str">
        <f>IF(B58&lt;11,MIN((S58/VLOOKUP(B58,'Sales Pacing'!$A$23:$E$36,2)),T58),"Too early")</f>
        <v>Too early</v>
      </c>
      <c r="W58" s="379" t="str">
        <f>IF(V58="Too early","Too early",V58/U58)</f>
        <v>Too early</v>
      </c>
      <c r="X58" s="271">
        <v>7965</v>
      </c>
      <c r="Y58" s="226">
        <v>90000</v>
      </c>
      <c r="Z58" s="233">
        <f t="shared" si="4"/>
        <v>8.8499999999999995E-2</v>
      </c>
      <c r="AA58" s="203" t="str">
        <f>IF($V58="Too early",V58,V58*AG58/Y58)</f>
        <v>Too early</v>
      </c>
      <c r="AB58" s="218"/>
      <c r="AC58" s="222"/>
      <c r="AD58" s="226"/>
      <c r="AE58" s="203" t="str">
        <f t="shared" si="5"/>
        <v/>
      </c>
      <c r="AF58" s="229">
        <v>1302</v>
      </c>
      <c r="AG58" s="204">
        <f>X58/S58</f>
        <v>60.801526717557252</v>
      </c>
      <c r="AH58" s="214"/>
      <c r="AI58" s="214"/>
      <c r="AJ58" s="214"/>
      <c r="AK58" s="340">
        <v>7410</v>
      </c>
      <c r="AL58" s="344">
        <f>L58-AK58</f>
        <v>555</v>
      </c>
    </row>
    <row r="59" spans="1:38" s="142" customFormat="1" ht="14.25">
      <c r="A59" s="142">
        <v>21</v>
      </c>
      <c r="B59" s="142">
        <f t="shared" si="1"/>
        <v>16</v>
      </c>
      <c r="C59" s="143">
        <v>46041</v>
      </c>
      <c r="D59" s="142" t="s">
        <v>85</v>
      </c>
      <c r="G59" s="143">
        <v>46045.791666666664</v>
      </c>
      <c r="H59" s="142" t="s">
        <v>66</v>
      </c>
      <c r="I59" s="510">
        <v>0.85</v>
      </c>
      <c r="J59" s="203">
        <f>K59/AF59</f>
        <v>0.23502304147465439</v>
      </c>
      <c r="K59" s="36">
        <f>S59+AB59</f>
        <v>306</v>
      </c>
      <c r="L59" s="38">
        <f>X59+AC59</f>
        <v>22141.9</v>
      </c>
      <c r="M59" s="31">
        <f>Y59+AD59</f>
        <v>90000</v>
      </c>
      <c r="N59" s="498">
        <f>L59-M59</f>
        <v>-67858.100000000006</v>
      </c>
      <c r="O59" s="30" t="str">
        <f>IF(P59="Too early",P59,P59/AF59)</f>
        <v>Too early</v>
      </c>
      <c r="P59" s="37" t="str">
        <f t="shared" si="2"/>
        <v>Too early</v>
      </c>
      <c r="Q59" s="38" t="str">
        <f>IF(V59="Too early",V59,AC59+V59*AG59)</f>
        <v>Too early</v>
      </c>
      <c r="R59" s="514" t="str">
        <f t="shared" si="6"/>
        <v>Too early</v>
      </c>
      <c r="S59" s="218">
        <v>306</v>
      </c>
      <c r="T59" s="229">
        <f t="shared" si="3"/>
        <v>1302</v>
      </c>
      <c r="U59" s="380">
        <f>(AF59-AB59)*I59</f>
        <v>1106.7</v>
      </c>
      <c r="V59" s="202" t="str">
        <f>IF(B59&lt;11,MIN((S59/VLOOKUP(B59,'Sales Pacing'!$A$23:$E$36,2)),T59),"Too early")</f>
        <v>Too early</v>
      </c>
      <c r="W59" s="379" t="str">
        <f>IF(V59="Too early","Too early",V59/U59)</f>
        <v>Too early</v>
      </c>
      <c r="X59" s="222">
        <v>22141.9</v>
      </c>
      <c r="Y59" s="226">
        <v>90000</v>
      </c>
      <c r="Z59" s="233">
        <f t="shared" si="4"/>
        <v>0.24602111111111113</v>
      </c>
      <c r="AA59" s="203" t="str">
        <f>IF($V59="Too early",V59,V59*AG59/Y59)</f>
        <v>Too early</v>
      </c>
      <c r="AB59" s="218"/>
      <c r="AC59" s="222"/>
      <c r="AD59" s="226"/>
      <c r="AE59" s="203" t="str">
        <f t="shared" si="5"/>
        <v/>
      </c>
      <c r="AF59" s="229">
        <v>1302</v>
      </c>
      <c r="AG59" s="204">
        <f>X59/S59</f>
        <v>72.359150326797391</v>
      </c>
      <c r="AH59" s="214"/>
      <c r="AI59" s="214"/>
      <c r="AJ59" s="214"/>
      <c r="AK59" s="340">
        <v>21481.9</v>
      </c>
      <c r="AL59" s="344">
        <f>L59-AK59</f>
        <v>660</v>
      </c>
    </row>
    <row r="60" spans="1:38" s="142" customFormat="1" ht="14.25">
      <c r="A60" s="142">
        <v>21</v>
      </c>
      <c r="B60" s="142">
        <f t="shared" si="1"/>
        <v>16</v>
      </c>
      <c r="C60" s="143">
        <v>46041</v>
      </c>
      <c r="D60" s="142" t="s">
        <v>85</v>
      </c>
      <c r="G60" s="143">
        <v>46046.791666666664</v>
      </c>
      <c r="H60" s="142" t="s">
        <v>66</v>
      </c>
      <c r="I60" s="510">
        <v>0.85</v>
      </c>
      <c r="J60" s="203">
        <f>K60/AF60</f>
        <v>0.3847926267281106</v>
      </c>
      <c r="K60" s="36">
        <f>S60+AB60</f>
        <v>501</v>
      </c>
      <c r="L60" s="38">
        <f>X60+AC60</f>
        <v>36718.1</v>
      </c>
      <c r="M60" s="31">
        <f>Y60+AD60</f>
        <v>90000</v>
      </c>
      <c r="N60" s="498">
        <f>L60-M60</f>
        <v>-53281.9</v>
      </c>
      <c r="O60" s="30" t="str">
        <f>IF(P60="Too early",P60,P60/AF60)</f>
        <v>Too early</v>
      </c>
      <c r="P60" s="37" t="str">
        <f t="shared" si="2"/>
        <v>Too early</v>
      </c>
      <c r="Q60" s="38" t="str">
        <f>IF(V60="Too early",V60,AC60+V60*AG60)</f>
        <v>Too early</v>
      </c>
      <c r="R60" s="514" t="str">
        <f t="shared" si="6"/>
        <v>Too early</v>
      </c>
      <c r="S60" s="218">
        <v>501</v>
      </c>
      <c r="T60" s="229">
        <f t="shared" si="3"/>
        <v>1302</v>
      </c>
      <c r="U60" s="380">
        <f>(AF60-AB60)*I60</f>
        <v>1106.7</v>
      </c>
      <c r="V60" s="202" t="str">
        <f>IF(B60&lt;11,MIN((S60/VLOOKUP(B60,'Sales Pacing'!$A$23:$E$36,2)),T60),"Too early")</f>
        <v>Too early</v>
      </c>
      <c r="W60" s="379" t="str">
        <f>IF(V60="Too early","Too early",V60/U60)</f>
        <v>Too early</v>
      </c>
      <c r="X60" s="222">
        <v>36718.1</v>
      </c>
      <c r="Y60" s="226">
        <v>90000</v>
      </c>
      <c r="Z60" s="233">
        <f t="shared" si="4"/>
        <v>0.40797888888888889</v>
      </c>
      <c r="AA60" s="203" t="str">
        <f>IF($V60="Too early",V60,V60*AG60/Y60)</f>
        <v>Too early</v>
      </c>
      <c r="AB60" s="218"/>
      <c r="AC60" s="222"/>
      <c r="AD60" s="226"/>
      <c r="AE60" s="203" t="str">
        <f t="shared" si="5"/>
        <v/>
      </c>
      <c r="AF60" s="229">
        <v>1302</v>
      </c>
      <c r="AG60" s="204">
        <f>X60/S60</f>
        <v>73.289620758483025</v>
      </c>
      <c r="AH60" s="214"/>
      <c r="AI60" s="214"/>
      <c r="AJ60" s="214"/>
      <c r="AK60" s="340">
        <v>34988.1</v>
      </c>
      <c r="AL60" s="344">
        <f>L60-AK60</f>
        <v>1730</v>
      </c>
    </row>
    <row r="61" spans="1:38" s="146" customFormat="1" ht="14.25">
      <c r="A61" s="146">
        <v>21</v>
      </c>
      <c r="B61" s="146">
        <f t="shared" si="1"/>
        <v>16</v>
      </c>
      <c r="C61" s="147">
        <v>46041</v>
      </c>
      <c r="D61" s="146" t="s">
        <v>85</v>
      </c>
      <c r="G61" s="147">
        <v>46047.583333333336</v>
      </c>
      <c r="H61" s="146" t="s">
        <v>66</v>
      </c>
      <c r="I61" s="527">
        <v>0.85</v>
      </c>
      <c r="J61" s="206">
        <f>K61/AF61</f>
        <v>0.29493087557603687</v>
      </c>
      <c r="K61" s="148">
        <f>S61+AB61</f>
        <v>384</v>
      </c>
      <c r="L61" s="34">
        <f>X61+AC61</f>
        <v>26947.1</v>
      </c>
      <c r="M61" s="35">
        <f>Y61+AD61</f>
        <v>90000</v>
      </c>
      <c r="N61" s="500">
        <f>L61-M61</f>
        <v>-63052.9</v>
      </c>
      <c r="O61" s="33" t="str">
        <f>IF(P61="Too early",P61,P61/AF61)</f>
        <v>Too early</v>
      </c>
      <c r="P61" s="32" t="str">
        <f t="shared" si="2"/>
        <v>Too early</v>
      </c>
      <c r="Q61" s="34" t="str">
        <f>IF(V61="Too early",V61,AC61+V61*AG61)</f>
        <v>Too early</v>
      </c>
      <c r="R61" s="515" t="str">
        <f t="shared" si="6"/>
        <v>Too early</v>
      </c>
      <c r="S61" s="219">
        <v>384</v>
      </c>
      <c r="T61" s="230">
        <f t="shared" si="3"/>
        <v>1302</v>
      </c>
      <c r="U61" s="395">
        <f>(AF61-AB61)*I61</f>
        <v>1106.7</v>
      </c>
      <c r="V61" s="205" t="str">
        <f>IF(B61&lt;11,MIN((S61/VLOOKUP(B61,'Sales Pacing'!$A$23:$E$36,2)),T61),"Too early")</f>
        <v>Too early</v>
      </c>
      <c r="W61" s="396" t="str">
        <f>IF(V61="Too early","Too early",V61/U61)</f>
        <v>Too early</v>
      </c>
      <c r="X61" s="223">
        <v>26947.1</v>
      </c>
      <c r="Y61" s="226">
        <v>90000</v>
      </c>
      <c r="Z61" s="233">
        <f t="shared" si="4"/>
        <v>0.29941222222222219</v>
      </c>
      <c r="AA61" s="206" t="str">
        <f>IF($V61="Too early",V61,V61*AG61/Y61)</f>
        <v>Too early</v>
      </c>
      <c r="AB61" s="219"/>
      <c r="AC61" s="223"/>
      <c r="AD61" s="227"/>
      <c r="AE61" s="206" t="str">
        <f t="shared" si="5"/>
        <v/>
      </c>
      <c r="AF61" s="230">
        <v>1302</v>
      </c>
      <c r="AG61" s="207">
        <f>X61/S61</f>
        <v>70.174739583333334</v>
      </c>
      <c r="AH61" s="215"/>
      <c r="AI61" s="215"/>
      <c r="AJ61" s="215"/>
      <c r="AK61" s="342">
        <v>26457.1</v>
      </c>
      <c r="AL61" s="344">
        <f>L61-AK61</f>
        <v>490</v>
      </c>
    </row>
    <row r="62" spans="1:38" s="142" customFormat="1" ht="14.25">
      <c r="A62" s="142">
        <v>22</v>
      </c>
      <c r="B62" s="142">
        <f t="shared" si="1"/>
        <v>17</v>
      </c>
      <c r="C62" s="176">
        <v>46048</v>
      </c>
      <c r="D62" s="177" t="s">
        <v>86</v>
      </c>
      <c r="E62" s="177"/>
      <c r="F62" s="177"/>
      <c r="G62" s="176">
        <v>46052.833333333336</v>
      </c>
      <c r="H62" s="177" t="s">
        <v>64</v>
      </c>
      <c r="I62" s="510">
        <v>0.85</v>
      </c>
      <c r="J62" s="203">
        <f>K62/AF62</f>
        <v>0.27358490566037735</v>
      </c>
      <c r="K62" s="36">
        <f>S62+AB62</f>
        <v>435</v>
      </c>
      <c r="L62" s="38">
        <f>X62+AC62</f>
        <v>28716</v>
      </c>
      <c r="M62" s="31">
        <f>Y62+AD62</f>
        <v>54000</v>
      </c>
      <c r="N62" s="498">
        <f>L62-M62</f>
        <v>-25284</v>
      </c>
      <c r="O62" s="30" t="str">
        <f>IF(P62="Too early",P62,P62/AF62)</f>
        <v>Too early</v>
      </c>
      <c r="P62" s="37" t="str">
        <f t="shared" si="2"/>
        <v>Too early</v>
      </c>
      <c r="Q62" s="38" t="str">
        <f>IF(V62="Too early",V62,AC62+V62*AG62)</f>
        <v>Too early</v>
      </c>
      <c r="R62" s="514" t="str">
        <f t="shared" si="6"/>
        <v>Too early</v>
      </c>
      <c r="S62" s="238">
        <v>71</v>
      </c>
      <c r="T62" s="380">
        <f t="shared" si="3"/>
        <v>1226</v>
      </c>
      <c r="U62" s="380">
        <f>(AF62-AB62)*I62</f>
        <v>1042.0999999999999</v>
      </c>
      <c r="V62" s="202" t="str">
        <f>IF(B62&lt;11,MIN((S62/VLOOKUP(B62,'Sales Pacing'!$A$23:$E$36,2)),T62),"Too early")</f>
        <v>Too early</v>
      </c>
      <c r="W62" s="379" t="str">
        <f>IF(V62="Too early","Too early",V62/U62)</f>
        <v>Too early</v>
      </c>
      <c r="X62" s="222">
        <v>3847</v>
      </c>
      <c r="Y62" s="226">
        <v>24000</v>
      </c>
      <c r="Z62" s="233">
        <f t="shared" si="4"/>
        <v>0.16029166666666667</v>
      </c>
      <c r="AA62" s="203" t="str">
        <f>IF($V62="Too early",V62,V62*AG62/Y62)</f>
        <v>Too early</v>
      </c>
      <c r="AB62" s="218">
        <v>364</v>
      </c>
      <c r="AC62" s="222">
        <v>24869</v>
      </c>
      <c r="AD62" s="226">
        <v>30000</v>
      </c>
      <c r="AE62" s="203">
        <f t="shared" si="5"/>
        <v>0.82896666666666663</v>
      </c>
      <c r="AF62" s="229">
        <v>1590</v>
      </c>
      <c r="AG62" s="204">
        <f>X62/S62</f>
        <v>54.183098591549296</v>
      </c>
      <c r="AH62" s="214"/>
      <c r="AI62" s="214"/>
      <c r="AJ62" s="214"/>
      <c r="AK62" s="340">
        <v>28368</v>
      </c>
      <c r="AL62" s="344">
        <f>L62-AK62</f>
        <v>348</v>
      </c>
    </row>
    <row r="63" spans="1:38" s="142" customFormat="1" ht="14.25">
      <c r="A63" s="142">
        <v>22</v>
      </c>
      <c r="B63" s="142">
        <f t="shared" si="1"/>
        <v>17</v>
      </c>
      <c r="C63" s="143">
        <v>46048</v>
      </c>
      <c r="D63" s="142" t="s">
        <v>86</v>
      </c>
      <c r="G63" s="143">
        <v>46053.833333333336</v>
      </c>
      <c r="H63" s="142" t="s">
        <v>64</v>
      </c>
      <c r="I63" s="510">
        <v>0.85</v>
      </c>
      <c r="J63" s="203">
        <f>K63/AF63</f>
        <v>0.43522012578616354</v>
      </c>
      <c r="K63" s="36">
        <f>S63+AB63</f>
        <v>692</v>
      </c>
      <c r="L63" s="38">
        <f>X63+AC63</f>
        <v>45477.9</v>
      </c>
      <c r="M63" s="31">
        <f>Y63+AD63</f>
        <v>75000</v>
      </c>
      <c r="N63" s="498">
        <f>L63-M63</f>
        <v>-29522.1</v>
      </c>
      <c r="O63" s="30" t="str">
        <f>IF(P63="Too early",P63,P63/AF63)</f>
        <v>Too early</v>
      </c>
      <c r="P63" s="37" t="str">
        <f t="shared" si="2"/>
        <v>Too early</v>
      </c>
      <c r="Q63" s="38" t="str">
        <f>IF(V63="Too early",V63,AC63+V63*AG63)</f>
        <v>Too early</v>
      </c>
      <c r="R63" s="514" t="str">
        <f t="shared" si="6"/>
        <v>Too early</v>
      </c>
      <c r="S63" s="238">
        <v>94</v>
      </c>
      <c r="T63" s="380">
        <f t="shared" si="3"/>
        <v>992</v>
      </c>
      <c r="U63" s="380">
        <f>(AF63-AB63)*I63</f>
        <v>843.19999999999993</v>
      </c>
      <c r="V63" s="202" t="str">
        <f>IF(B63&lt;11,MIN((S63/VLOOKUP(B63,'Sales Pacing'!$A$23:$E$36,2)),T63),"Too early")</f>
        <v>Too early</v>
      </c>
      <c r="W63" s="379" t="str">
        <f>IF(V63="Too early","Too early",V63/U63)</f>
        <v>Too early</v>
      </c>
      <c r="X63" s="222">
        <v>5569</v>
      </c>
      <c r="Y63" s="226">
        <v>20000</v>
      </c>
      <c r="Z63" s="233">
        <f t="shared" si="4"/>
        <v>0.27844999999999998</v>
      </c>
      <c r="AA63" s="203" t="str">
        <f>IF($V63="Too early",V63,V63*AG63/Y63)</f>
        <v>Too early</v>
      </c>
      <c r="AB63" s="218">
        <v>598</v>
      </c>
      <c r="AC63" s="222">
        <v>39908.9</v>
      </c>
      <c r="AD63" s="226">
        <v>55000</v>
      </c>
      <c r="AE63" s="203">
        <f t="shared" si="5"/>
        <v>0.72561636363636361</v>
      </c>
      <c r="AF63" s="229">
        <v>1590</v>
      </c>
      <c r="AG63" s="204">
        <f>X63/S63</f>
        <v>59.244680851063826</v>
      </c>
      <c r="AH63" s="214"/>
      <c r="AI63" s="214"/>
      <c r="AJ63" s="214"/>
      <c r="AK63" s="340">
        <v>45500.9</v>
      </c>
      <c r="AL63" s="344">
        <f>L63-AK63</f>
        <v>-23</v>
      </c>
    </row>
    <row r="64" spans="1:38" s="146" customFormat="1" ht="14.25">
      <c r="A64" s="146">
        <v>22</v>
      </c>
      <c r="B64" s="146">
        <f t="shared" si="1"/>
        <v>17</v>
      </c>
      <c r="C64" s="147">
        <v>46048</v>
      </c>
      <c r="D64" s="146" t="s">
        <v>86</v>
      </c>
      <c r="G64" s="147">
        <v>46054.583333333336</v>
      </c>
      <c r="H64" s="146" t="s">
        <v>64</v>
      </c>
      <c r="I64" s="527">
        <v>0.85</v>
      </c>
      <c r="J64" s="206">
        <f>K64/AF64</f>
        <v>0.42830188679245285</v>
      </c>
      <c r="K64" s="148">
        <f>S64+AB64</f>
        <v>681</v>
      </c>
      <c r="L64" s="34">
        <f>X64+AC64</f>
        <v>43667.199999999997</v>
      </c>
      <c r="M64" s="35">
        <f>Y64+AD64</f>
        <v>75000</v>
      </c>
      <c r="N64" s="500">
        <f>L64-M64</f>
        <v>-31332.800000000003</v>
      </c>
      <c r="O64" s="33" t="str">
        <f>IF(P64="Too early",P64,P64/AF64)</f>
        <v>Too early</v>
      </c>
      <c r="P64" s="32" t="str">
        <f t="shared" si="2"/>
        <v>Too early</v>
      </c>
      <c r="Q64" s="34" t="str">
        <f>IF(V64="Too early",V64,AC64+V64*AG64)</f>
        <v>Too early</v>
      </c>
      <c r="R64" s="515" t="str">
        <f t="shared" si="6"/>
        <v>Too early</v>
      </c>
      <c r="S64" s="240">
        <v>72</v>
      </c>
      <c r="T64" s="395">
        <f t="shared" si="3"/>
        <v>981</v>
      </c>
      <c r="U64" s="395">
        <f>(AF64-AB64)*I64</f>
        <v>833.85</v>
      </c>
      <c r="V64" s="205" t="str">
        <f>IF(B64&lt;11,MIN((S64/VLOOKUP(B64,'Sales Pacing'!$A$23:$E$36,2)),T64),"Too early")</f>
        <v>Too early</v>
      </c>
      <c r="W64" s="396" t="str">
        <f>IF(V64="Too early","Too early",V64/U64)</f>
        <v>Too early</v>
      </c>
      <c r="X64" s="223">
        <v>4644</v>
      </c>
      <c r="Y64" s="227">
        <v>20000</v>
      </c>
      <c r="Z64" s="234">
        <f t="shared" si="4"/>
        <v>0.23219999999999999</v>
      </c>
      <c r="AA64" s="206" t="str">
        <f>IF($V64="Too early",V64,V64*AG64/Y64)</f>
        <v>Too early</v>
      </c>
      <c r="AB64" s="219">
        <v>609</v>
      </c>
      <c r="AC64" s="223">
        <v>39023.199999999997</v>
      </c>
      <c r="AD64" s="227">
        <v>55000</v>
      </c>
      <c r="AE64" s="206">
        <f t="shared" si="5"/>
        <v>0.70951272727272718</v>
      </c>
      <c r="AF64" s="230">
        <v>1590</v>
      </c>
      <c r="AG64" s="207">
        <f>X64/S64</f>
        <v>64.5</v>
      </c>
      <c r="AH64" s="215"/>
      <c r="AI64" s="215"/>
      <c r="AJ64" s="215"/>
      <c r="AK64" s="342">
        <v>43394.2</v>
      </c>
      <c r="AL64" s="344">
        <f>L64-AK64</f>
        <v>273</v>
      </c>
    </row>
    <row r="65" spans="1:38" s="142" customFormat="1" ht="14.25">
      <c r="A65" s="142">
        <v>23</v>
      </c>
      <c r="B65" s="142">
        <f t="shared" si="1"/>
        <v>18</v>
      </c>
      <c r="C65" s="143">
        <v>46055</v>
      </c>
      <c r="D65" s="142" t="s">
        <v>87</v>
      </c>
      <c r="G65" s="143">
        <v>46058.833333333336</v>
      </c>
      <c r="H65" s="142" t="s">
        <v>70</v>
      </c>
      <c r="I65" s="510">
        <v>0.85</v>
      </c>
      <c r="J65" s="203">
        <f>K65/AF65</f>
        <v>0.19</v>
      </c>
      <c r="K65" s="36">
        <f>S65+AB65</f>
        <v>19</v>
      </c>
      <c r="L65" s="38">
        <f>X65+AC65</f>
        <v>1960</v>
      </c>
      <c r="M65" s="31">
        <v>9000</v>
      </c>
      <c r="N65" s="498">
        <f>L65-M65</f>
        <v>-7040</v>
      </c>
      <c r="O65" s="30" t="str">
        <f>IF(P65="Too early",P65,P65/AF65)</f>
        <v>Too early</v>
      </c>
      <c r="P65" s="37" t="str">
        <f t="shared" si="2"/>
        <v>Too early</v>
      </c>
      <c r="Q65" s="38" t="str">
        <f>IF(V65="Too early",V65,AC65+V65*AG65)</f>
        <v>Too early</v>
      </c>
      <c r="R65" s="514" t="str">
        <f t="shared" si="6"/>
        <v>Too early</v>
      </c>
      <c r="S65" s="238">
        <v>19</v>
      </c>
      <c r="T65" s="380">
        <f t="shared" si="3"/>
        <v>100</v>
      </c>
      <c r="U65" s="380">
        <f>(AF65-AB65)*I65</f>
        <v>85</v>
      </c>
      <c r="V65" s="202" t="str">
        <f>IF(B65&lt;11,MIN((S65/VLOOKUP(B65,'Sales Pacing'!$A$23:$E$36,2)),T65),"Too early")</f>
        <v>Too early</v>
      </c>
      <c r="W65" s="379" t="str">
        <f>IF(V65="Too early","Too early",V65/U65)</f>
        <v>Too early</v>
      </c>
      <c r="X65" s="222">
        <v>1960</v>
      </c>
      <c r="Y65" s="226">
        <v>9000</v>
      </c>
      <c r="Z65" s="233">
        <f t="shared" si="4"/>
        <v>0.21777777777777776</v>
      </c>
      <c r="AA65" s="203" t="str">
        <f>IF($V65="Too early",V65,V65*AG65/Y65)</f>
        <v>Too early</v>
      </c>
      <c r="AB65" s="218"/>
      <c r="AC65" s="222"/>
      <c r="AD65" s="226"/>
      <c r="AE65" s="203" t="str">
        <f t="shared" si="5"/>
        <v/>
      </c>
      <c r="AF65" s="229">
        <v>100</v>
      </c>
      <c r="AG65" s="204">
        <f>X65/S65</f>
        <v>103.15789473684211</v>
      </c>
      <c r="AH65" s="214"/>
      <c r="AI65" s="214"/>
      <c r="AJ65" s="214"/>
      <c r="AK65" s="340">
        <v>1960</v>
      </c>
      <c r="AL65" s="344">
        <f>L65-AK65</f>
        <v>0</v>
      </c>
    </row>
    <row r="66" spans="1:38" s="142" customFormat="1" ht="14.25">
      <c r="A66" s="142">
        <v>23</v>
      </c>
      <c r="B66" s="142">
        <f t="shared" si="1"/>
        <v>18</v>
      </c>
      <c r="C66" s="143">
        <v>46055</v>
      </c>
      <c r="D66" s="142" t="s">
        <v>88</v>
      </c>
      <c r="G66" s="143">
        <v>46059.833333333336</v>
      </c>
      <c r="H66" s="142" t="s">
        <v>64</v>
      </c>
      <c r="I66" s="510">
        <v>0.85</v>
      </c>
      <c r="J66" s="203">
        <f>K66/AF66</f>
        <v>0.39245283018867927</v>
      </c>
      <c r="K66" s="36">
        <f>S66+AB66</f>
        <v>624</v>
      </c>
      <c r="L66" s="38">
        <f>X66+AC66</f>
        <v>40003</v>
      </c>
      <c r="M66" s="31">
        <f>Y66+AD66</f>
        <v>46666</v>
      </c>
      <c r="N66" s="498">
        <f>L66-M66</f>
        <v>-6663</v>
      </c>
      <c r="O66" s="30" t="str">
        <f>IF(P66="Too early",P66,P66/AF66)</f>
        <v>Too early</v>
      </c>
      <c r="P66" s="37" t="str">
        <f t="shared" si="2"/>
        <v>Too early</v>
      </c>
      <c r="Q66" s="38" t="str">
        <f>IF(V66="Too early",V66,AC66+V66*AG66)</f>
        <v>Too early</v>
      </c>
      <c r="R66" s="514" t="str">
        <f t="shared" si="6"/>
        <v>Too early</v>
      </c>
      <c r="S66" s="238">
        <v>62</v>
      </c>
      <c r="T66" s="380">
        <f t="shared" si="3"/>
        <v>1028</v>
      </c>
      <c r="U66" s="380">
        <f>(AF66-AB66)*I66</f>
        <v>873.8</v>
      </c>
      <c r="V66" s="202" t="str">
        <f>IF(B66&lt;11,MIN((S66/VLOOKUP(B66,'Sales Pacing'!$A$23:$E$36,2)),T66),"Too early")</f>
        <v>Too early</v>
      </c>
      <c r="W66" s="379" t="str">
        <f>IF(V66="Too early","Too early",V66/U66)</f>
        <v>Too early</v>
      </c>
      <c r="X66" s="222">
        <v>2540</v>
      </c>
      <c r="Y66" s="226">
        <v>13333</v>
      </c>
      <c r="Z66" s="233">
        <f t="shared" si="4"/>
        <v>0.19050476261906549</v>
      </c>
      <c r="AA66" s="203" t="str">
        <f>IF($V66="Too early",V66,V66*AG66/Y66)</f>
        <v>Too early</v>
      </c>
      <c r="AB66" s="218">
        <v>562</v>
      </c>
      <c r="AC66" s="222">
        <v>37463</v>
      </c>
      <c r="AD66" s="226">
        <v>33333</v>
      </c>
      <c r="AE66" s="203">
        <f t="shared" si="5"/>
        <v>1.1239012390123901</v>
      </c>
      <c r="AF66" s="229">
        <v>1590</v>
      </c>
      <c r="AG66" s="204">
        <f>X66/S66</f>
        <v>40.967741935483872</v>
      </c>
      <c r="AH66" s="214"/>
      <c r="AI66" s="214"/>
      <c r="AJ66" s="214"/>
      <c r="AK66" s="340">
        <v>39823</v>
      </c>
      <c r="AL66" s="344">
        <f>L66-AK66</f>
        <v>180</v>
      </c>
    </row>
    <row r="67" spans="1:38" s="142" customFormat="1" ht="14.25">
      <c r="A67" s="142">
        <v>23</v>
      </c>
      <c r="B67" s="142">
        <f t="shared" si="1"/>
        <v>18</v>
      </c>
      <c r="C67" s="143">
        <v>46055</v>
      </c>
      <c r="D67" s="142" t="s">
        <v>89</v>
      </c>
      <c r="G67" s="143">
        <v>46060.833333333336</v>
      </c>
      <c r="H67" s="142" t="s">
        <v>64</v>
      </c>
      <c r="I67" s="510">
        <v>0.85</v>
      </c>
      <c r="J67" s="203">
        <f>K67/AF67</f>
        <v>0.38238993710691827</v>
      </c>
      <c r="K67" s="36">
        <f>S67+AB67</f>
        <v>608</v>
      </c>
      <c r="L67" s="38">
        <f>X67+AC67</f>
        <v>38795.199999999997</v>
      </c>
      <c r="M67" s="31">
        <f>Y67+AD67</f>
        <v>46666</v>
      </c>
      <c r="N67" s="498">
        <f>L67-M67</f>
        <v>-7870.8000000000029</v>
      </c>
      <c r="O67" s="30" t="str">
        <f>IF(P67="Too early",P67,P67/AF67)</f>
        <v>Too early</v>
      </c>
      <c r="P67" s="37" t="str">
        <f t="shared" si="2"/>
        <v>Too early</v>
      </c>
      <c r="Q67" s="38" t="str">
        <f>IF(V67="Too early",V67,AC67+V67*AG67)</f>
        <v>Too early</v>
      </c>
      <c r="R67" s="514" t="str">
        <f t="shared" si="6"/>
        <v>Too early</v>
      </c>
      <c r="S67" s="238">
        <v>49</v>
      </c>
      <c r="T67" s="380">
        <f t="shared" si="3"/>
        <v>1031</v>
      </c>
      <c r="U67" s="380">
        <f>(AF67-AB67)*I67</f>
        <v>876.35</v>
      </c>
      <c r="V67" s="202" t="str">
        <f>IF(B67&lt;11,MIN((S67/VLOOKUP(B67,'Sales Pacing'!$A$23:$E$36,2)),T67),"Too early")</f>
        <v>Too early</v>
      </c>
      <c r="W67" s="379" t="str">
        <f>IF(V67="Too early","Too early",V67/U67)</f>
        <v>Too early</v>
      </c>
      <c r="X67" s="222">
        <v>2478</v>
      </c>
      <c r="Y67" s="226">
        <v>13333</v>
      </c>
      <c r="Z67" s="233">
        <f t="shared" si="4"/>
        <v>0.18585464636615914</v>
      </c>
      <c r="AA67" s="203" t="str">
        <f>IF($V67="Too early",V67,V67*AG67/Y67)</f>
        <v>Too early</v>
      </c>
      <c r="AB67" s="218">
        <v>559</v>
      </c>
      <c r="AC67" s="222">
        <v>36317.199999999997</v>
      </c>
      <c r="AD67" s="226">
        <v>33333</v>
      </c>
      <c r="AE67" s="203">
        <f t="shared" si="5"/>
        <v>1.0895268952689525</v>
      </c>
      <c r="AF67" s="229">
        <v>1590</v>
      </c>
      <c r="AG67" s="204">
        <f>X67/S67</f>
        <v>50.571428571428569</v>
      </c>
      <c r="AH67" s="214"/>
      <c r="AI67" s="214"/>
      <c r="AJ67" s="214"/>
      <c r="AK67" s="340">
        <v>38606.199999999997</v>
      </c>
      <c r="AL67" s="344">
        <f>L67-AK67</f>
        <v>189</v>
      </c>
    </row>
    <row r="68" spans="1:38" s="146" customFormat="1" ht="14.25">
      <c r="A68" s="146">
        <v>23</v>
      </c>
      <c r="B68" s="146">
        <f t="shared" si="1"/>
        <v>18</v>
      </c>
      <c r="C68" s="147">
        <v>46055</v>
      </c>
      <c r="D68" s="146" t="s">
        <v>90</v>
      </c>
      <c r="G68" s="147">
        <v>46061.583333333336</v>
      </c>
      <c r="H68" s="146" t="s">
        <v>64</v>
      </c>
      <c r="I68" s="527">
        <v>0.85</v>
      </c>
      <c r="J68" s="206">
        <f>K68/AF68</f>
        <v>0.38113207547169814</v>
      </c>
      <c r="K68" s="148">
        <f>S68+AB68</f>
        <v>606</v>
      </c>
      <c r="L68" s="34">
        <f>X68+AC68</f>
        <v>38109.1</v>
      </c>
      <c r="M68" s="35">
        <f>Y68+AD68</f>
        <v>46667</v>
      </c>
      <c r="N68" s="500">
        <f>L68-M68</f>
        <v>-8557.9000000000015</v>
      </c>
      <c r="O68" s="33" t="str">
        <f>IF(P68="Too early",P68,P68/AF68)</f>
        <v>Too early</v>
      </c>
      <c r="P68" s="32" t="str">
        <f t="shared" si="2"/>
        <v>Too early</v>
      </c>
      <c r="Q68" s="34" t="str">
        <f>IF(V68="Too early",V68,AC68+V68*AG68)</f>
        <v>Too early</v>
      </c>
      <c r="R68" s="515" t="str">
        <f t="shared" si="6"/>
        <v>Too early</v>
      </c>
      <c r="S68" s="240">
        <v>44</v>
      </c>
      <c r="T68" s="395">
        <f t="shared" si="3"/>
        <v>1028</v>
      </c>
      <c r="U68" s="395">
        <f>(AF68-AB68)*I68</f>
        <v>873.8</v>
      </c>
      <c r="V68" s="205" t="str">
        <f>IF(B68&lt;11,MIN((S68/VLOOKUP(B68,'Sales Pacing'!$A$23:$E$36,2)),T68),"Too early")</f>
        <v>Too early</v>
      </c>
      <c r="W68" s="396" t="str">
        <f>IF(V68="Too early","Too early",V68/U68)</f>
        <v>Too early</v>
      </c>
      <c r="X68" s="223">
        <v>1922</v>
      </c>
      <c r="Y68" s="227">
        <v>13333</v>
      </c>
      <c r="Z68" s="234">
        <f t="shared" si="4"/>
        <v>0.14415360384009601</v>
      </c>
      <c r="AA68" s="206" t="str">
        <f>IF($V68="Too early",V68,V68*AG68/Y68)</f>
        <v>Too early</v>
      </c>
      <c r="AB68" s="219">
        <v>562</v>
      </c>
      <c r="AC68" s="223">
        <v>36187.1</v>
      </c>
      <c r="AD68" s="227">
        <v>33334</v>
      </c>
      <c r="AE68" s="206">
        <f t="shared" si="5"/>
        <v>1.0855912881742364</v>
      </c>
      <c r="AF68" s="230">
        <v>1590</v>
      </c>
      <c r="AG68" s="207">
        <f>X68/S68</f>
        <v>43.68181818181818</v>
      </c>
      <c r="AH68" s="215"/>
      <c r="AI68" s="215"/>
      <c r="AJ68" s="215"/>
      <c r="AK68" s="342">
        <v>38063.1</v>
      </c>
      <c r="AL68" s="344">
        <f>L68-AK68</f>
        <v>46</v>
      </c>
    </row>
    <row r="69" spans="1:38" s="142" customFormat="1" ht="14.25">
      <c r="A69" s="142">
        <v>24</v>
      </c>
      <c r="B69" s="142">
        <f t="shared" si="1"/>
        <v>19</v>
      </c>
      <c r="C69" s="143">
        <v>46062</v>
      </c>
      <c r="D69" s="142" t="s">
        <v>91</v>
      </c>
      <c r="G69" s="143">
        <v>46065.791666666664</v>
      </c>
      <c r="H69" s="142" t="s">
        <v>54</v>
      </c>
      <c r="I69" s="510">
        <v>0.85</v>
      </c>
      <c r="J69" s="203">
        <f>K69/AF69</f>
        <v>0.21383647798742139</v>
      </c>
      <c r="K69" s="36">
        <f>S69+AB69</f>
        <v>340</v>
      </c>
      <c r="L69" s="38">
        <f>X69+AC69</f>
        <v>30162</v>
      </c>
      <c r="M69" s="31">
        <f>Y69+AD69</f>
        <v>128900</v>
      </c>
      <c r="N69" s="498">
        <f>L69-M69</f>
        <v>-98738</v>
      </c>
      <c r="O69" s="30" t="str">
        <f>IF(P69="Too early",P69,P69/AF69)</f>
        <v>Too early</v>
      </c>
      <c r="P69" s="37" t="str">
        <f t="shared" si="2"/>
        <v>Too early</v>
      </c>
      <c r="Q69" s="38" t="str">
        <f>IF(V69="Too early",V69,AC69+V69*AG69)</f>
        <v>Too early</v>
      </c>
      <c r="R69" s="514" t="str">
        <f t="shared" si="6"/>
        <v>Too early</v>
      </c>
      <c r="S69" s="218">
        <v>340</v>
      </c>
      <c r="T69" s="229">
        <f t="shared" si="3"/>
        <v>1590</v>
      </c>
      <c r="U69" s="380">
        <f>(AF69-AB69)*I69</f>
        <v>1351.5</v>
      </c>
      <c r="V69" s="202" t="str">
        <f>IF(B69&lt;11,MIN((S69/VLOOKUP(B69,'Sales Pacing'!$A$23:$E$36,2)),T69),"Too early")</f>
        <v>Too early</v>
      </c>
      <c r="W69" s="379" t="str">
        <f>IF(V69="Too early","Too early",V69/U69)</f>
        <v>Too early</v>
      </c>
      <c r="X69" s="222">
        <v>30162</v>
      </c>
      <c r="Y69" s="226">
        <v>128900</v>
      </c>
      <c r="Z69" s="233">
        <f t="shared" si="4"/>
        <v>0.23399534522885959</v>
      </c>
      <c r="AA69" s="203" t="str">
        <f>IF($V69="Too early",V69,V69*AG69/Y69)</f>
        <v>Too early</v>
      </c>
      <c r="AB69" s="218"/>
      <c r="AC69" s="222"/>
      <c r="AD69" s="226"/>
      <c r="AE69" s="203" t="str">
        <f t="shared" si="5"/>
        <v/>
      </c>
      <c r="AF69" s="229">
        <v>1590</v>
      </c>
      <c r="AG69" s="204">
        <f>X69/S69</f>
        <v>88.711764705882359</v>
      </c>
      <c r="AH69" s="214"/>
      <c r="AI69" s="214"/>
      <c r="AJ69" s="214"/>
      <c r="AK69" s="340">
        <v>27005</v>
      </c>
      <c r="AL69" s="344">
        <f>L69-AK69</f>
        <v>3157</v>
      </c>
    </row>
    <row r="70" spans="1:38" s="142" customFormat="1" ht="14.25">
      <c r="A70" s="142">
        <v>24</v>
      </c>
      <c r="B70" s="142">
        <f t="shared" si="1"/>
        <v>19</v>
      </c>
      <c r="C70" s="143">
        <v>46062</v>
      </c>
      <c r="D70" s="142" t="s">
        <v>92</v>
      </c>
      <c r="G70" s="143">
        <v>46066.833333333336</v>
      </c>
      <c r="H70" s="142" t="s">
        <v>59</v>
      </c>
      <c r="I70" s="510">
        <v>0.85</v>
      </c>
      <c r="J70" s="203">
        <f>K70/AF70</f>
        <v>0.49622641509433962</v>
      </c>
      <c r="K70" s="36">
        <f>S70+AB70</f>
        <v>789</v>
      </c>
      <c r="L70" s="38">
        <f>X70+AC70</f>
        <v>56081.1</v>
      </c>
      <c r="M70" s="31">
        <f>Y70+AD70</f>
        <v>94666</v>
      </c>
      <c r="N70" s="498">
        <f>L70-M70</f>
        <v>-38584.9</v>
      </c>
      <c r="O70" s="30" t="str">
        <f>IF(P70="Too early",P70,P70/AF70)</f>
        <v>Too early</v>
      </c>
      <c r="P70" s="37" t="str">
        <f t="shared" si="2"/>
        <v>Too early</v>
      </c>
      <c r="Q70" s="38" t="str">
        <f>IF(V70="Too early",V70,AC70+V70*AG70)</f>
        <v>Too early</v>
      </c>
      <c r="R70" s="514" t="str">
        <f t="shared" si="6"/>
        <v>Too early</v>
      </c>
      <c r="S70" s="238">
        <v>66</v>
      </c>
      <c r="T70" s="380">
        <f t="shared" si="3"/>
        <v>867</v>
      </c>
      <c r="U70" s="380">
        <f>(AF70-AB70)*I70</f>
        <v>736.94999999999993</v>
      </c>
      <c r="V70" s="202" t="str">
        <f>IF(B70&lt;11,MIN((S70/VLOOKUP(B70,'Sales Pacing'!$A$23:$E$36,2)),T70),"Too early")</f>
        <v>Too early</v>
      </c>
      <c r="W70" s="379" t="str">
        <f>IF(V70="Too early","Too early",V70/U70)</f>
        <v>Too early</v>
      </c>
      <c r="X70" s="222">
        <v>4067</v>
      </c>
      <c r="Y70" s="226">
        <v>53333</v>
      </c>
      <c r="Z70" s="233">
        <f t="shared" si="4"/>
        <v>7.6256726604541275E-2</v>
      </c>
      <c r="AA70" s="203" t="str">
        <f>IF($V70="Too early",V70,V70*AG70/Y70)</f>
        <v>Too early</v>
      </c>
      <c r="AB70" s="218">
        <v>723</v>
      </c>
      <c r="AC70" s="222">
        <v>52014.1</v>
      </c>
      <c r="AD70" s="226">
        <v>41333</v>
      </c>
      <c r="AE70" s="203">
        <f t="shared" si="5"/>
        <v>1.2584157936757554</v>
      </c>
      <c r="AF70" s="229">
        <v>1590</v>
      </c>
      <c r="AG70" s="204">
        <f>X70/S70</f>
        <v>61.621212121212125</v>
      </c>
      <c r="AH70" s="214"/>
      <c r="AI70" s="214"/>
      <c r="AJ70" s="214"/>
      <c r="AK70" s="340">
        <v>55909.1</v>
      </c>
      <c r="AL70" s="344">
        <f>L70-AK70</f>
        <v>172</v>
      </c>
    </row>
    <row r="71" spans="1:38" s="142" customFormat="1" ht="14.25">
      <c r="A71" s="142">
        <v>24</v>
      </c>
      <c r="B71" s="142">
        <f t="shared" ref="B71:B117" si="7">A71-$G$4</f>
        <v>19</v>
      </c>
      <c r="C71" s="143">
        <v>46062</v>
      </c>
      <c r="D71" s="142" t="s">
        <v>92</v>
      </c>
      <c r="G71" s="143">
        <v>46067.833333333336</v>
      </c>
      <c r="H71" s="142" t="s">
        <v>59</v>
      </c>
      <c r="I71" s="510">
        <v>0.85</v>
      </c>
      <c r="J71" s="203">
        <f>K71/AF71</f>
        <v>0.4459119496855346</v>
      </c>
      <c r="K71" s="36">
        <f>S71+AB71</f>
        <v>709</v>
      </c>
      <c r="L71" s="38">
        <f>X71+AC71</f>
        <v>50062.8</v>
      </c>
      <c r="M71" s="31">
        <f>Y71+AD71</f>
        <v>94667</v>
      </c>
      <c r="N71" s="498">
        <f>L71-M71</f>
        <v>-44604.2</v>
      </c>
      <c r="O71" s="30" t="str">
        <f>IF(P71="Too early",P71,P71/AF71)</f>
        <v>Too early</v>
      </c>
      <c r="P71" s="37" t="str">
        <f t="shared" ref="P71:P117" si="8">IF(V71="Too early",V71,V71+AB71)</f>
        <v>Too early</v>
      </c>
      <c r="Q71" s="38" t="str">
        <f>IF(V71="Too early",V71,AC71+V71*AG71)</f>
        <v>Too early</v>
      </c>
      <c r="R71" s="514" t="str">
        <f t="shared" si="6"/>
        <v>Too early</v>
      </c>
      <c r="S71" s="238">
        <v>46</v>
      </c>
      <c r="T71" s="380">
        <f t="shared" ref="T71:T117" si="9">AF71-AB71</f>
        <v>927</v>
      </c>
      <c r="U71" s="380">
        <f>(AF71-AB71)*I71</f>
        <v>787.94999999999993</v>
      </c>
      <c r="V71" s="202" t="str">
        <f>IF(B71&lt;11,MIN((S71/VLOOKUP(B71,'Sales Pacing'!$A$23:$E$36,2)),T71),"Too early")</f>
        <v>Too early</v>
      </c>
      <c r="W71" s="379" t="str">
        <f>IF(V71="Too early","Too early",V71/U71)</f>
        <v>Too early</v>
      </c>
      <c r="X71" s="222">
        <v>2151</v>
      </c>
      <c r="Y71" s="226">
        <v>53333</v>
      </c>
      <c r="Z71" s="233">
        <f t="shared" ref="Z71:Z117" si="10">IF(X71&gt;0,X71/Y71,"")</f>
        <v>4.0331502071887952E-2</v>
      </c>
      <c r="AA71" s="203" t="str">
        <f>IF($V71="Too early",V71,V71*AG71/Y71)</f>
        <v>Too early</v>
      </c>
      <c r="AB71" s="218">
        <v>663</v>
      </c>
      <c r="AC71" s="222">
        <v>47911.8</v>
      </c>
      <c r="AD71" s="226">
        <v>41334</v>
      </c>
      <c r="AE71" s="203">
        <f t="shared" ref="AE71:AE117" si="11">IF(AC71&gt;0,AC71/AD71,"")</f>
        <v>1.1591377558426477</v>
      </c>
      <c r="AF71" s="229">
        <v>1590</v>
      </c>
      <c r="AG71" s="204">
        <f>X71/S71</f>
        <v>46.760869565217391</v>
      </c>
      <c r="AH71" s="214"/>
      <c r="AI71" s="214"/>
      <c r="AJ71" s="214"/>
      <c r="AK71" s="340">
        <v>50570.8</v>
      </c>
      <c r="AL71" s="344">
        <f>L71-AK71</f>
        <v>-508</v>
      </c>
    </row>
    <row r="72" spans="1:38" s="146" customFormat="1" ht="14.25">
      <c r="A72" s="146">
        <v>24</v>
      </c>
      <c r="B72" s="146">
        <f t="shared" si="7"/>
        <v>19</v>
      </c>
      <c r="C72" s="147">
        <v>46062</v>
      </c>
      <c r="D72" s="146" t="s">
        <v>92</v>
      </c>
      <c r="G72" s="147">
        <v>46068.583333333336</v>
      </c>
      <c r="H72" s="146" t="s">
        <v>59</v>
      </c>
      <c r="I72" s="527">
        <v>0.85</v>
      </c>
      <c r="J72" s="206">
        <f>K72/AF72</f>
        <v>0.28176100628930817</v>
      </c>
      <c r="K72" s="148">
        <f>S72+AB72</f>
        <v>448</v>
      </c>
      <c r="L72" s="34">
        <f>X72+AC72</f>
        <v>30213.3</v>
      </c>
      <c r="M72" s="35">
        <f>Y72+AD72</f>
        <v>94666</v>
      </c>
      <c r="N72" s="500">
        <f>L72-M72</f>
        <v>-64452.7</v>
      </c>
      <c r="O72" s="33" t="str">
        <f>IF(P72="Too early",P72,P72/AF72)</f>
        <v>Too early</v>
      </c>
      <c r="P72" s="32" t="str">
        <f t="shared" si="8"/>
        <v>Too early</v>
      </c>
      <c r="Q72" s="34" t="str">
        <f>IF(V72="Too early",V72,AC72+V72*AG72)</f>
        <v>Too early</v>
      </c>
      <c r="R72" s="515" t="str">
        <f t="shared" si="6"/>
        <v>Too early</v>
      </c>
      <c r="S72" s="240">
        <v>63</v>
      </c>
      <c r="T72" s="395">
        <f t="shared" si="9"/>
        <v>1205</v>
      </c>
      <c r="U72" s="395">
        <f>(AF72-AB72)*I72</f>
        <v>1024.25</v>
      </c>
      <c r="V72" s="205" t="str">
        <f>IF(B72&lt;11,MIN((S72/VLOOKUP(B72,'Sales Pacing'!$A$23:$E$36,2)),T72),"Too early")</f>
        <v>Too early</v>
      </c>
      <c r="W72" s="396" t="str">
        <f>IF(V72="Too early","Too early",V72/U72)</f>
        <v>Too early</v>
      </c>
      <c r="X72" s="223">
        <v>3982</v>
      </c>
      <c r="Y72" s="227">
        <v>53333</v>
      </c>
      <c r="Z72" s="234">
        <f t="shared" si="10"/>
        <v>7.4662966643541523E-2</v>
      </c>
      <c r="AA72" s="206" t="str">
        <f>IF($V72="Too early",V72,V72*AG72/Y72)</f>
        <v>Too early</v>
      </c>
      <c r="AB72" s="219">
        <v>385</v>
      </c>
      <c r="AC72" s="223">
        <v>26231.3</v>
      </c>
      <c r="AD72" s="227">
        <v>41333</v>
      </c>
      <c r="AE72" s="206">
        <f t="shared" si="11"/>
        <v>0.63463334381728886</v>
      </c>
      <c r="AF72" s="230">
        <v>1590</v>
      </c>
      <c r="AG72" s="207">
        <f>X72/S72</f>
        <v>63.206349206349209</v>
      </c>
      <c r="AH72" s="215"/>
      <c r="AI72" s="215"/>
      <c r="AJ72" s="215"/>
      <c r="AK72" s="342">
        <v>29655.3</v>
      </c>
      <c r="AL72" s="344">
        <f>L72-AK72</f>
        <v>558</v>
      </c>
    </row>
    <row r="73" spans="1:38" s="142" customFormat="1" ht="14.25">
      <c r="A73" s="142">
        <v>25</v>
      </c>
      <c r="B73" s="142">
        <f t="shared" si="7"/>
        <v>20</v>
      </c>
      <c r="C73" s="143">
        <v>46069</v>
      </c>
      <c r="D73" s="142" t="s">
        <v>93</v>
      </c>
      <c r="G73" s="143">
        <v>46072.791666666664</v>
      </c>
      <c r="H73" s="142" t="s">
        <v>66</v>
      </c>
      <c r="I73" s="510">
        <v>0.85</v>
      </c>
      <c r="J73" s="203">
        <f>K73/AF73</f>
        <v>0.10291858678955453</v>
      </c>
      <c r="K73" s="36">
        <f>S73+AB73</f>
        <v>134</v>
      </c>
      <c r="L73" s="38">
        <f>X73+AC73</f>
        <v>9551.5</v>
      </c>
      <c r="M73" s="31">
        <f>Y73+AD73</f>
        <v>111250</v>
      </c>
      <c r="N73" s="498">
        <f>L73-M73</f>
        <v>-101698.5</v>
      </c>
      <c r="O73" s="30" t="str">
        <f>IF(P73="Too early",P73,P73/AF73)</f>
        <v>Too early</v>
      </c>
      <c r="P73" s="37" t="str">
        <f t="shared" si="8"/>
        <v>Too early</v>
      </c>
      <c r="Q73" s="38" t="str">
        <f>IF(V73="Too early",V73,AC73+V73*AG73)</f>
        <v>Too early</v>
      </c>
      <c r="R73" s="514" t="str">
        <f t="shared" si="6"/>
        <v>Too early</v>
      </c>
      <c r="S73" s="218">
        <v>134</v>
      </c>
      <c r="T73" s="229">
        <f t="shared" si="9"/>
        <v>1302</v>
      </c>
      <c r="U73" s="380">
        <f>(AF73-AB73)*I73</f>
        <v>1106.7</v>
      </c>
      <c r="V73" s="202" t="str">
        <f>IF(B73&lt;11,MIN((S73/VLOOKUP(B73,'Sales Pacing'!$A$23:$E$36,2)),T73),"Too early")</f>
        <v>Too early</v>
      </c>
      <c r="W73" s="379" t="str">
        <f>IF(V73="Too early","Too early",V73/U73)</f>
        <v>Too early</v>
      </c>
      <c r="X73" s="222">
        <v>9551.5</v>
      </c>
      <c r="Y73" s="226">
        <v>111250</v>
      </c>
      <c r="Z73" s="233">
        <f t="shared" si="10"/>
        <v>8.58561797752809E-2</v>
      </c>
      <c r="AA73" s="203" t="str">
        <f>IF($V73="Too early",V73,V73*AG73/Y73)</f>
        <v>Too early</v>
      </c>
      <c r="AB73" s="218"/>
      <c r="AC73" s="222"/>
      <c r="AD73" s="226"/>
      <c r="AE73" s="203" t="str">
        <f t="shared" si="11"/>
        <v/>
      </c>
      <c r="AF73" s="229">
        <v>1302</v>
      </c>
      <c r="AG73" s="204">
        <f>X73/S73</f>
        <v>71.27985074626865</v>
      </c>
      <c r="AH73" s="214"/>
      <c r="AI73" s="214"/>
      <c r="AJ73" s="214"/>
      <c r="AK73" s="340">
        <v>9361.5</v>
      </c>
      <c r="AL73" s="344">
        <f>L73-AK73</f>
        <v>190</v>
      </c>
    </row>
    <row r="74" spans="1:38" s="142" customFormat="1" ht="14.25">
      <c r="A74" s="142">
        <v>25</v>
      </c>
      <c r="B74" s="142">
        <f t="shared" si="7"/>
        <v>20</v>
      </c>
      <c r="C74" s="143">
        <v>46069</v>
      </c>
      <c r="D74" s="142" t="s">
        <v>93</v>
      </c>
      <c r="G74" s="143">
        <v>46073.791666666664</v>
      </c>
      <c r="H74" s="142" t="s">
        <v>66</v>
      </c>
      <c r="I74" s="510">
        <v>0.85</v>
      </c>
      <c r="J74" s="203">
        <f>K74/AF74</f>
        <v>0.18817204301075269</v>
      </c>
      <c r="K74" s="36">
        <f>S74+AB74</f>
        <v>245</v>
      </c>
      <c r="L74" s="38">
        <f>X74+AC74</f>
        <v>17743</v>
      </c>
      <c r="M74" s="31">
        <f>Y74+AD74</f>
        <v>111250</v>
      </c>
      <c r="N74" s="498">
        <f>L74-M74</f>
        <v>-93507</v>
      </c>
      <c r="O74" s="30" t="str">
        <f>IF(P74="Too early",P74,P74/AF74)</f>
        <v>Too early</v>
      </c>
      <c r="P74" s="37" t="str">
        <f t="shared" si="8"/>
        <v>Too early</v>
      </c>
      <c r="Q74" s="38" t="str">
        <f>IF(V74="Too early",V74,AC74+V74*AG74)</f>
        <v>Too early</v>
      </c>
      <c r="R74" s="514" t="str">
        <f t="shared" si="6"/>
        <v>Too early</v>
      </c>
      <c r="S74" s="218">
        <v>245</v>
      </c>
      <c r="T74" s="229">
        <f t="shared" si="9"/>
        <v>1302</v>
      </c>
      <c r="U74" s="380">
        <f>(AF74-AB74)*I74</f>
        <v>1106.7</v>
      </c>
      <c r="V74" s="202" t="str">
        <f>IF(B74&lt;11,MIN((S74/VLOOKUP(B74,'Sales Pacing'!$A$23:$E$36,2)),T74),"Too early")</f>
        <v>Too early</v>
      </c>
      <c r="W74" s="379" t="str">
        <f>IF(V74="Too early","Too early",V74/U74)</f>
        <v>Too early</v>
      </c>
      <c r="X74" s="222">
        <v>17743</v>
      </c>
      <c r="Y74" s="226">
        <v>111250</v>
      </c>
      <c r="Z74" s="233">
        <f t="shared" si="10"/>
        <v>0.15948764044943819</v>
      </c>
      <c r="AA74" s="203" t="str">
        <f>IF($V74="Too early",V74,V74*AG74/Y74)</f>
        <v>Too early</v>
      </c>
      <c r="AB74" s="218"/>
      <c r="AC74" s="222"/>
      <c r="AD74" s="226"/>
      <c r="AE74" s="203" t="str">
        <f t="shared" si="11"/>
        <v/>
      </c>
      <c r="AF74" s="229">
        <v>1302</v>
      </c>
      <c r="AG74" s="204">
        <f>X74/S74</f>
        <v>72.420408163265307</v>
      </c>
      <c r="AH74" s="214"/>
      <c r="AI74" s="214"/>
      <c r="AJ74" s="214"/>
      <c r="AK74" s="340">
        <v>17663</v>
      </c>
      <c r="AL74" s="344">
        <f>L74-AK74</f>
        <v>80</v>
      </c>
    </row>
    <row r="75" spans="1:38" s="142" customFormat="1" ht="14.25">
      <c r="A75" s="142">
        <v>25</v>
      </c>
      <c r="B75" s="142">
        <f t="shared" si="7"/>
        <v>20</v>
      </c>
      <c r="C75" s="143">
        <v>46069</v>
      </c>
      <c r="D75" s="142" t="s">
        <v>93</v>
      </c>
      <c r="G75" s="143">
        <v>46074.791666666664</v>
      </c>
      <c r="H75" s="142" t="s">
        <v>66</v>
      </c>
      <c r="I75" s="510">
        <v>0.85</v>
      </c>
      <c r="J75" s="203">
        <f>K75/AF75</f>
        <v>0.34101382488479265</v>
      </c>
      <c r="K75" s="36">
        <f>S75+AB75</f>
        <v>444</v>
      </c>
      <c r="L75" s="38">
        <f>X75+AC75</f>
        <v>33393</v>
      </c>
      <c r="M75" s="31">
        <f>Y75+AD75</f>
        <v>111250</v>
      </c>
      <c r="N75" s="498">
        <f>L75-M75</f>
        <v>-77857</v>
      </c>
      <c r="O75" s="30" t="str">
        <f>IF(P75="Too early",P75,P75/AF75)</f>
        <v>Too early</v>
      </c>
      <c r="P75" s="37" t="str">
        <f t="shared" si="8"/>
        <v>Too early</v>
      </c>
      <c r="Q75" s="38" t="str">
        <f>IF(V75="Too early",V75,AC75+V75*AG75)</f>
        <v>Too early</v>
      </c>
      <c r="R75" s="514" t="str">
        <f t="shared" si="6"/>
        <v>Too early</v>
      </c>
      <c r="S75" s="218">
        <v>444</v>
      </c>
      <c r="T75" s="229">
        <f t="shared" si="9"/>
        <v>1302</v>
      </c>
      <c r="U75" s="380">
        <f>(AF75-AB75)*I75</f>
        <v>1106.7</v>
      </c>
      <c r="V75" s="202" t="str">
        <f>IF(B75&lt;11,MIN((S75/VLOOKUP(B75,'Sales Pacing'!$A$23:$E$36,2)),T75),"Too early")</f>
        <v>Too early</v>
      </c>
      <c r="W75" s="379" t="str">
        <f>IF(V75="Too early","Too early",V75/U75)</f>
        <v>Too early</v>
      </c>
      <c r="X75" s="222">
        <v>33393</v>
      </c>
      <c r="Y75" s="226">
        <v>111250</v>
      </c>
      <c r="Z75" s="233">
        <f t="shared" si="10"/>
        <v>0.30016179775280899</v>
      </c>
      <c r="AA75" s="203" t="str">
        <f>IF($V75="Too early",V75,V75*AG75/Y75)</f>
        <v>Too early</v>
      </c>
      <c r="AB75" s="218"/>
      <c r="AC75" s="222"/>
      <c r="AD75" s="226"/>
      <c r="AE75" s="203" t="str">
        <f t="shared" si="11"/>
        <v/>
      </c>
      <c r="AF75" s="229">
        <v>1302</v>
      </c>
      <c r="AG75" s="204">
        <f>X75/S75</f>
        <v>75.209459459459453</v>
      </c>
      <c r="AH75" s="214"/>
      <c r="AI75" s="214"/>
      <c r="AJ75" s="214"/>
      <c r="AK75" s="340">
        <v>31515</v>
      </c>
      <c r="AL75" s="344">
        <f>L75-AK75</f>
        <v>1878</v>
      </c>
    </row>
    <row r="76" spans="1:38" s="146" customFormat="1" ht="14.25">
      <c r="A76" s="146">
        <v>25</v>
      </c>
      <c r="B76" s="146">
        <f t="shared" si="7"/>
        <v>20</v>
      </c>
      <c r="C76" s="147">
        <v>46069</v>
      </c>
      <c r="D76" s="146" t="s">
        <v>93</v>
      </c>
      <c r="G76" s="147">
        <v>46075.583333333336</v>
      </c>
      <c r="H76" s="146" t="s">
        <v>66</v>
      </c>
      <c r="I76" s="527">
        <v>0.85</v>
      </c>
      <c r="J76" s="206">
        <f>K76/AF76</f>
        <v>0.38786482334869432</v>
      </c>
      <c r="K76" s="148">
        <f>S76+AB76</f>
        <v>505</v>
      </c>
      <c r="L76" s="34">
        <f>X76+AC76</f>
        <v>34032.5</v>
      </c>
      <c r="M76" s="35">
        <f>Y76+AD76</f>
        <v>111250</v>
      </c>
      <c r="N76" s="500">
        <f>L76-M76</f>
        <v>-77217.5</v>
      </c>
      <c r="O76" s="33" t="str">
        <f>IF(P76="Too early",P76,P76/AF76)</f>
        <v>Too early</v>
      </c>
      <c r="P76" s="32" t="str">
        <f t="shared" si="8"/>
        <v>Too early</v>
      </c>
      <c r="Q76" s="34" t="str">
        <f>IF(V76="Too early",V76,AC76+V76*AG76)</f>
        <v>Too early</v>
      </c>
      <c r="R76" s="515" t="str">
        <f t="shared" si="6"/>
        <v>Too early</v>
      </c>
      <c r="S76" s="219">
        <v>505</v>
      </c>
      <c r="T76" s="230">
        <f t="shared" si="9"/>
        <v>1302</v>
      </c>
      <c r="U76" s="395">
        <f>(AF76-AB76)*I76</f>
        <v>1106.7</v>
      </c>
      <c r="V76" s="205" t="str">
        <f>IF(B76&lt;11,MIN((S76/VLOOKUP(B76,'Sales Pacing'!$A$23:$E$36,2)),T76),"Too early")</f>
        <v>Too early</v>
      </c>
      <c r="W76" s="396" t="str">
        <f>IF(V76="Too early","Too early",V76/U76)</f>
        <v>Too early</v>
      </c>
      <c r="X76" s="223">
        <v>34032.5</v>
      </c>
      <c r="Y76" s="226">
        <v>111250</v>
      </c>
      <c r="Z76" s="233">
        <f t="shared" si="10"/>
        <v>0.30591011235955057</v>
      </c>
      <c r="AA76" s="206" t="str">
        <f>IF($V76="Too early",V76,V76*AG76/Y76)</f>
        <v>Too early</v>
      </c>
      <c r="AB76" s="219"/>
      <c r="AC76" s="223"/>
      <c r="AD76" s="227"/>
      <c r="AE76" s="206" t="str">
        <f t="shared" si="11"/>
        <v/>
      </c>
      <c r="AF76" s="230">
        <v>1302</v>
      </c>
      <c r="AG76" s="207">
        <f>X76/S76</f>
        <v>67.39108910891089</v>
      </c>
      <c r="AH76" s="215"/>
      <c r="AI76" s="215"/>
      <c r="AJ76" s="215"/>
      <c r="AK76" s="342">
        <v>33792.5</v>
      </c>
      <c r="AL76" s="344">
        <f>L76-AK76</f>
        <v>240</v>
      </c>
    </row>
    <row r="77" spans="1:38" s="146" customFormat="1" ht="14.25">
      <c r="A77" s="146">
        <v>26</v>
      </c>
      <c r="B77" s="146">
        <f t="shared" si="7"/>
        <v>21</v>
      </c>
      <c r="C77" s="147">
        <v>46076</v>
      </c>
      <c r="D77" s="146" t="s">
        <v>94</v>
      </c>
      <c r="G77" s="147">
        <v>46082.583333333336</v>
      </c>
      <c r="H77" s="146" t="s">
        <v>61</v>
      </c>
      <c r="I77" s="510">
        <v>0.5</v>
      </c>
      <c r="J77" s="203">
        <f>K77/AF77</f>
        <v>0.27419354838709675</v>
      </c>
      <c r="K77" s="148">
        <f>S77+AB77</f>
        <v>357</v>
      </c>
      <c r="L77" s="34">
        <f>X77+AC77</f>
        <v>8297</v>
      </c>
      <c r="M77" s="35">
        <f>Y77+AD77</f>
        <v>19500</v>
      </c>
      <c r="N77" s="500">
        <f>L77-M77</f>
        <v>-11203</v>
      </c>
      <c r="O77" s="33" t="str">
        <f>IF(P77="Too early",P77,P77/AF77)</f>
        <v>Too early</v>
      </c>
      <c r="P77" s="32" t="str">
        <f t="shared" si="8"/>
        <v>Too early</v>
      </c>
      <c r="Q77" s="34" t="str">
        <f>IF(V77="Too early",V77,AC77+V77*AG77)</f>
        <v>Too early</v>
      </c>
      <c r="R77" s="515" t="str">
        <f t="shared" si="6"/>
        <v>Too early</v>
      </c>
      <c r="S77" s="219">
        <v>50</v>
      </c>
      <c r="T77" s="229">
        <f t="shared" si="9"/>
        <v>995</v>
      </c>
      <c r="U77" s="380">
        <f>(AF77-AB77)*I77</f>
        <v>497.5</v>
      </c>
      <c r="V77" s="205" t="str">
        <f>IF(B77&lt;11,MIN((S77/VLOOKUP(B77,'Sales Pacing'!$A$23:$E$36,2)),T77),"Too early")</f>
        <v>Too early</v>
      </c>
      <c r="W77" s="379" t="str">
        <f>IF(V77="Too early","Too early",V77/U77)</f>
        <v>Too early</v>
      </c>
      <c r="X77" s="223">
        <v>1461</v>
      </c>
      <c r="Y77" s="227">
        <v>10000</v>
      </c>
      <c r="Z77" s="234">
        <f t="shared" si="10"/>
        <v>0.14610000000000001</v>
      </c>
      <c r="AA77" s="206" t="str">
        <f>IF($V77="Too early",V77,V77*AG77/Y77)</f>
        <v>Too early</v>
      </c>
      <c r="AB77" s="219">
        <v>307</v>
      </c>
      <c r="AC77" s="223">
        <v>6836</v>
      </c>
      <c r="AD77" s="227">
        <v>9500</v>
      </c>
      <c r="AE77" s="206">
        <f t="shared" si="11"/>
        <v>0.7195789473684211</v>
      </c>
      <c r="AF77" s="230">
        <v>1302</v>
      </c>
      <c r="AG77" s="207">
        <f>X77/S77</f>
        <v>29.22</v>
      </c>
      <c r="AH77" s="215"/>
      <c r="AI77" s="215"/>
      <c r="AJ77" s="215"/>
      <c r="AK77" s="342">
        <v>8100</v>
      </c>
      <c r="AL77" s="344">
        <f>L77-AK77</f>
        <v>197</v>
      </c>
    </row>
    <row r="78" spans="1:38" s="185" customFormat="1" ht="14.25">
      <c r="A78" s="185">
        <v>27</v>
      </c>
      <c r="B78" s="185">
        <f t="shared" si="7"/>
        <v>22</v>
      </c>
      <c r="C78" s="186">
        <v>46083</v>
      </c>
      <c r="D78" s="185" t="s">
        <v>73</v>
      </c>
      <c r="G78" s="195"/>
      <c r="H78" s="196"/>
      <c r="I78" s="513"/>
      <c r="J78" s="209" t="e">
        <f>K78/AF78</f>
        <v>#DIV/0!</v>
      </c>
      <c r="K78" s="197">
        <f>S78+AB78</f>
        <v>0</v>
      </c>
      <c r="L78" s="200">
        <f>X78+AC78</f>
        <v>0</v>
      </c>
      <c r="M78" s="201">
        <f>Y78+AD78</f>
        <v>0</v>
      </c>
      <c r="N78" s="499"/>
      <c r="O78" s="199"/>
      <c r="P78" s="198" t="str">
        <f t="shared" si="8"/>
        <v>Too early</v>
      </c>
      <c r="Q78" s="200" t="str">
        <f>IF(V78="Too early",V78,AC78+V78*AG78)</f>
        <v>Too early</v>
      </c>
      <c r="R78" s="516" t="str">
        <f t="shared" ref="R78:R117" si="12">IF(V78="Too early",V78,Q78-M78)</f>
        <v>Too early</v>
      </c>
      <c r="S78" s="220"/>
      <c r="T78" s="220">
        <f t="shared" si="9"/>
        <v>0</v>
      </c>
      <c r="U78" s="220">
        <f>(AF78-AB78)*I78</f>
        <v>0</v>
      </c>
      <c r="V78" s="208" t="str">
        <f>IF(B78&lt;11,MIN((S78/VLOOKUP(B78,'Sales Pacing'!$A$23:$E$36,2)),T78),"Too early")</f>
        <v>Too early</v>
      </c>
      <c r="W78" s="208"/>
      <c r="X78" s="224"/>
      <c r="Y78" s="224"/>
      <c r="Z78" s="235" t="str">
        <f t="shared" si="10"/>
        <v/>
      </c>
      <c r="AA78" s="209"/>
      <c r="AB78" s="220"/>
      <c r="AC78" s="224"/>
      <c r="AD78" s="224"/>
      <c r="AE78" s="209" t="s">
        <v>57</v>
      </c>
      <c r="AF78" s="220"/>
      <c r="AG78" s="210" t="e">
        <f>X78/S78</f>
        <v>#DIV/0!</v>
      </c>
      <c r="AH78" s="216"/>
      <c r="AI78" s="216"/>
      <c r="AJ78" s="216"/>
      <c r="AK78" s="341">
        <v>0</v>
      </c>
    </row>
    <row r="79" spans="1:38" s="142" customFormat="1" ht="14.25">
      <c r="A79" s="142">
        <v>28</v>
      </c>
      <c r="B79" s="142">
        <f t="shared" si="7"/>
        <v>23</v>
      </c>
      <c r="C79" s="143">
        <v>46090</v>
      </c>
      <c r="D79" s="142" t="s">
        <v>95</v>
      </c>
      <c r="G79" s="143">
        <v>46094.833333333336</v>
      </c>
      <c r="H79" s="142" t="s">
        <v>64</v>
      </c>
      <c r="I79" s="510">
        <v>0.85</v>
      </c>
      <c r="J79" s="203">
        <f>K79/AF79</f>
        <v>0.39371069182389939</v>
      </c>
      <c r="K79" s="36">
        <f>S79+AB79</f>
        <v>626</v>
      </c>
      <c r="L79" s="38">
        <f>X79+AC79</f>
        <v>41199</v>
      </c>
      <c r="M79" s="31">
        <f>Y79+AD79</f>
        <v>54999</v>
      </c>
      <c r="N79" s="498">
        <f>L79-M79</f>
        <v>-13800</v>
      </c>
      <c r="O79" s="30" t="str">
        <f>IF(P79="Too early",P79,P79/AF79)</f>
        <v>Too early</v>
      </c>
      <c r="P79" s="37" t="str">
        <f t="shared" si="8"/>
        <v>Too early</v>
      </c>
      <c r="Q79" s="38" t="str">
        <f>IF(V79="Too early",V79,AC79+V79*AG79)</f>
        <v>Too early</v>
      </c>
      <c r="R79" s="514" t="str">
        <f t="shared" si="12"/>
        <v>Too early</v>
      </c>
      <c r="S79" s="218">
        <v>53</v>
      </c>
      <c r="T79" s="229">
        <f t="shared" si="9"/>
        <v>1017</v>
      </c>
      <c r="U79" s="380">
        <f>(AF79-AB79)*I79</f>
        <v>864.44999999999993</v>
      </c>
      <c r="V79" s="202" t="str">
        <f>IF(B79&lt;11,MIN((S79/VLOOKUP(B79,'Sales Pacing'!$A$23:$E$36,2)),T79),"Too early")</f>
        <v>Too early</v>
      </c>
      <c r="W79" s="379" t="str">
        <f>IF(V79="Too early","Too early",V79/U79)</f>
        <v>Too early</v>
      </c>
      <c r="X79" s="222">
        <v>2862</v>
      </c>
      <c r="Y79" s="226">
        <v>18333</v>
      </c>
      <c r="Z79" s="233">
        <f t="shared" si="10"/>
        <v>0.1561119293078056</v>
      </c>
      <c r="AA79" s="203" t="str">
        <f>IF($V79="Too early",V79,V79*AG79/Y79)</f>
        <v>Too early</v>
      </c>
      <c r="AB79" s="218">
        <v>573</v>
      </c>
      <c r="AC79" s="222">
        <v>38337</v>
      </c>
      <c r="AD79" s="226">
        <v>36666</v>
      </c>
      <c r="AE79" s="203">
        <f t="shared" si="11"/>
        <v>1.0455735558828343</v>
      </c>
      <c r="AF79" s="229">
        <v>1590</v>
      </c>
      <c r="AG79" s="204">
        <f>X79/S79</f>
        <v>54</v>
      </c>
      <c r="AH79" s="214"/>
      <c r="AI79" s="214"/>
      <c r="AJ79" s="214"/>
      <c r="AK79" s="340">
        <v>40846</v>
      </c>
      <c r="AL79" s="344">
        <f>L79-AK79</f>
        <v>353</v>
      </c>
    </row>
    <row r="80" spans="1:38" s="142" customFormat="1" ht="14.25">
      <c r="A80" s="142">
        <v>28</v>
      </c>
      <c r="B80" s="142">
        <f t="shared" si="7"/>
        <v>23</v>
      </c>
      <c r="C80" s="143">
        <v>46090</v>
      </c>
      <c r="D80" s="142" t="s">
        <v>95</v>
      </c>
      <c r="G80" s="143">
        <v>46095.833333333336</v>
      </c>
      <c r="H80" s="142" t="s">
        <v>64</v>
      </c>
      <c r="I80" s="510">
        <v>0.85</v>
      </c>
      <c r="J80" s="203">
        <f>K80/AF80</f>
        <v>0.39182389937106921</v>
      </c>
      <c r="K80" s="36">
        <f>S80+AB80</f>
        <v>623</v>
      </c>
      <c r="L80" s="38">
        <f>X80+AC80</f>
        <v>39776.199999999997</v>
      </c>
      <c r="M80" s="31">
        <f>Y80+AD80</f>
        <v>55000</v>
      </c>
      <c r="N80" s="498">
        <f>L80-M80</f>
        <v>-15223.800000000003</v>
      </c>
      <c r="O80" s="30" t="str">
        <f>IF(P80="Too early",P80,P80/AF80)</f>
        <v>Too early</v>
      </c>
      <c r="P80" s="37" t="str">
        <f t="shared" si="8"/>
        <v>Too early</v>
      </c>
      <c r="Q80" s="38" t="str">
        <f>IF(V80="Too early",V80,AC80+V80*AG80)</f>
        <v>Too early</v>
      </c>
      <c r="R80" s="514" t="str">
        <f t="shared" si="12"/>
        <v>Too early</v>
      </c>
      <c r="S80" s="218">
        <v>61</v>
      </c>
      <c r="T80" s="229">
        <f t="shared" si="9"/>
        <v>1028</v>
      </c>
      <c r="U80" s="380">
        <f>(AF80-AB80)*I80</f>
        <v>873.8</v>
      </c>
      <c r="V80" s="202" t="str">
        <f>IF(B80&lt;11,MIN((S80/VLOOKUP(B80,'Sales Pacing'!$A$23:$E$36,2)),T80),"Too early")</f>
        <v>Too early</v>
      </c>
      <c r="W80" s="379" t="str">
        <f>IF(V80="Too early","Too early",V80/U80)</f>
        <v>Too early</v>
      </c>
      <c r="X80" s="222">
        <v>3360</v>
      </c>
      <c r="Y80" s="226">
        <v>18333</v>
      </c>
      <c r="Z80" s="233">
        <f t="shared" si="10"/>
        <v>0.18327605956471935</v>
      </c>
      <c r="AA80" s="203" t="str">
        <f>IF($V80="Too early",V80,V80*AG80/Y80)</f>
        <v>Too early</v>
      </c>
      <c r="AB80" s="218">
        <v>562</v>
      </c>
      <c r="AC80" s="222">
        <v>36416.199999999997</v>
      </c>
      <c r="AD80" s="226">
        <v>36667</v>
      </c>
      <c r="AE80" s="203">
        <f t="shared" si="11"/>
        <v>0.99316006218125286</v>
      </c>
      <c r="AF80" s="229">
        <v>1590</v>
      </c>
      <c r="AG80" s="204">
        <f>X80/S80</f>
        <v>55.081967213114751</v>
      </c>
      <c r="AH80" s="214"/>
      <c r="AI80" s="214"/>
      <c r="AJ80" s="214"/>
      <c r="AK80" s="340">
        <v>39753.199999999997</v>
      </c>
      <c r="AL80" s="344">
        <f>L80-AK80</f>
        <v>23</v>
      </c>
    </row>
    <row r="81" spans="1:38" s="146" customFormat="1" ht="14.25">
      <c r="A81" s="146">
        <v>28</v>
      </c>
      <c r="B81" s="146">
        <f t="shared" si="7"/>
        <v>23</v>
      </c>
      <c r="C81" s="147">
        <v>46090</v>
      </c>
      <c r="D81" s="146" t="s">
        <v>95</v>
      </c>
      <c r="G81" s="147">
        <v>46096.583333333336</v>
      </c>
      <c r="H81" s="146" t="s">
        <v>64</v>
      </c>
      <c r="I81" s="510">
        <v>0.85</v>
      </c>
      <c r="J81" s="203">
        <f>K81/AF81</f>
        <v>0.40817610062893084</v>
      </c>
      <c r="K81" s="148">
        <f>S81+AB81</f>
        <v>649</v>
      </c>
      <c r="L81" s="34">
        <f>X81+AC81</f>
        <v>41376.1</v>
      </c>
      <c r="M81" s="35">
        <f>Y81+AD81</f>
        <v>55000</v>
      </c>
      <c r="N81" s="500">
        <f>L81-M81</f>
        <v>-13623.900000000001</v>
      </c>
      <c r="O81" s="33" t="str">
        <f>IF(P81="Too early",P81,P81/AF81)</f>
        <v>Too early</v>
      </c>
      <c r="P81" s="32" t="str">
        <f t="shared" si="8"/>
        <v>Too early</v>
      </c>
      <c r="Q81" s="34" t="str">
        <f>IF(V81="Too early",V81,AC81+V81*AG81)</f>
        <v>Too early</v>
      </c>
      <c r="R81" s="515" t="str">
        <f t="shared" si="12"/>
        <v>Too early</v>
      </c>
      <c r="S81" s="219">
        <v>76</v>
      </c>
      <c r="T81" s="229">
        <f t="shared" si="9"/>
        <v>1017</v>
      </c>
      <c r="U81" s="380">
        <f>(AF81-AB81)*I81</f>
        <v>864.44999999999993</v>
      </c>
      <c r="V81" s="205" t="str">
        <f>IF(B81&lt;11,MIN((S81/VLOOKUP(B81,'Sales Pacing'!$A$23:$E$36,2)),T81),"Too early")</f>
        <v>Too early</v>
      </c>
      <c r="W81" s="379" t="str">
        <f>IF(V81="Too early","Too early",V81/U81)</f>
        <v>Too early</v>
      </c>
      <c r="X81" s="223">
        <v>4624</v>
      </c>
      <c r="Y81" s="227">
        <v>18333</v>
      </c>
      <c r="Z81" s="234">
        <f t="shared" si="10"/>
        <v>0.25222276768668522</v>
      </c>
      <c r="AA81" s="206" t="str">
        <f>IF($V81="Too early",V81,V81*AG81/Y81)</f>
        <v>Too early</v>
      </c>
      <c r="AB81" s="219">
        <v>573</v>
      </c>
      <c r="AC81" s="223">
        <v>36752.1</v>
      </c>
      <c r="AD81" s="227">
        <v>36667</v>
      </c>
      <c r="AE81" s="206">
        <f t="shared" si="11"/>
        <v>1.0023208879919272</v>
      </c>
      <c r="AF81" s="230">
        <v>1590</v>
      </c>
      <c r="AG81" s="207">
        <f>X81/S81</f>
        <v>60.842105263157897</v>
      </c>
      <c r="AH81" s="215"/>
      <c r="AI81" s="215"/>
      <c r="AJ81" s="215"/>
      <c r="AK81" s="342">
        <v>41030.1</v>
      </c>
      <c r="AL81" s="344">
        <f>L81-AK81</f>
        <v>346</v>
      </c>
    </row>
    <row r="82" spans="1:38" s="185" customFormat="1" ht="14.25">
      <c r="A82" s="185">
        <v>29</v>
      </c>
      <c r="B82" s="185">
        <f t="shared" si="7"/>
        <v>24</v>
      </c>
      <c r="C82" s="186">
        <v>46097</v>
      </c>
      <c r="D82" s="185" t="s">
        <v>73</v>
      </c>
      <c r="G82" s="195"/>
      <c r="H82" s="196"/>
      <c r="I82" s="513"/>
      <c r="J82" s="359" t="e">
        <f>K82/AF82</f>
        <v>#DIV/0!</v>
      </c>
      <c r="K82" s="350">
        <f>S82+AB82</f>
        <v>0</v>
      </c>
      <c r="L82" s="353">
        <f>X82+AC82</f>
        <v>0</v>
      </c>
      <c r="M82" s="354">
        <f>Y82+AD82</f>
        <v>0</v>
      </c>
      <c r="N82" s="501"/>
      <c r="O82" s="352"/>
      <c r="P82" s="351" t="str">
        <f t="shared" si="8"/>
        <v>Too early</v>
      </c>
      <c r="Q82" s="353" t="str">
        <f>IF(V82="Too early",V82,AC82+V82*AG82)</f>
        <v>Too early</v>
      </c>
      <c r="R82" s="518" t="str">
        <f t="shared" si="12"/>
        <v>Too early</v>
      </c>
      <c r="S82" s="355"/>
      <c r="T82" s="355">
        <f t="shared" si="9"/>
        <v>0</v>
      </c>
      <c r="U82" s="355">
        <f>(AF82-AB82)*I82</f>
        <v>0</v>
      </c>
      <c r="V82" s="356" t="str">
        <f>IF(B82&lt;11,MIN((S82/VLOOKUP(B82,'Sales Pacing'!$A$23:$E$36,2)),T82),"Too early")</f>
        <v>Too early</v>
      </c>
      <c r="W82" s="356"/>
      <c r="X82" s="357"/>
      <c r="Y82" s="357"/>
      <c r="Z82" s="358" t="str">
        <f t="shared" si="10"/>
        <v/>
      </c>
      <c r="AA82" s="359"/>
      <c r="AB82" s="355"/>
      <c r="AC82" s="357"/>
      <c r="AD82" s="357"/>
      <c r="AE82" s="359" t="s">
        <v>57</v>
      </c>
      <c r="AF82" s="355"/>
      <c r="AG82" s="360" t="e">
        <f>X82/S82</f>
        <v>#DIV/0!</v>
      </c>
      <c r="AH82" s="216"/>
      <c r="AI82" s="216"/>
      <c r="AJ82" s="216"/>
      <c r="AK82" s="341">
        <v>0</v>
      </c>
    </row>
    <row r="83" spans="1:38" s="142" customFormat="1" ht="14.25">
      <c r="A83" s="142">
        <v>30</v>
      </c>
      <c r="B83" s="142">
        <f t="shared" ref="B83" si="13">A83-$G$4</f>
        <v>25</v>
      </c>
      <c r="C83" s="143">
        <v>46104</v>
      </c>
      <c r="D83" s="142" t="s">
        <v>96</v>
      </c>
      <c r="G83" s="143">
        <v>46106</v>
      </c>
      <c r="H83" s="142" t="s">
        <v>54</v>
      </c>
      <c r="I83" s="510">
        <v>0.85</v>
      </c>
      <c r="J83" s="530">
        <f>K83/AF83</f>
        <v>5.4088050314465411E-2</v>
      </c>
      <c r="K83" s="297">
        <f>S83+AB83</f>
        <v>86</v>
      </c>
      <c r="L83" s="298">
        <f>X83+AC83</f>
        <v>5437</v>
      </c>
      <c r="M83" s="299">
        <f>Y83+AD83</f>
        <v>84109</v>
      </c>
      <c r="N83" s="503">
        <f>L83-M83</f>
        <v>-78672</v>
      </c>
      <c r="O83" s="30" t="str">
        <f>IF(P83="Too early",P83,P83/AF83)</f>
        <v>Too early</v>
      </c>
      <c r="P83" s="297" t="str">
        <f>IF(V83="Too early",V83,V83+AB83)</f>
        <v>Too early</v>
      </c>
      <c r="Q83" s="298" t="str">
        <f>IF(V83="Too early",V83,AC83+V83*AG83)</f>
        <v>Too early</v>
      </c>
      <c r="R83" s="514" t="str">
        <f t="shared" si="12"/>
        <v>Too early</v>
      </c>
      <c r="S83" s="238">
        <v>86</v>
      </c>
      <c r="T83" s="380">
        <f t="shared" si="9"/>
        <v>1590</v>
      </c>
      <c r="U83" s="380">
        <f>(AF83-AB83)*I83</f>
        <v>1351.5</v>
      </c>
      <c r="V83" s="202" t="str">
        <f>IF(B83&lt;11,MIN((S83/VLOOKUP(B83,'Sales Pacing'!$A$23:$E$36,2)),T83),"Too early")</f>
        <v>Too early</v>
      </c>
      <c r="W83" s="379" t="str">
        <f>IF(V83="Too early","Too early",V83/U83)</f>
        <v>Too early</v>
      </c>
      <c r="X83" s="222">
        <v>5437</v>
      </c>
      <c r="Y83" s="226">
        <v>84109</v>
      </c>
      <c r="Z83" s="233">
        <f>IF(X83&gt;0,X83/Y83,"")</f>
        <v>6.464230938425139E-2</v>
      </c>
      <c r="AA83" s="203" t="str">
        <f>IF($V83="Too early",V83,V83*AG83/Y83)</f>
        <v>Too early</v>
      </c>
      <c r="AB83" s="218"/>
      <c r="AC83" s="222"/>
      <c r="AD83" s="226"/>
      <c r="AE83" s="203"/>
      <c r="AF83" s="229">
        <v>1590</v>
      </c>
      <c r="AG83" s="299">
        <f>X83/S83</f>
        <v>63.220930232558139</v>
      </c>
      <c r="AH83" s="214"/>
      <c r="AI83" s="214"/>
      <c r="AJ83" s="214"/>
      <c r="AK83" s="340">
        <v>5437</v>
      </c>
      <c r="AL83" s="344">
        <f>L83-AK83</f>
        <v>0</v>
      </c>
    </row>
    <row r="84" spans="1:38" s="146" customFormat="1" ht="14.25">
      <c r="A84" s="146">
        <v>30</v>
      </c>
      <c r="B84" s="146">
        <f t="shared" ref="B84" si="14">A84-$G$4</f>
        <v>25</v>
      </c>
      <c r="C84" s="147">
        <v>46104</v>
      </c>
      <c r="D84" s="146" t="s">
        <v>96</v>
      </c>
      <c r="G84" s="147">
        <v>46107</v>
      </c>
      <c r="H84" s="146" t="s">
        <v>54</v>
      </c>
      <c r="I84" s="527">
        <v>0.85</v>
      </c>
      <c r="J84" s="529">
        <f>K84/AF84</f>
        <v>5.4716981132075473E-2</v>
      </c>
      <c r="K84" s="287">
        <f>S84+AB84</f>
        <v>87</v>
      </c>
      <c r="L84" s="288">
        <f>X84+AC84</f>
        <v>5027.5</v>
      </c>
      <c r="M84" s="291">
        <f>Y84+AD84</f>
        <v>84109</v>
      </c>
      <c r="N84" s="504">
        <f>L84-M84</f>
        <v>-79081.5</v>
      </c>
      <c r="O84" s="33" t="str">
        <f>IF(P84="Too early",P84,P84/AF84)</f>
        <v>Too early</v>
      </c>
      <c r="P84" s="287" t="str">
        <f>IF(V84="Too early",V84,V84+AB84)</f>
        <v>Too early</v>
      </c>
      <c r="Q84" s="288" t="str">
        <f>IF(V84="Too early",V84,AC84+V84*AG84)</f>
        <v>Too early</v>
      </c>
      <c r="R84" s="515" t="str">
        <f t="shared" si="12"/>
        <v>Too early</v>
      </c>
      <c r="S84" s="240">
        <v>87</v>
      </c>
      <c r="T84" s="395">
        <f t="shared" si="9"/>
        <v>1590</v>
      </c>
      <c r="U84" s="395">
        <f>(AF84-AB84)*I84</f>
        <v>1351.5</v>
      </c>
      <c r="V84" s="205" t="str">
        <f>IF(B84&lt;11,MIN((S84/VLOOKUP(B84,'Sales Pacing'!$A$23:$E$36,2)),T84),"Too early")</f>
        <v>Too early</v>
      </c>
      <c r="W84" s="396" t="str">
        <f>IF(V84="Too early","Too early",V84/U84)</f>
        <v>Too early</v>
      </c>
      <c r="X84" s="223">
        <v>5027.5</v>
      </c>
      <c r="Y84" s="227">
        <v>84109</v>
      </c>
      <c r="Z84" s="234">
        <f>IF(X84&gt;0,X84/Y84,"")</f>
        <v>5.9773627079147296E-2</v>
      </c>
      <c r="AA84" s="206" t="str">
        <f>IF($V84="Too early",V84,V84*AG84/Y84)</f>
        <v>Too early</v>
      </c>
      <c r="AB84" s="219"/>
      <c r="AC84" s="223"/>
      <c r="AD84" s="227"/>
      <c r="AE84" s="206"/>
      <c r="AF84" s="230">
        <v>1590</v>
      </c>
      <c r="AG84" s="291">
        <f>X84/S84</f>
        <v>57.787356321839077</v>
      </c>
      <c r="AH84" s="215"/>
      <c r="AI84" s="215"/>
      <c r="AJ84" s="215"/>
      <c r="AK84" s="342">
        <v>5027.5</v>
      </c>
      <c r="AL84" s="346">
        <f>L84-AK84</f>
        <v>0</v>
      </c>
    </row>
    <row r="85" spans="1:38" s="142" customFormat="1" ht="14.25">
      <c r="A85" s="142">
        <v>30</v>
      </c>
      <c r="B85" s="142">
        <f t="shared" si="7"/>
        <v>25</v>
      </c>
      <c r="C85" s="143">
        <v>46104</v>
      </c>
      <c r="D85" s="142" t="s">
        <v>97</v>
      </c>
      <c r="G85" s="143">
        <v>46108.833333333336</v>
      </c>
      <c r="H85" s="142" t="s">
        <v>59</v>
      </c>
      <c r="I85" s="510">
        <v>0.85</v>
      </c>
      <c r="J85" s="203">
        <f>K85/AF85</f>
        <v>0.56792452830188678</v>
      </c>
      <c r="K85" s="36">
        <f>S85+AB85</f>
        <v>903</v>
      </c>
      <c r="L85" s="38">
        <f>X85+AC85</f>
        <v>64363.1</v>
      </c>
      <c r="M85" s="31">
        <f>Y85+AD85</f>
        <v>94666</v>
      </c>
      <c r="N85" s="498">
        <f>L85-M85</f>
        <v>-30302.9</v>
      </c>
      <c r="O85" s="30" t="str">
        <f>IF(P85="Too early",P85,P85/AF85)</f>
        <v>Too early</v>
      </c>
      <c r="P85" s="37" t="str">
        <f t="shared" si="8"/>
        <v>Too early</v>
      </c>
      <c r="Q85" s="38" t="str">
        <f>IF(V85="Too early",V85,AC85+V85*AG85)</f>
        <v>Too early</v>
      </c>
      <c r="R85" s="514" t="str">
        <f t="shared" si="12"/>
        <v>Too early</v>
      </c>
      <c r="S85" s="218">
        <v>164</v>
      </c>
      <c r="T85" s="229">
        <f t="shared" si="9"/>
        <v>851</v>
      </c>
      <c r="U85" s="380">
        <f>(AF85-AB85)*I85</f>
        <v>723.35</v>
      </c>
      <c r="V85" s="202" t="str">
        <f>IF(B85&lt;11,MIN((S85/VLOOKUP(B85,'Sales Pacing'!$A$23:$E$36,2)),T85),"Too early")</f>
        <v>Too early</v>
      </c>
      <c r="W85" s="379" t="str">
        <f>IF(V85="Too early","Too early",V85/U85)</f>
        <v>Too early</v>
      </c>
      <c r="X85" s="222">
        <v>11069</v>
      </c>
      <c r="Y85" s="226">
        <v>53333</v>
      </c>
      <c r="Z85" s="233">
        <f t="shared" si="10"/>
        <v>0.20754504715654473</v>
      </c>
      <c r="AA85" s="203" t="str">
        <f>IF($V85="Too early",V85,V85*AG85/Y85)</f>
        <v>Too early</v>
      </c>
      <c r="AB85" s="218">
        <v>739</v>
      </c>
      <c r="AC85" s="222">
        <v>53294.1</v>
      </c>
      <c r="AD85" s="226">
        <v>41333</v>
      </c>
      <c r="AE85" s="203">
        <f t="shared" si="11"/>
        <v>1.2893837853531076</v>
      </c>
      <c r="AF85" s="229">
        <v>1590</v>
      </c>
      <c r="AG85" s="204">
        <f>X85/S85</f>
        <v>67.493902439024396</v>
      </c>
      <c r="AH85" s="214"/>
      <c r="AI85" s="214"/>
      <c r="AJ85" s="214"/>
      <c r="AK85" s="340">
        <v>64129.1</v>
      </c>
      <c r="AL85" s="344">
        <f>L85-AK85</f>
        <v>234</v>
      </c>
    </row>
    <row r="86" spans="1:38" s="142" customFormat="1" ht="14.25">
      <c r="A86" s="142">
        <v>30</v>
      </c>
      <c r="B86" s="142">
        <f t="shared" si="7"/>
        <v>25</v>
      </c>
      <c r="C86" s="143">
        <v>46104</v>
      </c>
      <c r="D86" s="142" t="s">
        <v>97</v>
      </c>
      <c r="G86" s="143">
        <v>46109.833333333336</v>
      </c>
      <c r="H86" s="142" t="s">
        <v>59</v>
      </c>
      <c r="I86" s="510">
        <v>0.85</v>
      </c>
      <c r="J86" s="203">
        <f>K86/AF86</f>
        <v>0.53773584905660377</v>
      </c>
      <c r="K86" s="36">
        <f>S86+AB86</f>
        <v>855</v>
      </c>
      <c r="L86" s="38">
        <f>X86+AC86</f>
        <v>61452.800000000003</v>
      </c>
      <c r="M86" s="31">
        <f>Y86+AD86</f>
        <v>94667</v>
      </c>
      <c r="N86" s="498">
        <f>L86-M86</f>
        <v>-33214.199999999997</v>
      </c>
      <c r="O86" s="30" t="str">
        <f>IF(P86="Too early",P86,P86/AF86)</f>
        <v>Too early</v>
      </c>
      <c r="P86" s="37" t="str">
        <f t="shared" si="8"/>
        <v>Too early</v>
      </c>
      <c r="Q86" s="38" t="str">
        <f>IF(V86="Too early",V86,AC86+V86*AG86)</f>
        <v>Too early</v>
      </c>
      <c r="R86" s="514" t="str">
        <f t="shared" si="12"/>
        <v>Too early</v>
      </c>
      <c r="S86" s="218">
        <v>185</v>
      </c>
      <c r="T86" s="229">
        <f t="shared" si="9"/>
        <v>920</v>
      </c>
      <c r="U86" s="380">
        <f>(AF86-AB86)*I86</f>
        <v>782</v>
      </c>
      <c r="V86" s="202" t="str">
        <f>IF(B86&lt;11,MIN((S86/VLOOKUP(B86,'Sales Pacing'!$A$23:$E$36,2)),T86),"Too early")</f>
        <v>Too early</v>
      </c>
      <c r="W86" s="379" t="str">
        <f>IF(V86="Too early","Too early",V86/U86)</f>
        <v>Too early</v>
      </c>
      <c r="X86" s="222">
        <v>13007</v>
      </c>
      <c r="Y86" s="226">
        <v>53333</v>
      </c>
      <c r="Z86" s="233">
        <f t="shared" si="10"/>
        <v>0.24388277426733918</v>
      </c>
      <c r="AA86" s="203" t="str">
        <f>IF($V86="Too early",V86,V86*AG86/Y86)</f>
        <v>Too early</v>
      </c>
      <c r="AB86" s="218">
        <v>670</v>
      </c>
      <c r="AC86" s="222">
        <v>48445.8</v>
      </c>
      <c r="AD86" s="226">
        <v>41334</v>
      </c>
      <c r="AE86" s="203">
        <f t="shared" si="11"/>
        <v>1.1720569023080274</v>
      </c>
      <c r="AF86" s="229">
        <v>1590</v>
      </c>
      <c r="AG86" s="204">
        <f>X86/S86</f>
        <v>70.308108108108115</v>
      </c>
      <c r="AH86" s="214"/>
      <c r="AI86" s="214"/>
      <c r="AJ86" s="214"/>
      <c r="AK86" s="340">
        <v>60900.800000000003</v>
      </c>
      <c r="AL86" s="344">
        <f>L86-AK86</f>
        <v>552</v>
      </c>
    </row>
    <row r="87" spans="1:38" s="142" customFormat="1" ht="14.25">
      <c r="A87" s="142">
        <v>30</v>
      </c>
      <c r="B87" s="142">
        <f t="shared" si="7"/>
        <v>25</v>
      </c>
      <c r="C87" s="143">
        <v>46104</v>
      </c>
      <c r="D87" s="142" t="s">
        <v>97</v>
      </c>
      <c r="G87" s="143">
        <v>46110.583333333336</v>
      </c>
      <c r="H87" s="142" t="s">
        <v>59</v>
      </c>
      <c r="I87" s="510">
        <v>0.85</v>
      </c>
      <c r="J87" s="530">
        <f>K87/AF87</f>
        <v>0.38930817610062896</v>
      </c>
      <c r="K87" s="37">
        <f>S87+AB87</f>
        <v>619</v>
      </c>
      <c r="L87" s="38">
        <f>X87+AC87</f>
        <v>43141.599999999999</v>
      </c>
      <c r="M87" s="31">
        <f>Y87+AD87</f>
        <v>94666</v>
      </c>
      <c r="N87" s="498">
        <f>L87-M87</f>
        <v>-51524.4</v>
      </c>
      <c r="O87" s="30" t="str">
        <f>IF(P87="Too early",P87,P87/AF87)</f>
        <v>Too early</v>
      </c>
      <c r="P87" s="37" t="str">
        <f t="shared" si="8"/>
        <v>Too early</v>
      </c>
      <c r="Q87" s="38" t="str">
        <f>IF(V87="Too early",V87,AC87+V87*AG87)</f>
        <v>Too early</v>
      </c>
      <c r="R87" s="514" t="str">
        <f t="shared" si="12"/>
        <v>Too early</v>
      </c>
      <c r="S87" s="218">
        <v>230</v>
      </c>
      <c r="T87" s="229">
        <f t="shared" si="9"/>
        <v>1201</v>
      </c>
      <c r="U87" s="380">
        <f>(AF87-AB87)*I87</f>
        <v>1020.85</v>
      </c>
      <c r="V87" s="202" t="str">
        <f>IF(B87&lt;11,MIN((S87/VLOOKUP(B87,'Sales Pacing'!$A$23:$E$36,2)),T87),"Too early")</f>
        <v>Too early</v>
      </c>
      <c r="W87" s="379" t="str">
        <f>IF(V87="Too early","Too early",V87/U87)</f>
        <v>Too early</v>
      </c>
      <c r="X87" s="222">
        <v>16690</v>
      </c>
      <c r="Y87" s="226">
        <v>53333</v>
      </c>
      <c r="Z87" s="233">
        <f t="shared" si="10"/>
        <v>0.31293945587159921</v>
      </c>
      <c r="AA87" s="203" t="str">
        <f>IF($V87="Too early",V87,V87*AG87/Y87)</f>
        <v>Too early</v>
      </c>
      <c r="AB87" s="218">
        <v>389</v>
      </c>
      <c r="AC87" s="222">
        <v>26451.599999999999</v>
      </c>
      <c r="AD87" s="226">
        <v>41333</v>
      </c>
      <c r="AE87" s="203">
        <f t="shared" si="11"/>
        <v>0.63996322550988316</v>
      </c>
      <c r="AF87" s="229">
        <v>1590</v>
      </c>
      <c r="AG87" s="204">
        <f>X87/S87</f>
        <v>72.565217391304344</v>
      </c>
      <c r="AH87" s="214"/>
      <c r="AI87" s="214"/>
      <c r="AJ87" s="214"/>
      <c r="AK87" s="340">
        <v>41992.6</v>
      </c>
      <c r="AL87" s="344">
        <f>L87-AK87</f>
        <v>1149</v>
      </c>
    </row>
    <row r="88" spans="1:38" s="185" customFormat="1" ht="14.25">
      <c r="A88" s="185">
        <v>31</v>
      </c>
      <c r="B88" s="185">
        <f t="shared" si="7"/>
        <v>26</v>
      </c>
      <c r="C88" s="186">
        <v>46111</v>
      </c>
      <c r="D88" s="185" t="s">
        <v>73</v>
      </c>
      <c r="G88" s="195"/>
      <c r="H88" s="196"/>
      <c r="I88" s="513"/>
      <c r="J88" s="209" t="e">
        <f>K88/AF88</f>
        <v>#DIV/0!</v>
      </c>
      <c r="K88" s="197">
        <f>S88+AB88</f>
        <v>0</v>
      </c>
      <c r="L88" s="200">
        <f>X88+AC88</f>
        <v>0</v>
      </c>
      <c r="M88" s="201">
        <f>Y88+AD88</f>
        <v>0</v>
      </c>
      <c r="N88" s="499"/>
      <c r="O88" s="199"/>
      <c r="P88" s="198" t="str">
        <f t="shared" si="8"/>
        <v>Too early</v>
      </c>
      <c r="Q88" s="200" t="str">
        <f>IF(V88="Too early",V88,AC88+V88*AG88)</f>
        <v>Too early</v>
      </c>
      <c r="R88" s="516" t="str">
        <f t="shared" si="12"/>
        <v>Too early</v>
      </c>
      <c r="S88" s="220"/>
      <c r="T88" s="220">
        <f t="shared" si="9"/>
        <v>0</v>
      </c>
      <c r="U88" s="220">
        <f>(AF88-AB88)*I88</f>
        <v>0</v>
      </c>
      <c r="V88" s="208" t="str">
        <f>IF(B88&lt;11,MIN((S88/VLOOKUP(B88,'Sales Pacing'!$A$23:$E$36,2)),T88),"Too early")</f>
        <v>Too early</v>
      </c>
      <c r="W88" s="208"/>
      <c r="X88" s="224"/>
      <c r="Y88" s="224"/>
      <c r="Z88" s="235" t="str">
        <f t="shared" si="10"/>
        <v/>
      </c>
      <c r="AA88" s="209"/>
      <c r="AB88" s="220"/>
      <c r="AC88" s="224"/>
      <c r="AD88" s="224"/>
      <c r="AE88" s="209" t="s">
        <v>57</v>
      </c>
      <c r="AF88" s="220"/>
      <c r="AG88" s="210" t="e">
        <f>X88/S88</f>
        <v>#DIV/0!</v>
      </c>
      <c r="AH88" s="216"/>
      <c r="AI88" s="216"/>
      <c r="AJ88" s="216"/>
      <c r="AK88" s="341">
        <v>0</v>
      </c>
    </row>
    <row r="89" spans="1:38" s="142" customFormat="1" ht="14.25">
      <c r="A89" s="142">
        <v>32</v>
      </c>
      <c r="B89" s="142">
        <f t="shared" si="7"/>
        <v>27</v>
      </c>
      <c r="C89" s="176">
        <v>46118</v>
      </c>
      <c r="D89" s="177" t="s">
        <v>98</v>
      </c>
      <c r="E89" s="177"/>
      <c r="F89" s="177"/>
      <c r="G89" s="176">
        <v>46122.833333333336</v>
      </c>
      <c r="H89" s="177" t="s">
        <v>64</v>
      </c>
      <c r="I89" s="510">
        <v>0.5</v>
      </c>
      <c r="J89" s="203">
        <f>K89/AF89</f>
        <v>0.29309141660851362</v>
      </c>
      <c r="K89" s="36">
        <f>S89+AB89</f>
        <v>420</v>
      </c>
      <c r="L89" s="38">
        <f>X89+AC89</f>
        <v>28125</v>
      </c>
      <c r="M89" s="31">
        <f>Y89+AD89</f>
        <v>52000</v>
      </c>
      <c r="N89" s="498">
        <f>L89-M89</f>
        <v>-23875</v>
      </c>
      <c r="O89" s="30" t="str">
        <f>IF(P89="Too early",P89,P89/AF89)</f>
        <v>Too early</v>
      </c>
      <c r="P89" s="37" t="str">
        <f t="shared" si="8"/>
        <v>Too early</v>
      </c>
      <c r="Q89" s="38" t="str">
        <f>IF(V89="Too early",V89,AC89+V89*AG89)</f>
        <v>Too early</v>
      </c>
      <c r="R89" s="514" t="str">
        <f t="shared" si="12"/>
        <v>Too early</v>
      </c>
      <c r="S89" s="218">
        <v>52</v>
      </c>
      <c r="T89" s="229">
        <f t="shared" si="9"/>
        <v>1065</v>
      </c>
      <c r="U89" s="380">
        <f>(AF89-AB89)*I89</f>
        <v>532.5</v>
      </c>
      <c r="V89" s="202" t="str">
        <f>IF(B89&lt;11,MIN((S89/VLOOKUP(B89,'Sales Pacing'!$A$23:$E$36,2)),T89),"Too early")</f>
        <v>Too early</v>
      </c>
      <c r="W89" s="379" t="str">
        <f>IF(V89="Too early","Too early",V89/U89)</f>
        <v>Too early</v>
      </c>
      <c r="X89" s="222">
        <v>2411</v>
      </c>
      <c r="Y89" s="226">
        <v>22000</v>
      </c>
      <c r="Z89" s="233">
        <f t="shared" si="10"/>
        <v>0.10959090909090909</v>
      </c>
      <c r="AA89" s="203" t="str">
        <f>IF($V89="Too early",V89,V89*AG89/Y89)</f>
        <v>Too early</v>
      </c>
      <c r="AB89" s="218">
        <v>368</v>
      </c>
      <c r="AC89" s="222">
        <v>25714</v>
      </c>
      <c r="AD89" s="226">
        <v>30000</v>
      </c>
      <c r="AE89" s="203">
        <f t="shared" si="11"/>
        <v>0.8571333333333333</v>
      </c>
      <c r="AF89" s="229">
        <v>1433</v>
      </c>
      <c r="AG89" s="204">
        <f>X89/S89</f>
        <v>46.365384615384613</v>
      </c>
      <c r="AH89" s="214"/>
      <c r="AI89" s="214"/>
      <c r="AJ89" s="214"/>
      <c r="AK89" s="340">
        <v>27729</v>
      </c>
      <c r="AL89" s="344">
        <f>L89-AK89</f>
        <v>396</v>
      </c>
    </row>
    <row r="90" spans="1:38" s="142" customFormat="1" ht="14.25">
      <c r="A90" s="142">
        <v>32</v>
      </c>
      <c r="B90" s="142">
        <f t="shared" si="7"/>
        <v>27</v>
      </c>
      <c r="C90" s="143">
        <v>46118</v>
      </c>
      <c r="D90" s="142" t="s">
        <v>98</v>
      </c>
      <c r="G90" s="143">
        <v>46123.833333333336</v>
      </c>
      <c r="H90" s="142" t="s">
        <v>64</v>
      </c>
      <c r="I90" s="510">
        <v>0.85</v>
      </c>
      <c r="J90" s="203">
        <f>K90/AF90</f>
        <v>0.46196789951151429</v>
      </c>
      <c r="K90" s="36">
        <f>S90+AB90</f>
        <v>662</v>
      </c>
      <c r="L90" s="38">
        <f>X90+AC90</f>
        <v>41374</v>
      </c>
      <c r="M90" s="31">
        <f>Y90+AD90</f>
        <v>74000</v>
      </c>
      <c r="N90" s="498">
        <f>L90-M90</f>
        <v>-32626</v>
      </c>
      <c r="O90" s="30" t="str">
        <f>IF(P90="Too early",P90,P90/AF90)</f>
        <v>Too early</v>
      </c>
      <c r="P90" s="37" t="str">
        <f t="shared" si="8"/>
        <v>Too early</v>
      </c>
      <c r="Q90" s="38" t="str">
        <f>IF(V90="Too early",V90,AC90+V90*AG90)</f>
        <v>Too early</v>
      </c>
      <c r="R90" s="514" t="str">
        <f t="shared" si="12"/>
        <v>Too early</v>
      </c>
      <c r="S90" s="218">
        <v>97</v>
      </c>
      <c r="T90" s="229">
        <f t="shared" si="9"/>
        <v>868</v>
      </c>
      <c r="U90" s="380">
        <f>(AF90-AB90)*I90</f>
        <v>737.8</v>
      </c>
      <c r="V90" s="202" t="str">
        <f>IF(B90&lt;11,MIN((S90/VLOOKUP(B90,'Sales Pacing'!$A$23:$E$36,2)),T90),"Too early")</f>
        <v>Too early</v>
      </c>
      <c r="W90" s="379" t="str">
        <f>IF(V90="Too early","Too early",V90/U90)</f>
        <v>Too early</v>
      </c>
      <c r="X90" s="222">
        <v>5001</v>
      </c>
      <c r="Y90" s="226">
        <v>24000</v>
      </c>
      <c r="Z90" s="233">
        <f t="shared" si="10"/>
        <v>0.208375</v>
      </c>
      <c r="AA90" s="203" t="str">
        <f>IF($V90="Too early",V90,V90*AG90/Y90)</f>
        <v>Too early</v>
      </c>
      <c r="AB90" s="218">
        <v>565</v>
      </c>
      <c r="AC90" s="222">
        <v>36373</v>
      </c>
      <c r="AD90" s="226">
        <v>50000</v>
      </c>
      <c r="AE90" s="203">
        <f t="shared" si="11"/>
        <v>0.72746</v>
      </c>
      <c r="AF90" s="229">
        <v>1433</v>
      </c>
      <c r="AG90" s="204">
        <f>X90/S90</f>
        <v>51.556701030927833</v>
      </c>
      <c r="AH90" s="214"/>
      <c r="AI90" s="214"/>
      <c r="AJ90" s="214"/>
      <c r="AK90" s="340">
        <v>41302</v>
      </c>
      <c r="AL90" s="344">
        <f>L90-AK90</f>
        <v>72</v>
      </c>
    </row>
    <row r="91" spans="1:38" s="146" customFormat="1" ht="14.25">
      <c r="A91" s="146">
        <v>32</v>
      </c>
      <c r="B91" s="146">
        <f t="shared" si="7"/>
        <v>27</v>
      </c>
      <c r="C91" s="147">
        <v>46118</v>
      </c>
      <c r="D91" s="146" t="s">
        <v>98</v>
      </c>
      <c r="G91" s="147">
        <v>46124.583333333336</v>
      </c>
      <c r="H91" s="146" t="s">
        <v>64</v>
      </c>
      <c r="I91" s="527">
        <v>0.85</v>
      </c>
      <c r="J91" s="206">
        <f>K91/AF91</f>
        <v>0.44801116538729935</v>
      </c>
      <c r="K91" s="148">
        <f>S91+AB91</f>
        <v>642</v>
      </c>
      <c r="L91" s="34">
        <f>X91+AC91</f>
        <v>39965.1</v>
      </c>
      <c r="M91" s="35">
        <f>Y91+AD91</f>
        <v>74000</v>
      </c>
      <c r="N91" s="500">
        <f>L91-M91</f>
        <v>-34034.9</v>
      </c>
      <c r="O91" s="33" t="str">
        <f>IF(P91="Too early",P91,P91/AF91)</f>
        <v>Too early</v>
      </c>
      <c r="P91" s="32" t="str">
        <f t="shared" si="8"/>
        <v>Too early</v>
      </c>
      <c r="Q91" s="34" t="str">
        <f>IF(V91="Too early",V91,AC91+V91*AG91)</f>
        <v>Too early</v>
      </c>
      <c r="R91" s="515" t="str">
        <f t="shared" si="12"/>
        <v>Too early</v>
      </c>
      <c r="S91" s="219">
        <v>70</v>
      </c>
      <c r="T91" s="230">
        <f t="shared" si="9"/>
        <v>861</v>
      </c>
      <c r="U91" s="395">
        <f>(AF91-AB91)*I91</f>
        <v>731.85</v>
      </c>
      <c r="V91" s="205" t="str">
        <f>IF(B91&lt;11,MIN((S91/VLOOKUP(B91,'Sales Pacing'!$A$23:$E$36,2)),T91),"Too early")</f>
        <v>Too early</v>
      </c>
      <c r="W91" s="396" t="str">
        <f>IF(V91="Too early","Too early",V91/U91)</f>
        <v>Too early</v>
      </c>
      <c r="X91" s="223">
        <v>3060</v>
      </c>
      <c r="Y91" s="227">
        <v>24000</v>
      </c>
      <c r="Z91" s="234">
        <f t="shared" si="10"/>
        <v>0.1275</v>
      </c>
      <c r="AA91" s="206" t="str">
        <f>IF($V91="Too early",V91,V91*AG91/Y91)</f>
        <v>Too early</v>
      </c>
      <c r="AB91" s="219">
        <v>572</v>
      </c>
      <c r="AC91" s="223">
        <v>36905.1</v>
      </c>
      <c r="AD91" s="227">
        <v>50000</v>
      </c>
      <c r="AE91" s="206">
        <f t="shared" si="11"/>
        <v>0.73810199999999992</v>
      </c>
      <c r="AF91" s="230">
        <v>1433</v>
      </c>
      <c r="AG91" s="207">
        <f>X91/S91</f>
        <v>43.714285714285715</v>
      </c>
      <c r="AH91" s="215"/>
      <c r="AI91" s="215"/>
      <c r="AJ91" s="215"/>
      <c r="AK91" s="342">
        <v>39738.1</v>
      </c>
      <c r="AL91" s="344">
        <f>L91-AK91</f>
        <v>227</v>
      </c>
    </row>
    <row r="92" spans="1:38" s="142" customFormat="1" ht="14.25">
      <c r="A92" s="142">
        <v>33</v>
      </c>
      <c r="B92" s="142">
        <f t="shared" si="7"/>
        <v>28</v>
      </c>
      <c r="C92" s="143">
        <v>46125</v>
      </c>
      <c r="D92" s="142" t="s">
        <v>99</v>
      </c>
      <c r="G92" s="143">
        <v>46129.833333333336</v>
      </c>
      <c r="H92" s="142" t="s">
        <v>64</v>
      </c>
      <c r="I92" s="510">
        <v>0.85</v>
      </c>
      <c r="J92" s="203">
        <f>K92/AF92</f>
        <v>0.38301886792452833</v>
      </c>
      <c r="K92" s="36">
        <f>S92+AB92</f>
        <v>609</v>
      </c>
      <c r="L92" s="38">
        <f>X92+AC92</f>
        <v>39973</v>
      </c>
      <c r="M92" s="31">
        <f>Y92+AD92</f>
        <v>46666</v>
      </c>
      <c r="N92" s="498">
        <f>L92-M92</f>
        <v>-6693</v>
      </c>
      <c r="O92" s="30" t="str">
        <f>IF(P92="Too early",P92,P92/AF92)</f>
        <v>Too early</v>
      </c>
      <c r="P92" s="37" t="str">
        <f t="shared" si="8"/>
        <v>Too early</v>
      </c>
      <c r="Q92" s="38" t="str">
        <f>IF(V92="Too early",V92,AC92+V92*AG92)</f>
        <v>Too early</v>
      </c>
      <c r="R92" s="514" t="str">
        <f t="shared" si="12"/>
        <v>Too early</v>
      </c>
      <c r="S92" s="218">
        <v>31</v>
      </c>
      <c r="T92" s="229">
        <f t="shared" si="9"/>
        <v>1012</v>
      </c>
      <c r="U92" s="380">
        <f>(AF92-AB92)*I92</f>
        <v>860.19999999999993</v>
      </c>
      <c r="V92" s="202" t="str">
        <f>IF(B92&lt;11,MIN((S92/VLOOKUP(B92,'Sales Pacing'!$A$23:$E$36,2)),T92),"Too early")</f>
        <v>Too early</v>
      </c>
      <c r="W92" s="379" t="str">
        <f>IF(V92="Too early","Too early",V92/U92)</f>
        <v>Too early</v>
      </c>
      <c r="X92" s="222">
        <v>1099</v>
      </c>
      <c r="Y92" s="226">
        <v>13333</v>
      </c>
      <c r="Z92" s="233">
        <f t="shared" si="10"/>
        <v>8.2427060676516908E-2</v>
      </c>
      <c r="AA92" s="203" t="str">
        <f>IF($V92="Too early",V92,V92*AG92/Y92)</f>
        <v>Too early</v>
      </c>
      <c r="AB92" s="218">
        <v>578</v>
      </c>
      <c r="AC92" s="222">
        <v>38874</v>
      </c>
      <c r="AD92" s="226">
        <v>33333</v>
      </c>
      <c r="AE92" s="203">
        <f t="shared" si="11"/>
        <v>1.1662316623166231</v>
      </c>
      <c r="AF92" s="229">
        <v>1590</v>
      </c>
      <c r="AG92" s="204">
        <f>X92/S92</f>
        <v>35.451612903225808</v>
      </c>
      <c r="AH92" s="214"/>
      <c r="AI92" s="214"/>
      <c r="AJ92" s="214"/>
      <c r="AK92" s="340">
        <v>39793</v>
      </c>
      <c r="AL92" s="344">
        <f>L92-AK92</f>
        <v>180</v>
      </c>
    </row>
    <row r="93" spans="1:38" s="142" customFormat="1" ht="14.25">
      <c r="A93" s="142">
        <v>33</v>
      </c>
      <c r="B93" s="142">
        <f t="shared" si="7"/>
        <v>28</v>
      </c>
      <c r="C93" s="143">
        <v>46125</v>
      </c>
      <c r="D93" s="142" t="s">
        <v>99</v>
      </c>
      <c r="G93" s="143">
        <v>46130.833333333336</v>
      </c>
      <c r="H93" s="142" t="s">
        <v>64</v>
      </c>
      <c r="I93" s="510">
        <v>0.85</v>
      </c>
      <c r="J93" s="203">
        <f>K93/AF93</f>
        <v>0.39245283018867927</v>
      </c>
      <c r="K93" s="36">
        <f>S93+AB93</f>
        <v>624</v>
      </c>
      <c r="L93" s="38">
        <f>X93+AC93</f>
        <v>41660.9</v>
      </c>
      <c r="M93" s="31">
        <f>Y93+AD93</f>
        <v>46666</v>
      </c>
      <c r="N93" s="498">
        <f>L93-M93</f>
        <v>-5005.0999999999985</v>
      </c>
      <c r="O93" s="30" t="str">
        <f>IF(P93="Too early",P93,P93/AF93)</f>
        <v>Too early</v>
      </c>
      <c r="P93" s="37" t="str">
        <f t="shared" si="8"/>
        <v>Too early</v>
      </c>
      <c r="Q93" s="38" t="str">
        <f>IF(V93="Too early",V93,AC93+V93*AG93)</f>
        <v>Too early</v>
      </c>
      <c r="R93" s="514" t="str">
        <f t="shared" si="12"/>
        <v>Too early</v>
      </c>
      <c r="S93" s="218">
        <v>32</v>
      </c>
      <c r="T93" s="229">
        <f t="shared" si="9"/>
        <v>998</v>
      </c>
      <c r="U93" s="380">
        <f>(AF93-AB93)*I93</f>
        <v>848.3</v>
      </c>
      <c r="V93" s="202" t="str">
        <f>IF(B93&lt;11,MIN((S93/VLOOKUP(B93,'Sales Pacing'!$A$23:$E$36,2)),T93),"Too early")</f>
        <v>Too early</v>
      </c>
      <c r="W93" s="379" t="str">
        <f>IF(V93="Too early","Too early",V93/U93)</f>
        <v>Too early</v>
      </c>
      <c r="X93" s="222">
        <v>1399</v>
      </c>
      <c r="Y93" s="226">
        <v>13333</v>
      </c>
      <c r="Z93" s="233">
        <f t="shared" si="10"/>
        <v>0.10492762319057976</v>
      </c>
      <c r="AA93" s="203" t="str">
        <f>IF($V93="Too early",V93,V93*AG93/Y93)</f>
        <v>Too early</v>
      </c>
      <c r="AB93" s="218">
        <v>592</v>
      </c>
      <c r="AC93" s="222">
        <v>40261.9</v>
      </c>
      <c r="AD93" s="226">
        <v>33333</v>
      </c>
      <c r="AE93" s="203">
        <f t="shared" si="11"/>
        <v>1.2078690786907869</v>
      </c>
      <c r="AF93" s="229">
        <v>1590</v>
      </c>
      <c r="AG93" s="204">
        <f>X93/S93</f>
        <v>43.71875</v>
      </c>
      <c r="AH93" s="214"/>
      <c r="AI93" s="214"/>
      <c r="AJ93" s="214"/>
      <c r="AK93" s="340">
        <v>41723.9</v>
      </c>
      <c r="AL93" s="344">
        <f>L93-AK93</f>
        <v>-63</v>
      </c>
    </row>
    <row r="94" spans="1:38" s="146" customFormat="1" ht="14.25">
      <c r="A94" s="146">
        <v>33</v>
      </c>
      <c r="B94" s="146">
        <f t="shared" si="7"/>
        <v>28</v>
      </c>
      <c r="C94" s="147">
        <v>46125</v>
      </c>
      <c r="D94" s="146" t="s">
        <v>99</v>
      </c>
      <c r="G94" s="147">
        <v>46131.583333333336</v>
      </c>
      <c r="H94" s="146" t="s">
        <v>64</v>
      </c>
      <c r="I94" s="510">
        <v>0.85</v>
      </c>
      <c r="J94" s="203">
        <f>K94/AF94</f>
        <v>0.41446540880503147</v>
      </c>
      <c r="K94" s="148">
        <f>S94+AB94</f>
        <v>659</v>
      </c>
      <c r="L94" s="34">
        <f>X94+AC94</f>
        <v>41694.199999999997</v>
      </c>
      <c r="M94" s="35">
        <f>Y94+AD94</f>
        <v>46667</v>
      </c>
      <c r="N94" s="500">
        <f>L94-M94</f>
        <v>-4972.8000000000029</v>
      </c>
      <c r="O94" s="33" t="str">
        <f>IF(P94="Too early",P94,P94/AF94)</f>
        <v>Too early</v>
      </c>
      <c r="P94" s="32" t="str">
        <f t="shared" si="8"/>
        <v>Too early</v>
      </c>
      <c r="Q94" s="34" t="str">
        <f>IF(V94="Too early",V94,AC94+V94*AG94)</f>
        <v>Too early</v>
      </c>
      <c r="R94" s="515" t="str">
        <f t="shared" si="12"/>
        <v>Too early</v>
      </c>
      <c r="S94" s="219">
        <v>40</v>
      </c>
      <c r="T94" s="229">
        <f t="shared" si="9"/>
        <v>971</v>
      </c>
      <c r="U94" s="380">
        <f>(AF94-AB94)*I94</f>
        <v>825.35</v>
      </c>
      <c r="V94" s="205" t="str">
        <f>IF(B94&lt;11,MIN((S94/VLOOKUP(B94,'Sales Pacing'!$A$23:$E$36,2)),T94),"Too early")</f>
        <v>Too early</v>
      </c>
      <c r="W94" s="379" t="str">
        <f>IF(V94="Too early","Too early",V94/U94)</f>
        <v>Too early</v>
      </c>
      <c r="X94" s="223">
        <v>1731</v>
      </c>
      <c r="Y94" s="227">
        <v>13333</v>
      </c>
      <c r="Z94" s="234">
        <f t="shared" si="10"/>
        <v>0.12982824570614265</v>
      </c>
      <c r="AA94" s="206" t="str">
        <f>IF($V94="Too early",V94,V94*AG94/Y94)</f>
        <v>Too early</v>
      </c>
      <c r="AB94" s="219">
        <v>619</v>
      </c>
      <c r="AC94" s="223">
        <v>39963.199999999997</v>
      </c>
      <c r="AD94" s="227">
        <v>33334</v>
      </c>
      <c r="AE94" s="206">
        <f t="shared" si="11"/>
        <v>1.1988720225595486</v>
      </c>
      <c r="AF94" s="230">
        <v>1590</v>
      </c>
      <c r="AG94" s="207">
        <f>X94/S94</f>
        <v>43.274999999999999</v>
      </c>
      <c r="AH94" s="215"/>
      <c r="AI94" s="215"/>
      <c r="AJ94" s="215"/>
      <c r="AK94" s="342">
        <v>41460.199999999997</v>
      </c>
      <c r="AL94" s="344">
        <f>L94-AK94</f>
        <v>234</v>
      </c>
    </row>
    <row r="95" spans="1:38" s="185" customFormat="1" ht="14.25">
      <c r="A95" s="185">
        <v>34</v>
      </c>
      <c r="B95" s="185">
        <f t="shared" si="7"/>
        <v>29</v>
      </c>
      <c r="C95" s="186">
        <v>46132</v>
      </c>
      <c r="D95" s="185" t="s">
        <v>73</v>
      </c>
      <c r="G95" s="195"/>
      <c r="H95" s="196"/>
      <c r="I95" s="513"/>
      <c r="J95" s="209" t="e">
        <f>K95/AF95</f>
        <v>#DIV/0!</v>
      </c>
      <c r="K95" s="197">
        <f>S95+AB95</f>
        <v>0</v>
      </c>
      <c r="L95" s="200">
        <f>X95+AC95</f>
        <v>0</v>
      </c>
      <c r="M95" s="201">
        <f>Y95+AD95</f>
        <v>0</v>
      </c>
      <c r="N95" s="499"/>
      <c r="O95" s="199"/>
      <c r="P95" s="198" t="str">
        <f t="shared" si="8"/>
        <v>Too early</v>
      </c>
      <c r="Q95" s="200" t="str">
        <f>IF(V95="Too early",V95,AC95+V95*AG95)</f>
        <v>Too early</v>
      </c>
      <c r="R95" s="516" t="str">
        <f t="shared" si="12"/>
        <v>Too early</v>
      </c>
      <c r="S95" s="220"/>
      <c r="T95" s="220">
        <f t="shared" si="9"/>
        <v>0</v>
      </c>
      <c r="U95" s="220">
        <f>(AF95-AB95)*I95</f>
        <v>0</v>
      </c>
      <c r="V95" s="208" t="str">
        <f>IF(B95&lt;11,MIN((S95/VLOOKUP(B95,'Sales Pacing'!$A$23:$E$36,2)),T95),"Too early")</f>
        <v>Too early</v>
      </c>
      <c r="W95" s="208"/>
      <c r="X95" s="224"/>
      <c r="Y95" s="224"/>
      <c r="Z95" s="235" t="str">
        <f t="shared" si="10"/>
        <v/>
      </c>
      <c r="AA95" s="209"/>
      <c r="AB95" s="220"/>
      <c r="AC95" s="224"/>
      <c r="AD95" s="224"/>
      <c r="AE95" s="209" t="s">
        <v>57</v>
      </c>
      <c r="AF95" s="220"/>
      <c r="AG95" s="210" t="e">
        <f>X95/S95</f>
        <v>#DIV/0!</v>
      </c>
      <c r="AH95" s="216"/>
      <c r="AI95" s="216"/>
      <c r="AJ95" s="216"/>
      <c r="AK95" s="341">
        <v>0</v>
      </c>
    </row>
    <row r="96" spans="1:38" s="185" customFormat="1" ht="14.25">
      <c r="A96" s="185">
        <v>35</v>
      </c>
      <c r="B96" s="185">
        <f t="shared" si="7"/>
        <v>30</v>
      </c>
      <c r="C96" s="186">
        <v>46139</v>
      </c>
      <c r="D96" s="185" t="s">
        <v>73</v>
      </c>
      <c r="G96" s="195"/>
      <c r="H96" s="196"/>
      <c r="I96" s="513"/>
      <c r="J96" s="209" t="e">
        <f>K96/AF96</f>
        <v>#DIV/0!</v>
      </c>
      <c r="K96" s="197">
        <f>S96+AB96</f>
        <v>0</v>
      </c>
      <c r="L96" s="200">
        <f>X96+AC96</f>
        <v>0</v>
      </c>
      <c r="M96" s="201">
        <f>Y96+AD96</f>
        <v>0</v>
      </c>
      <c r="N96" s="499"/>
      <c r="O96" s="199"/>
      <c r="P96" s="198" t="str">
        <f t="shared" si="8"/>
        <v>Too early</v>
      </c>
      <c r="Q96" s="200" t="str">
        <f>IF(V96="Too early",V96,AC96+V96*AG96)</f>
        <v>Too early</v>
      </c>
      <c r="R96" s="516" t="str">
        <f t="shared" si="12"/>
        <v>Too early</v>
      </c>
      <c r="S96" s="220"/>
      <c r="T96" s="220">
        <f t="shared" si="9"/>
        <v>0</v>
      </c>
      <c r="U96" s="220">
        <f>(AF96-AB96)*I96</f>
        <v>0</v>
      </c>
      <c r="V96" s="208" t="str">
        <f>IF(B96&lt;11,MIN((S96/VLOOKUP(B96,'Sales Pacing'!$A$23:$E$36,2)),T96),"Too early")</f>
        <v>Too early</v>
      </c>
      <c r="W96" s="208"/>
      <c r="X96" s="224"/>
      <c r="Y96" s="224"/>
      <c r="Z96" s="235" t="str">
        <f t="shared" si="10"/>
        <v/>
      </c>
      <c r="AA96" s="209"/>
      <c r="AB96" s="220"/>
      <c r="AC96" s="224"/>
      <c r="AD96" s="224"/>
      <c r="AE96" s="209" t="s">
        <v>57</v>
      </c>
      <c r="AF96" s="220"/>
      <c r="AG96" s="210" t="e">
        <f>X96/S96</f>
        <v>#DIV/0!</v>
      </c>
      <c r="AH96" s="216"/>
      <c r="AI96" s="216"/>
      <c r="AJ96" s="216"/>
      <c r="AK96" s="341">
        <v>0</v>
      </c>
    </row>
    <row r="97" spans="1:49" s="142" customFormat="1" ht="14.25">
      <c r="A97" s="142">
        <v>36</v>
      </c>
      <c r="B97" s="142">
        <f t="shared" si="7"/>
        <v>31</v>
      </c>
      <c r="C97" s="176">
        <v>46146</v>
      </c>
      <c r="D97" s="177" t="s">
        <v>100</v>
      </c>
      <c r="E97" s="177"/>
      <c r="F97" s="177"/>
      <c r="G97" s="176">
        <v>46150.833333333336</v>
      </c>
      <c r="H97" s="177" t="s">
        <v>64</v>
      </c>
      <c r="I97" s="510">
        <v>0.5</v>
      </c>
      <c r="J97" s="203">
        <f>K97/AF97</f>
        <v>0.26666666666666666</v>
      </c>
      <c r="K97" s="36">
        <f>S97+AB97</f>
        <v>424</v>
      </c>
      <c r="L97" s="38">
        <f>X97+AC97</f>
        <v>28112</v>
      </c>
      <c r="M97" s="31">
        <f>Y97+AD97</f>
        <v>45000</v>
      </c>
      <c r="N97" s="498">
        <f>L97-M97</f>
        <v>-16888</v>
      </c>
      <c r="O97" s="30" t="str">
        <f>IF(P97="Too early",P97,P97/AF97)</f>
        <v>Too early</v>
      </c>
      <c r="P97" s="37" t="str">
        <f t="shared" si="8"/>
        <v>Too early</v>
      </c>
      <c r="Q97" s="38" t="str">
        <f>IF(V97="Too early",V97,AC97+V97*AG97)</f>
        <v>Too early</v>
      </c>
      <c r="R97" s="514" t="str">
        <f t="shared" si="12"/>
        <v>Too early</v>
      </c>
      <c r="S97" s="238">
        <v>50</v>
      </c>
      <c r="T97" s="380">
        <f t="shared" si="9"/>
        <v>1216</v>
      </c>
      <c r="U97" s="380">
        <f>(AF97-AB97)*I97</f>
        <v>608</v>
      </c>
      <c r="V97" s="202" t="str">
        <f>IF(B97&lt;11,MIN((S97/VLOOKUP(B97,'Sales Pacing'!$A$23:$E$36,2)),T97),"Too early")</f>
        <v>Too early</v>
      </c>
      <c r="W97" s="379" t="str">
        <f>IF(V97="Too early","Too early",V97/U97)</f>
        <v>Too early</v>
      </c>
      <c r="X97" s="222">
        <v>2349</v>
      </c>
      <c r="Y97" s="226">
        <v>20000</v>
      </c>
      <c r="Z97" s="233">
        <f t="shared" si="10"/>
        <v>0.11745</v>
      </c>
      <c r="AA97" s="203" t="str">
        <f>IF($V97="Too early",V97,V97*AG97/Y97)</f>
        <v>Too early</v>
      </c>
      <c r="AB97" s="218">
        <v>374</v>
      </c>
      <c r="AC97" s="222">
        <v>25763</v>
      </c>
      <c r="AD97" s="226">
        <v>25000</v>
      </c>
      <c r="AE97" s="203">
        <f t="shared" si="11"/>
        <v>1.0305200000000001</v>
      </c>
      <c r="AF97" s="229">
        <v>1590</v>
      </c>
      <c r="AG97" s="204">
        <f>X97/S97</f>
        <v>46.98</v>
      </c>
      <c r="AH97" s="214"/>
      <c r="AI97" s="214"/>
      <c r="AJ97" s="214"/>
      <c r="AK97" s="340">
        <v>27937</v>
      </c>
      <c r="AL97" s="344">
        <f>L97-AK97</f>
        <v>175</v>
      </c>
    </row>
    <row r="98" spans="1:49" s="142" customFormat="1" ht="14.25">
      <c r="A98" s="142">
        <v>36</v>
      </c>
      <c r="B98" s="142">
        <f t="shared" si="7"/>
        <v>31</v>
      </c>
      <c r="C98" s="143">
        <v>46146</v>
      </c>
      <c r="D98" s="142" t="s">
        <v>100</v>
      </c>
      <c r="G98" s="143">
        <v>46151.833333333336</v>
      </c>
      <c r="H98" s="142" t="s">
        <v>64</v>
      </c>
      <c r="I98" s="510">
        <v>0.85</v>
      </c>
      <c r="J98" s="203">
        <f>K98/AF98</f>
        <v>0.43333333333333335</v>
      </c>
      <c r="K98" s="36">
        <f>S98+AB98</f>
        <v>689</v>
      </c>
      <c r="L98" s="38">
        <f>X98+AC98</f>
        <v>45719.9</v>
      </c>
      <c r="M98" s="31">
        <f>Y98+AD98</f>
        <v>65000</v>
      </c>
      <c r="N98" s="498">
        <f>L98-M98</f>
        <v>-19280.099999999999</v>
      </c>
      <c r="O98" s="30" t="str">
        <f>IF(P98="Too early",P98,P98/AF98)</f>
        <v>Too early</v>
      </c>
      <c r="P98" s="37" t="str">
        <f t="shared" si="8"/>
        <v>Too early</v>
      </c>
      <c r="Q98" s="38" t="str">
        <f>IF(V98="Too early",V98,AC98+V98*AG98)</f>
        <v>Too early</v>
      </c>
      <c r="R98" s="514" t="str">
        <f t="shared" si="12"/>
        <v>Too early</v>
      </c>
      <c r="S98" s="238">
        <v>89</v>
      </c>
      <c r="T98" s="380">
        <f t="shared" si="9"/>
        <v>990</v>
      </c>
      <c r="U98" s="380">
        <f>(AF98-AB98)*I98</f>
        <v>841.5</v>
      </c>
      <c r="V98" s="202" t="str">
        <f>IF(B98&lt;11,MIN((S98/VLOOKUP(B98,'Sales Pacing'!$A$23:$E$36,2)),T98),"Too early")</f>
        <v>Too early</v>
      </c>
      <c r="W98" s="379" t="str">
        <f>IF(V98="Too early","Too early",V98/U98)</f>
        <v>Too early</v>
      </c>
      <c r="X98" s="222">
        <v>5356</v>
      </c>
      <c r="Y98" s="226">
        <v>17500</v>
      </c>
      <c r="Z98" s="233">
        <f t="shared" si="10"/>
        <v>0.30605714285714286</v>
      </c>
      <c r="AA98" s="203" t="str">
        <f>IF($V98="Too early",V98,V98*AG98/Y98)</f>
        <v>Too early</v>
      </c>
      <c r="AB98" s="218">
        <v>600</v>
      </c>
      <c r="AC98" s="222">
        <v>40363.9</v>
      </c>
      <c r="AD98" s="226">
        <v>47500</v>
      </c>
      <c r="AE98" s="203">
        <f t="shared" si="11"/>
        <v>0.8497663157894737</v>
      </c>
      <c r="AF98" s="229">
        <v>1590</v>
      </c>
      <c r="AG98" s="204">
        <f>X98/S98</f>
        <v>60.179775280898873</v>
      </c>
      <c r="AH98" s="214"/>
      <c r="AI98" s="214"/>
      <c r="AJ98" s="214"/>
      <c r="AK98" s="340">
        <v>45768.9</v>
      </c>
      <c r="AL98" s="344">
        <f>L98-AK98</f>
        <v>-49</v>
      </c>
    </row>
    <row r="99" spans="1:49" s="146" customFormat="1" ht="14.25">
      <c r="A99" s="146">
        <v>36</v>
      </c>
      <c r="B99" s="146">
        <f t="shared" si="7"/>
        <v>31</v>
      </c>
      <c r="C99" s="147">
        <v>46146</v>
      </c>
      <c r="D99" s="146" t="s">
        <v>100</v>
      </c>
      <c r="G99" s="147">
        <v>46152.583333333336</v>
      </c>
      <c r="H99" s="146" t="s">
        <v>64</v>
      </c>
      <c r="I99" s="527">
        <v>0.85</v>
      </c>
      <c r="J99" s="206">
        <f>K99/AF99</f>
        <v>0.42767295597484278</v>
      </c>
      <c r="K99" s="148">
        <f>S99+AB99</f>
        <v>680</v>
      </c>
      <c r="L99" s="34">
        <f>X99+AC99</f>
        <v>43281.2</v>
      </c>
      <c r="M99" s="35">
        <f>Y99+AD99</f>
        <v>65000</v>
      </c>
      <c r="N99" s="500">
        <f>L99-M99</f>
        <v>-21718.800000000003</v>
      </c>
      <c r="O99" s="33" t="str">
        <f>IF(P99="Too early",P99,P99/AF99)</f>
        <v>Too early</v>
      </c>
      <c r="P99" s="32" t="str">
        <f t="shared" si="8"/>
        <v>Too early</v>
      </c>
      <c r="Q99" s="34" t="str">
        <f>IF(V99="Too early",V99,AC99+V99*AG99)</f>
        <v>Too early</v>
      </c>
      <c r="R99" s="515" t="str">
        <f t="shared" si="12"/>
        <v>Too early</v>
      </c>
      <c r="S99" s="240">
        <v>69</v>
      </c>
      <c r="T99" s="395">
        <f t="shared" si="9"/>
        <v>979</v>
      </c>
      <c r="U99" s="395">
        <f>(AF99-AB99)*I99</f>
        <v>832.15</v>
      </c>
      <c r="V99" s="205" t="str">
        <f>IF(B99&lt;11,MIN((S99/VLOOKUP(B99,'Sales Pacing'!$A$23:$E$36,2)),T99),"Too early")</f>
        <v>Too early</v>
      </c>
      <c r="W99" s="396" t="str">
        <f>IF(V99="Too early","Too early",V99/U99)</f>
        <v>Too early</v>
      </c>
      <c r="X99" s="223">
        <v>3734</v>
      </c>
      <c r="Y99" s="227">
        <v>17500</v>
      </c>
      <c r="Z99" s="234">
        <f t="shared" si="10"/>
        <v>0.21337142857142857</v>
      </c>
      <c r="AA99" s="206" t="str">
        <f>IF($V99="Too early",V99,V99*AG99/Y99)</f>
        <v>Too early</v>
      </c>
      <c r="AB99" s="219">
        <v>611</v>
      </c>
      <c r="AC99" s="223">
        <v>39547.199999999997</v>
      </c>
      <c r="AD99" s="227">
        <v>47500</v>
      </c>
      <c r="AE99" s="206">
        <f t="shared" si="11"/>
        <v>0.83257263157894734</v>
      </c>
      <c r="AF99" s="230">
        <v>1590</v>
      </c>
      <c r="AG99" s="207">
        <f>X99/S99</f>
        <v>54.115942028985508</v>
      </c>
      <c r="AH99" s="215"/>
      <c r="AI99" s="215"/>
      <c r="AJ99" s="215"/>
      <c r="AK99" s="342">
        <v>42812.2</v>
      </c>
      <c r="AL99" s="344">
        <f>L99-AK99</f>
        <v>469</v>
      </c>
    </row>
    <row r="100" spans="1:49" s="142" customFormat="1" ht="14.25">
      <c r="A100" s="142">
        <v>37</v>
      </c>
      <c r="B100" s="142">
        <f t="shared" si="7"/>
        <v>32</v>
      </c>
      <c r="C100" s="143">
        <v>46153</v>
      </c>
      <c r="D100" s="142" t="s">
        <v>101</v>
      </c>
      <c r="G100" s="143">
        <v>46157.833333333336</v>
      </c>
      <c r="H100" s="142" t="s">
        <v>59</v>
      </c>
      <c r="I100" s="510">
        <v>0.85</v>
      </c>
      <c r="J100" s="203">
        <f>K100/AF100</f>
        <v>0.62135176651305679</v>
      </c>
      <c r="K100" s="36">
        <f>S100+AB100</f>
        <v>809</v>
      </c>
      <c r="L100" s="38">
        <f>X100+AC100</f>
        <v>67940</v>
      </c>
      <c r="M100" s="31">
        <f>Y100+AD100</f>
        <v>103333</v>
      </c>
      <c r="N100" s="498">
        <f>L100-M100</f>
        <v>-35393</v>
      </c>
      <c r="O100" s="30" t="str">
        <f>IF(P100="Too early",P100,P100/AF100)</f>
        <v>Too early</v>
      </c>
      <c r="P100" s="37" t="str">
        <f t="shared" si="8"/>
        <v>Too early</v>
      </c>
      <c r="Q100" s="38" t="str">
        <f>IF(V100="Too early",V100,AC100+V100*AG100)</f>
        <v>Too early</v>
      </c>
      <c r="R100" s="514" t="str">
        <f t="shared" si="12"/>
        <v>Too early</v>
      </c>
      <c r="S100" s="238">
        <v>71</v>
      </c>
      <c r="T100" s="380">
        <f t="shared" si="9"/>
        <v>564</v>
      </c>
      <c r="U100" s="380">
        <f>(AF100-AB100)*I100</f>
        <v>479.4</v>
      </c>
      <c r="V100" s="202" t="str">
        <f>IF(B100&lt;11,MIN((S100/VLOOKUP(B100,'Sales Pacing'!$A$23:$E$36,2)),T100),"Too early")</f>
        <v>Too early</v>
      </c>
      <c r="W100" s="379" t="str">
        <f>IF(V100="Too early","Too early",V100/U100)</f>
        <v>Too early</v>
      </c>
      <c r="X100" s="222">
        <v>5507</v>
      </c>
      <c r="Y100" s="226">
        <v>60000</v>
      </c>
      <c r="Z100" s="233">
        <f t="shared" si="10"/>
        <v>9.1783333333333328E-2</v>
      </c>
      <c r="AA100" s="203" t="str">
        <f>IF($V100="Too early",V100,V100*AG100/Y100)</f>
        <v>Too early</v>
      </c>
      <c r="AB100" s="218">
        <v>738</v>
      </c>
      <c r="AC100" s="222">
        <v>62433</v>
      </c>
      <c r="AD100" s="226">
        <v>43333</v>
      </c>
      <c r="AE100" s="203">
        <f t="shared" si="11"/>
        <v>1.4407726213278564</v>
      </c>
      <c r="AF100" s="229">
        <v>1302</v>
      </c>
      <c r="AG100" s="204">
        <f>X100/S100</f>
        <v>77.563380281690144</v>
      </c>
      <c r="AH100" s="214"/>
      <c r="AI100" s="214"/>
      <c r="AJ100" s="214"/>
      <c r="AK100" s="340">
        <v>67716</v>
      </c>
      <c r="AL100" s="344">
        <f>L100-AK100</f>
        <v>224</v>
      </c>
    </row>
    <row r="101" spans="1:49" s="142" customFormat="1" ht="14.25">
      <c r="A101" s="142">
        <v>37</v>
      </c>
      <c r="B101" s="142">
        <f t="shared" si="7"/>
        <v>32</v>
      </c>
      <c r="C101" s="143">
        <v>46153</v>
      </c>
      <c r="D101" s="142" t="s">
        <v>101</v>
      </c>
      <c r="G101" s="143">
        <v>46158.833333333336</v>
      </c>
      <c r="H101" s="142" t="s">
        <v>59</v>
      </c>
      <c r="I101" s="510">
        <v>0.85</v>
      </c>
      <c r="J101" s="203">
        <f>K101/AF101</f>
        <v>0.56682027649769584</v>
      </c>
      <c r="K101" s="36">
        <f>S101+AB101</f>
        <v>738</v>
      </c>
      <c r="L101" s="38">
        <f>X101+AC101</f>
        <v>61787</v>
      </c>
      <c r="M101" s="31">
        <f>Y101+AD101</f>
        <v>103334</v>
      </c>
      <c r="N101" s="498">
        <f>L101-M101</f>
        <v>-41547</v>
      </c>
      <c r="O101" s="30" t="str">
        <f>IF(P101="Too early",P101,P101/AF101)</f>
        <v>Too early</v>
      </c>
      <c r="P101" s="37" t="str">
        <f t="shared" si="8"/>
        <v>Too early</v>
      </c>
      <c r="Q101" s="38" t="str">
        <f>IF(V101="Too early",V101,AC101+V101*AG101)</f>
        <v>Too early</v>
      </c>
      <c r="R101" s="514" t="str">
        <f t="shared" si="12"/>
        <v>Too early</v>
      </c>
      <c r="S101" s="238">
        <v>68</v>
      </c>
      <c r="T101" s="380">
        <f t="shared" si="9"/>
        <v>632</v>
      </c>
      <c r="U101" s="380">
        <f>(AF101-AB101)*I101</f>
        <v>537.19999999999993</v>
      </c>
      <c r="V101" s="202" t="str">
        <f>IF(B101&lt;11,MIN((S101/VLOOKUP(B101,'Sales Pacing'!$A$23:$E$36,2)),T101),"Too early")</f>
        <v>Too early</v>
      </c>
      <c r="W101" s="379" t="str">
        <f>IF(V101="Too early","Too early",V101/U101)</f>
        <v>Too early</v>
      </c>
      <c r="X101" s="222">
        <v>4810</v>
      </c>
      <c r="Y101" s="226">
        <v>60000</v>
      </c>
      <c r="Z101" s="233">
        <f t="shared" si="10"/>
        <v>8.0166666666666664E-2</v>
      </c>
      <c r="AA101" s="203" t="str">
        <f>IF($V101="Too early",V101,V101*AG101/Y101)</f>
        <v>Too early</v>
      </c>
      <c r="AB101" s="218">
        <v>670</v>
      </c>
      <c r="AC101" s="222">
        <v>56977</v>
      </c>
      <c r="AD101" s="226">
        <v>43334</v>
      </c>
      <c r="AE101" s="203">
        <f t="shared" si="11"/>
        <v>1.3148336179443394</v>
      </c>
      <c r="AF101" s="229">
        <v>1302</v>
      </c>
      <c r="AG101" s="204">
        <f>X101/S101</f>
        <v>70.735294117647058</v>
      </c>
      <c r="AH101" s="214"/>
      <c r="AI101" s="214"/>
      <c r="AJ101" s="214"/>
      <c r="AK101" s="340">
        <v>62277</v>
      </c>
      <c r="AL101" s="344">
        <f>L101-AK101</f>
        <v>-490</v>
      </c>
    </row>
    <row r="102" spans="1:49" s="146" customFormat="1" ht="14.25">
      <c r="A102" s="146">
        <v>37</v>
      </c>
      <c r="B102" s="146">
        <f t="shared" si="7"/>
        <v>32</v>
      </c>
      <c r="C102" s="147">
        <v>46153</v>
      </c>
      <c r="D102" s="146" t="s">
        <v>101</v>
      </c>
      <c r="G102" s="147">
        <v>46159.583333333336</v>
      </c>
      <c r="H102" s="146" t="s">
        <v>59</v>
      </c>
      <c r="I102" s="510">
        <v>0.85</v>
      </c>
      <c r="J102" s="203">
        <f>K102/AF102</f>
        <v>0.39170506912442399</v>
      </c>
      <c r="K102" s="148">
        <f>S102+AB102</f>
        <v>510</v>
      </c>
      <c r="L102" s="34">
        <f>X102+AC102</f>
        <v>40500</v>
      </c>
      <c r="M102" s="35">
        <f>Y102+AD102</f>
        <v>103333</v>
      </c>
      <c r="N102" s="500">
        <f>L102-M102</f>
        <v>-62833</v>
      </c>
      <c r="O102" s="33" t="str">
        <f>IF(P102="Too early",P102,P102/AF102)</f>
        <v>Too early</v>
      </c>
      <c r="P102" s="32" t="str">
        <f t="shared" si="8"/>
        <v>Too early</v>
      </c>
      <c r="Q102" s="34" t="str">
        <f>IF(V102="Too early",V102,AC102+V102*AG102)</f>
        <v>Too early</v>
      </c>
      <c r="R102" s="515" t="str">
        <f t="shared" si="12"/>
        <v>Too early</v>
      </c>
      <c r="S102" s="240">
        <v>117</v>
      </c>
      <c r="T102" s="380">
        <f t="shared" si="9"/>
        <v>909</v>
      </c>
      <c r="U102" s="380">
        <f>(AF102-AB102)*I102</f>
        <v>772.65</v>
      </c>
      <c r="V102" s="205" t="str">
        <f>IF(B102&lt;11,MIN((S102/VLOOKUP(B102,'Sales Pacing'!$A$23:$E$36,2)),T102),"Too early")</f>
        <v>Too early</v>
      </c>
      <c r="W102" s="379" t="str">
        <f>IF(V102="Too early","Too early",V102/U102)</f>
        <v>Too early</v>
      </c>
      <c r="X102" s="223">
        <v>9238</v>
      </c>
      <c r="Y102" s="227">
        <v>60000</v>
      </c>
      <c r="Z102" s="234">
        <f t="shared" si="10"/>
        <v>0.15396666666666667</v>
      </c>
      <c r="AA102" s="206" t="str">
        <f>IF($V102="Too early",V102,V102*AG102/Y102)</f>
        <v>Too early</v>
      </c>
      <c r="AB102" s="219">
        <v>393</v>
      </c>
      <c r="AC102" s="223">
        <v>31262</v>
      </c>
      <c r="AD102" s="227">
        <v>43333</v>
      </c>
      <c r="AE102" s="206">
        <f t="shared" si="11"/>
        <v>0.72143631874091341</v>
      </c>
      <c r="AF102" s="230">
        <v>1302</v>
      </c>
      <c r="AG102" s="207">
        <f>X102/S102</f>
        <v>78.957264957264954</v>
      </c>
      <c r="AH102" s="215"/>
      <c r="AI102" s="215"/>
      <c r="AJ102" s="215"/>
      <c r="AK102" s="342">
        <v>39876</v>
      </c>
      <c r="AL102" s="344">
        <f>L102-AK102</f>
        <v>624</v>
      </c>
    </row>
    <row r="103" spans="1:49" s="185" customFormat="1" ht="14.25">
      <c r="A103" s="185">
        <v>38</v>
      </c>
      <c r="B103" s="185">
        <f t="shared" si="7"/>
        <v>33</v>
      </c>
      <c r="C103" s="186">
        <v>46160</v>
      </c>
      <c r="D103" s="185" t="s">
        <v>73</v>
      </c>
      <c r="G103" s="195"/>
      <c r="H103" s="196"/>
      <c r="I103" s="513"/>
      <c r="J103" s="209" t="e">
        <f>K103/AF103</f>
        <v>#DIV/0!</v>
      </c>
      <c r="K103" s="197">
        <f>S103+AB103</f>
        <v>0</v>
      </c>
      <c r="L103" s="200">
        <f>X103+AC103</f>
        <v>0</v>
      </c>
      <c r="M103" s="201">
        <f>Y103+AD103</f>
        <v>0</v>
      </c>
      <c r="N103" s="499"/>
      <c r="O103" s="199"/>
      <c r="P103" s="198" t="str">
        <f t="shared" si="8"/>
        <v>Too early</v>
      </c>
      <c r="Q103" s="200" t="str">
        <f>IF(V103="Too early",V103,AC103+V103*AG103)</f>
        <v>Too early</v>
      </c>
      <c r="R103" s="516" t="str">
        <f t="shared" si="12"/>
        <v>Too early</v>
      </c>
      <c r="S103" s="220"/>
      <c r="T103" s="220">
        <f t="shared" si="9"/>
        <v>0</v>
      </c>
      <c r="U103" s="220">
        <f>(AF103-AB103)*I103</f>
        <v>0</v>
      </c>
      <c r="V103" s="208" t="str">
        <f>IF(B103&lt;11,MIN((S103/VLOOKUP(B103,'Sales Pacing'!$A$23:$E$36,2)),T103),"Too early")</f>
        <v>Too early</v>
      </c>
      <c r="W103" s="208"/>
      <c r="X103" s="224"/>
      <c r="Y103" s="224"/>
      <c r="Z103" s="235" t="str">
        <f t="shared" si="10"/>
        <v/>
      </c>
      <c r="AA103" s="209"/>
      <c r="AB103" s="220"/>
      <c r="AC103" s="224"/>
      <c r="AD103" s="224"/>
      <c r="AE103" s="209" t="s">
        <v>57</v>
      </c>
      <c r="AF103" s="220"/>
      <c r="AG103" s="210" t="e">
        <f>X103/S103</f>
        <v>#DIV/0!</v>
      </c>
      <c r="AH103" s="216"/>
      <c r="AI103" s="216"/>
      <c r="AJ103" s="216"/>
      <c r="AK103" s="341">
        <v>0</v>
      </c>
    </row>
    <row r="104" spans="1:49" s="289" customFormat="1" ht="14.25">
      <c r="A104" s="142">
        <v>38</v>
      </c>
      <c r="B104" s="142">
        <v>45</v>
      </c>
      <c r="C104" s="143">
        <v>46160</v>
      </c>
      <c r="D104" s="142" t="s">
        <v>102</v>
      </c>
      <c r="E104" s="142"/>
      <c r="F104" s="142"/>
      <c r="G104" s="143">
        <v>46163</v>
      </c>
      <c r="H104" s="142" t="s">
        <v>54</v>
      </c>
      <c r="I104" s="510">
        <v>0.85</v>
      </c>
      <c r="J104" s="203">
        <f>K104/AF104</f>
        <v>7.2327044025157231E-2</v>
      </c>
      <c r="K104" s="300">
        <f>S104+AB104</f>
        <v>115</v>
      </c>
      <c r="L104" s="298">
        <f>X104+AC104</f>
        <v>9816</v>
      </c>
      <c r="M104" s="299">
        <f>Y104+AD104</f>
        <v>112468</v>
      </c>
      <c r="N104" s="503">
        <f>L104-M104</f>
        <v>-102652</v>
      </c>
      <c r="O104" s="30" t="str">
        <f>IF(P104="Too early",P104,P104/AF104)</f>
        <v>Too early</v>
      </c>
      <c r="P104" s="297" t="str">
        <f>IF(V104="Too early",V104,V104+AB104)</f>
        <v>Too early</v>
      </c>
      <c r="Q104" s="298" t="str">
        <f>IF(V104="Too early",V104,AC104+V104*AG104)</f>
        <v>Too early</v>
      </c>
      <c r="R104" s="514" t="str">
        <f t="shared" si="12"/>
        <v>Too early</v>
      </c>
      <c r="S104" s="238">
        <v>115</v>
      </c>
      <c r="T104" s="380">
        <f t="shared" si="9"/>
        <v>1590</v>
      </c>
      <c r="U104" s="380">
        <f>(AF104-AB104)*I104</f>
        <v>1351.5</v>
      </c>
      <c r="V104" s="202" t="str">
        <f>IF(B104&lt;11,MIN((S104/VLOOKUP(B104,'Sales Pacing'!$A$23:$E$36,2)),T104),"Too early")</f>
        <v>Too early</v>
      </c>
      <c r="W104" s="379" t="str">
        <f>IF(V104="Too early","Too early",V104/U104)</f>
        <v>Too early</v>
      </c>
      <c r="X104" s="222">
        <v>9816</v>
      </c>
      <c r="Y104" s="226">
        <v>112468</v>
      </c>
      <c r="Z104" s="233">
        <f>IF(X104&gt;0,X104/Y104,"")</f>
        <v>8.7278159120816587E-2</v>
      </c>
      <c r="AA104" s="203" t="str">
        <f>IF($V104="Too early",V104,V104*AG104/Y104)</f>
        <v>Too early</v>
      </c>
      <c r="AB104" s="218"/>
      <c r="AC104" s="222"/>
      <c r="AD104" s="226"/>
      <c r="AE104" s="203" t="str">
        <f t="shared" si="11"/>
        <v/>
      </c>
      <c r="AF104" s="229">
        <v>1590</v>
      </c>
      <c r="AG104" s="291">
        <f>X104/S104</f>
        <v>85.356521739130429</v>
      </c>
      <c r="AH104" s="214"/>
      <c r="AI104" s="214"/>
      <c r="AJ104" s="214"/>
      <c r="AK104" s="340">
        <v>8896</v>
      </c>
      <c r="AL104" s="344">
        <f>L104-AK104</f>
        <v>920</v>
      </c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</row>
    <row r="105" spans="1:49" s="289" customFormat="1" ht="14.25">
      <c r="A105" s="146">
        <v>38</v>
      </c>
      <c r="B105" s="146">
        <v>45</v>
      </c>
      <c r="C105" s="147">
        <v>46160</v>
      </c>
      <c r="D105" s="146" t="s">
        <v>102</v>
      </c>
      <c r="E105" s="146"/>
      <c r="F105" s="146"/>
      <c r="G105" s="147">
        <v>46164</v>
      </c>
      <c r="H105" s="146" t="s">
        <v>54</v>
      </c>
      <c r="I105" s="527">
        <v>0.85</v>
      </c>
      <c r="J105" s="529">
        <f>K105/AF105</f>
        <v>0.1270440251572327</v>
      </c>
      <c r="K105" s="287">
        <f>S105+AB105</f>
        <v>202</v>
      </c>
      <c r="L105" s="288">
        <f>X105+AC105</f>
        <v>18452</v>
      </c>
      <c r="M105" s="291">
        <f>Y105+AD105</f>
        <v>112468</v>
      </c>
      <c r="N105" s="504">
        <f>L105-M105</f>
        <v>-94016</v>
      </c>
      <c r="O105" s="33" t="str">
        <f>IF(P105="Too early",P105,P105/AF105)</f>
        <v>Too early</v>
      </c>
      <c r="P105" s="287" t="str">
        <f>IF(V105="Too early",V105,V105+AB105)</f>
        <v>Too early</v>
      </c>
      <c r="Q105" s="288" t="str">
        <f>IF(V105="Too early",V105,AC105+V105*AG105)</f>
        <v>Too early</v>
      </c>
      <c r="R105" s="515" t="str">
        <f t="shared" si="12"/>
        <v>Too early</v>
      </c>
      <c r="S105" s="240">
        <v>202</v>
      </c>
      <c r="T105" s="395">
        <f t="shared" si="9"/>
        <v>1590</v>
      </c>
      <c r="U105" s="395">
        <f>(AF105-AB105)*I105</f>
        <v>1351.5</v>
      </c>
      <c r="V105" s="205" t="str">
        <f>IF(B105&lt;11,MIN((S105/VLOOKUP(B105,'Sales Pacing'!$A$23:$E$36,2)),T105),"Too early")</f>
        <v>Too early</v>
      </c>
      <c r="W105" s="396" t="str">
        <f>IF(V105="Too early","Too early",V105/U105)</f>
        <v>Too early</v>
      </c>
      <c r="X105" s="223">
        <v>18452</v>
      </c>
      <c r="Y105" s="227">
        <v>112468</v>
      </c>
      <c r="Z105" s="234">
        <f>IF(X105&gt;0,X105/Y105,"")</f>
        <v>0.16406444499768824</v>
      </c>
      <c r="AA105" s="206" t="str">
        <f>IF($V105="Too early",V105,V105*AG105/Y105)</f>
        <v>Too early</v>
      </c>
      <c r="AB105" s="219"/>
      <c r="AC105" s="223"/>
      <c r="AD105" s="227"/>
      <c r="AE105" s="206" t="str">
        <f t="shared" si="11"/>
        <v/>
      </c>
      <c r="AF105" s="230">
        <v>1590</v>
      </c>
      <c r="AG105" s="291">
        <f>X105/S105</f>
        <v>91.346534653465341</v>
      </c>
      <c r="AH105" s="215"/>
      <c r="AI105" s="215"/>
      <c r="AJ105" s="215"/>
      <c r="AK105" s="340">
        <v>17072</v>
      </c>
      <c r="AL105" s="344">
        <f>L105-AK105</f>
        <v>1380</v>
      </c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</row>
    <row r="106" spans="1:49" s="142" customFormat="1" ht="14.25">
      <c r="A106" s="142">
        <v>39</v>
      </c>
      <c r="B106" s="142">
        <f t="shared" si="7"/>
        <v>34</v>
      </c>
      <c r="C106" s="143">
        <v>46167</v>
      </c>
      <c r="D106" s="142" t="s">
        <v>103</v>
      </c>
      <c r="G106" s="143">
        <v>46170.833333333336</v>
      </c>
      <c r="H106" s="142" t="s">
        <v>70</v>
      </c>
      <c r="I106" s="510">
        <v>0.85</v>
      </c>
      <c r="J106" s="203">
        <f>K106/AF106</f>
        <v>0.17</v>
      </c>
      <c r="K106" s="36">
        <f>S106+AB106</f>
        <v>17</v>
      </c>
      <c r="L106" s="38">
        <f>X106+AC106</f>
        <v>1680</v>
      </c>
      <c r="M106" s="31">
        <v>9000</v>
      </c>
      <c r="N106" s="498">
        <f>L106-M106</f>
        <v>-7320</v>
      </c>
      <c r="O106" s="30" t="str">
        <f>IF(P106="Too early",P106,P106/AF106)</f>
        <v>Too early</v>
      </c>
      <c r="P106" s="37" t="str">
        <f t="shared" si="8"/>
        <v>Too early</v>
      </c>
      <c r="Q106" s="38" t="str">
        <f>IF(V106="Too early",V106,AC106+V106*AG106)</f>
        <v>Too early</v>
      </c>
      <c r="R106" s="514" t="str">
        <f t="shared" si="12"/>
        <v>Too early</v>
      </c>
      <c r="S106" s="218">
        <v>17</v>
      </c>
      <c r="T106" s="229">
        <f t="shared" si="9"/>
        <v>100</v>
      </c>
      <c r="U106" s="380">
        <f>(AF106-AB106)*I106</f>
        <v>85</v>
      </c>
      <c r="V106" s="202" t="str">
        <f>IF(B106&lt;11,MIN((S106/VLOOKUP(B106,'Sales Pacing'!$A$23:$E$36,2)),T106),"Too early")</f>
        <v>Too early</v>
      </c>
      <c r="W106" s="379" t="str">
        <f>IF(V106="Too early","Too early",V106/U106)</f>
        <v>Too early</v>
      </c>
      <c r="X106" s="222">
        <v>1680</v>
      </c>
      <c r="Y106" s="226">
        <v>9000</v>
      </c>
      <c r="Z106" s="233">
        <f t="shared" si="10"/>
        <v>0.18666666666666668</v>
      </c>
      <c r="AA106" s="203" t="str">
        <f>IF($V106="Too early",V106,V106*AG106/Y106)</f>
        <v>Too early</v>
      </c>
      <c r="AB106" s="218"/>
      <c r="AC106" s="222"/>
      <c r="AD106" s="226"/>
      <c r="AE106" s="203" t="str">
        <f t="shared" si="11"/>
        <v/>
      </c>
      <c r="AF106" s="229">
        <v>100</v>
      </c>
      <c r="AG106" s="204">
        <f>X106/S106</f>
        <v>98.82352941176471</v>
      </c>
      <c r="AH106" s="214"/>
      <c r="AI106" s="214"/>
      <c r="AJ106" s="214"/>
      <c r="AK106" s="340">
        <v>1680</v>
      </c>
      <c r="AL106" s="344">
        <f>L106-AK106</f>
        <v>0</v>
      </c>
    </row>
    <row r="107" spans="1:49" s="142" customFormat="1" ht="14.25">
      <c r="A107" s="142">
        <v>39</v>
      </c>
      <c r="B107" s="142">
        <f t="shared" si="7"/>
        <v>34</v>
      </c>
      <c r="C107" s="143">
        <v>46167</v>
      </c>
      <c r="D107" s="142" t="s">
        <v>104</v>
      </c>
      <c r="G107" s="143">
        <v>46171.833333333336</v>
      </c>
      <c r="H107" s="142" t="s">
        <v>64</v>
      </c>
      <c r="I107" s="510">
        <v>0.85</v>
      </c>
      <c r="J107" s="203">
        <f>K107/AF107</f>
        <v>0.38616352201257864</v>
      </c>
      <c r="K107" s="36">
        <f>S107+AB107</f>
        <v>614</v>
      </c>
      <c r="L107" s="38">
        <f>X107+AC107</f>
        <v>39454</v>
      </c>
      <c r="M107" s="31">
        <f>Y107+AD107</f>
        <v>51666</v>
      </c>
      <c r="N107" s="498">
        <f>L107-M107</f>
        <v>-12212</v>
      </c>
      <c r="O107" s="30" t="str">
        <f>IF(P107="Too early",P107,P107/AF107)</f>
        <v>Too early</v>
      </c>
      <c r="P107" s="37" t="str">
        <f t="shared" si="8"/>
        <v>Too early</v>
      </c>
      <c r="Q107" s="38" t="str">
        <f>IF(V107="Too early",V107,AC107+V107*AG107)</f>
        <v>Too early</v>
      </c>
      <c r="R107" s="514" t="str">
        <f t="shared" si="12"/>
        <v>Too early</v>
      </c>
      <c r="S107" s="238">
        <v>49</v>
      </c>
      <c r="T107" s="380">
        <f t="shared" si="9"/>
        <v>1025</v>
      </c>
      <c r="U107" s="380">
        <f>(AF107-AB107)*I107</f>
        <v>871.25</v>
      </c>
      <c r="V107" s="202" t="str">
        <f>IF(B107&lt;11,MIN((S107/VLOOKUP(B107,'Sales Pacing'!$A$23:$E$36,2)),T107),"Too early")</f>
        <v>Too early</v>
      </c>
      <c r="W107" s="379" t="str">
        <f>IF(V107="Too early","Too early",V107/U107)</f>
        <v>Too early</v>
      </c>
      <c r="X107" s="222">
        <v>1728</v>
      </c>
      <c r="Y107" s="226">
        <v>20000</v>
      </c>
      <c r="Z107" s="233">
        <f t="shared" si="10"/>
        <v>8.6400000000000005E-2</v>
      </c>
      <c r="AA107" s="203" t="str">
        <f>IF($V107="Too early",V107,V107*AG107/Y107)</f>
        <v>Too early</v>
      </c>
      <c r="AB107" s="218">
        <v>565</v>
      </c>
      <c r="AC107" s="222">
        <v>37726</v>
      </c>
      <c r="AD107" s="226">
        <v>31666</v>
      </c>
      <c r="AE107" s="203">
        <f t="shared" si="11"/>
        <v>1.1913724499463147</v>
      </c>
      <c r="AF107" s="229">
        <v>1590</v>
      </c>
      <c r="AG107" s="204">
        <f>X107/S107</f>
        <v>35.265306122448976</v>
      </c>
      <c r="AH107" s="214"/>
      <c r="AI107" s="214"/>
      <c r="AJ107" s="214"/>
      <c r="AK107" s="340">
        <v>39074</v>
      </c>
      <c r="AL107" s="344">
        <f>L107-AK107</f>
        <v>380</v>
      </c>
    </row>
    <row r="108" spans="1:49" s="142" customFormat="1" ht="14.25">
      <c r="A108" s="142">
        <v>39</v>
      </c>
      <c r="B108" s="142">
        <f t="shared" si="7"/>
        <v>34</v>
      </c>
      <c r="C108" s="143">
        <v>46167</v>
      </c>
      <c r="D108" s="142" t="s">
        <v>105</v>
      </c>
      <c r="G108" s="143">
        <v>46172.833333333336</v>
      </c>
      <c r="H108" s="142" t="s">
        <v>64</v>
      </c>
      <c r="I108" s="510">
        <v>0.85</v>
      </c>
      <c r="J108" s="203">
        <f>K108/AF108</f>
        <v>0.39182389937106921</v>
      </c>
      <c r="K108" s="36">
        <f>S108+AB108</f>
        <v>623</v>
      </c>
      <c r="L108" s="38">
        <f>X108+AC108</f>
        <v>39181</v>
      </c>
      <c r="M108" s="31">
        <f>Y108+AD108</f>
        <v>51667</v>
      </c>
      <c r="N108" s="498">
        <f>L108-M108</f>
        <v>-12486</v>
      </c>
      <c r="O108" s="30" t="str">
        <f>IF(P108="Too early",P108,P108/AF108)</f>
        <v>Too early</v>
      </c>
      <c r="P108" s="37" t="str">
        <f t="shared" si="8"/>
        <v>Too early</v>
      </c>
      <c r="Q108" s="38" t="str">
        <f>IF(V108="Too early",V108,AC108+V108*AG108)</f>
        <v>Too early</v>
      </c>
      <c r="R108" s="514" t="str">
        <f t="shared" si="12"/>
        <v>Too early</v>
      </c>
      <c r="S108" s="238">
        <v>49</v>
      </c>
      <c r="T108" s="380">
        <f t="shared" si="9"/>
        <v>1016</v>
      </c>
      <c r="U108" s="380">
        <f>(AF108-AB108)*I108</f>
        <v>863.6</v>
      </c>
      <c r="V108" s="202" t="str">
        <f>IF(B108&lt;11,MIN((S108/VLOOKUP(B108,'Sales Pacing'!$A$23:$E$36,2)),T108),"Too early")</f>
        <v>Too early</v>
      </c>
      <c r="W108" s="379" t="str">
        <f>IF(V108="Too early","Too early",V108/U108)</f>
        <v>Too early</v>
      </c>
      <c r="X108" s="222">
        <v>1935</v>
      </c>
      <c r="Y108" s="226">
        <v>20000</v>
      </c>
      <c r="Z108" s="233">
        <f t="shared" si="10"/>
        <v>9.6750000000000003E-2</v>
      </c>
      <c r="AA108" s="203" t="str">
        <f>IF($V108="Too early",V108,V108*AG108/Y108)</f>
        <v>Too early</v>
      </c>
      <c r="AB108" s="218">
        <v>574</v>
      </c>
      <c r="AC108" s="222">
        <v>37246</v>
      </c>
      <c r="AD108" s="226">
        <v>31667</v>
      </c>
      <c r="AE108" s="203">
        <f t="shared" si="11"/>
        <v>1.1761770928727067</v>
      </c>
      <c r="AF108" s="229">
        <v>1590</v>
      </c>
      <c r="AG108" s="204">
        <f>X108/S108</f>
        <v>39.489795918367349</v>
      </c>
      <c r="AH108" s="214"/>
      <c r="AI108" s="214"/>
      <c r="AJ108" s="214"/>
      <c r="AK108" s="340">
        <v>38938</v>
      </c>
      <c r="AL108" s="344">
        <f>L108-AK108</f>
        <v>243</v>
      </c>
    </row>
    <row r="109" spans="1:49" s="146" customFormat="1" ht="14.25">
      <c r="A109" s="146">
        <v>39</v>
      </c>
      <c r="B109" s="146">
        <f t="shared" si="7"/>
        <v>34</v>
      </c>
      <c r="C109" s="147">
        <v>46167</v>
      </c>
      <c r="D109" s="146" t="s">
        <v>106</v>
      </c>
      <c r="G109" s="147">
        <v>46173.583333333336</v>
      </c>
      <c r="H109" s="146" t="s">
        <v>64</v>
      </c>
      <c r="I109" s="527">
        <v>0.85</v>
      </c>
      <c r="J109" s="206">
        <f>K109/AF109</f>
        <v>0.40125786163522015</v>
      </c>
      <c r="K109" s="148">
        <f>S109+AB109</f>
        <v>638</v>
      </c>
      <c r="L109" s="34">
        <f>X109+AC109</f>
        <v>39993.5</v>
      </c>
      <c r="M109" s="35">
        <f>Y109+AD109</f>
        <v>51667</v>
      </c>
      <c r="N109" s="500">
        <f>L109-M109</f>
        <v>-11673.5</v>
      </c>
      <c r="O109" s="33" t="str">
        <f>IF(P109="Too early",P109,P109/AF109)</f>
        <v>Too early</v>
      </c>
      <c r="P109" s="32" t="str">
        <f t="shared" si="8"/>
        <v>Too early</v>
      </c>
      <c r="Q109" s="34" t="str">
        <f>IF(V109="Too early",V109,AC109+V109*AG109)</f>
        <v>Too early</v>
      </c>
      <c r="R109" s="515" t="str">
        <f t="shared" si="12"/>
        <v>Too early</v>
      </c>
      <c r="S109" s="240">
        <v>64</v>
      </c>
      <c r="T109" s="395">
        <f t="shared" si="9"/>
        <v>1016</v>
      </c>
      <c r="U109" s="395">
        <f>(AF109-AB109)*I109</f>
        <v>863.6</v>
      </c>
      <c r="V109" s="205" t="str">
        <f>IF(B109&lt;11,MIN((S109/VLOOKUP(B109,'Sales Pacing'!$A$23:$E$36,2)),T109),"Too early")</f>
        <v>Too early</v>
      </c>
      <c r="W109" s="396" t="str">
        <f>IF(V109="Too early","Too early",V109/U109)</f>
        <v>Too early</v>
      </c>
      <c r="X109" s="223">
        <v>2881</v>
      </c>
      <c r="Y109" s="227">
        <v>20000</v>
      </c>
      <c r="Z109" s="234">
        <f t="shared" si="10"/>
        <v>0.14405000000000001</v>
      </c>
      <c r="AA109" s="206" t="str">
        <f>IF($V109="Too early",V109,V109*AG109/Y109)</f>
        <v>Too early</v>
      </c>
      <c r="AB109" s="219">
        <v>574</v>
      </c>
      <c r="AC109" s="223">
        <v>37112.5</v>
      </c>
      <c r="AD109" s="227">
        <v>31667</v>
      </c>
      <c r="AE109" s="206">
        <f t="shared" si="11"/>
        <v>1.1719613477752866</v>
      </c>
      <c r="AF109" s="230">
        <v>1590</v>
      </c>
      <c r="AG109" s="207">
        <f>X109/S109</f>
        <v>45.015625</v>
      </c>
      <c r="AH109" s="215"/>
      <c r="AI109" s="215"/>
      <c r="AJ109" s="215"/>
      <c r="AK109" s="342">
        <v>39947.5</v>
      </c>
      <c r="AL109" s="344">
        <f>L109-AK109</f>
        <v>46</v>
      </c>
    </row>
    <row r="110" spans="1:49" s="142" customFormat="1" ht="14.25">
      <c r="A110" s="142">
        <v>40</v>
      </c>
      <c r="B110" s="142">
        <f t="shared" si="7"/>
        <v>35</v>
      </c>
      <c r="C110" s="143">
        <v>46174</v>
      </c>
      <c r="D110" s="142" t="s">
        <v>107</v>
      </c>
      <c r="G110" s="143">
        <v>46177.833333333336</v>
      </c>
      <c r="H110" s="142" t="s">
        <v>70</v>
      </c>
      <c r="I110" s="510">
        <v>0.85</v>
      </c>
      <c r="J110" s="203">
        <f>K110/AF110</f>
        <v>0.2</v>
      </c>
      <c r="K110" s="36">
        <f>S110+AB110</f>
        <v>20</v>
      </c>
      <c r="L110" s="38">
        <f>X110+AC110</f>
        <v>2100</v>
      </c>
      <c r="M110" s="31">
        <v>9000</v>
      </c>
      <c r="N110" s="498">
        <f>L110-M110</f>
        <v>-6900</v>
      </c>
      <c r="O110" s="30" t="str">
        <f>IF(P110="Too early",P110,P110/AF110)</f>
        <v>Too early</v>
      </c>
      <c r="P110" s="37" t="str">
        <f t="shared" si="8"/>
        <v>Too early</v>
      </c>
      <c r="Q110" s="38" t="str">
        <f>IF(V110="Too early",V110,AC110+V110*AG110)</f>
        <v>Too early</v>
      </c>
      <c r="R110" s="514" t="str">
        <f t="shared" si="12"/>
        <v>Too early</v>
      </c>
      <c r="S110" s="218">
        <v>20</v>
      </c>
      <c r="T110" s="229">
        <f t="shared" si="9"/>
        <v>100</v>
      </c>
      <c r="U110" s="380">
        <f>(AF110-AB110)*I110</f>
        <v>85</v>
      </c>
      <c r="V110" s="202" t="str">
        <f>IF(B110&lt;11,MIN((S110/VLOOKUP(B110,'Sales Pacing'!$A$23:$E$36,2)),T110),"Too early")</f>
        <v>Too early</v>
      </c>
      <c r="W110" s="379" t="str">
        <f>IF(V110="Too early","Too early",V110/U110)</f>
        <v>Too early</v>
      </c>
      <c r="X110" s="222">
        <v>2100</v>
      </c>
      <c r="Y110" s="226">
        <v>9000</v>
      </c>
      <c r="Z110" s="233">
        <f t="shared" si="10"/>
        <v>0.23333333333333334</v>
      </c>
      <c r="AA110" s="203" t="str">
        <f>IF($V110="Too early",V110,V110*AG110/Y110)</f>
        <v>Too early</v>
      </c>
      <c r="AB110" s="218"/>
      <c r="AC110" s="222"/>
      <c r="AD110" s="226"/>
      <c r="AE110" s="203" t="str">
        <f t="shared" si="11"/>
        <v/>
      </c>
      <c r="AF110" s="229">
        <v>100</v>
      </c>
      <c r="AG110" s="204">
        <f>X110/S110</f>
        <v>105</v>
      </c>
      <c r="AH110" s="214"/>
      <c r="AI110" s="214"/>
      <c r="AJ110" s="214"/>
      <c r="AK110" s="340">
        <v>2100</v>
      </c>
      <c r="AL110" s="344">
        <f>L110-AK110</f>
        <v>0</v>
      </c>
    </row>
    <row r="111" spans="1:49" s="142" customFormat="1" ht="14.25">
      <c r="A111" s="142">
        <v>40</v>
      </c>
      <c r="B111" s="142">
        <f t="shared" si="7"/>
        <v>35</v>
      </c>
      <c r="C111" s="143">
        <v>46174</v>
      </c>
      <c r="D111" s="142" t="s">
        <v>108</v>
      </c>
      <c r="G111" s="143">
        <v>46178.833333333336</v>
      </c>
      <c r="H111" s="142" t="s">
        <v>64</v>
      </c>
      <c r="I111" s="510">
        <v>0.85</v>
      </c>
      <c r="J111" s="203">
        <f>K111/AF111</f>
        <v>0.39622641509433965</v>
      </c>
      <c r="K111" s="36">
        <f>S111+AB111</f>
        <v>630</v>
      </c>
      <c r="L111" s="38">
        <f>X111+AC111</f>
        <v>41444</v>
      </c>
      <c r="M111" s="31">
        <f>Y111+AD111</f>
        <v>66666</v>
      </c>
      <c r="N111" s="498">
        <f>L111-M111</f>
        <v>-25222</v>
      </c>
      <c r="O111" s="30" t="str">
        <f>IF(P111="Too early",P111,P111/AF111)</f>
        <v>Too early</v>
      </c>
      <c r="P111" s="37" t="str">
        <f t="shared" si="8"/>
        <v>Too early</v>
      </c>
      <c r="Q111" s="38" t="str">
        <f>IF(V111="Too early",V111,AC111+V111*AG111)</f>
        <v>Too early</v>
      </c>
      <c r="R111" s="514" t="str">
        <f t="shared" si="12"/>
        <v>Too early</v>
      </c>
      <c r="S111" s="238">
        <v>51</v>
      </c>
      <c r="T111" s="380">
        <f t="shared" si="9"/>
        <v>1011</v>
      </c>
      <c r="U111" s="380">
        <f>(AF111-AB111)*I111</f>
        <v>859.35</v>
      </c>
      <c r="V111" s="202" t="str">
        <f>IF(B111&lt;11,MIN((S111/VLOOKUP(B111,'Sales Pacing'!$A$23:$E$36,2)),T111),"Too early")</f>
        <v>Too early</v>
      </c>
      <c r="W111" s="379" t="str">
        <f>IF(V111="Too early","Too early",V111/U111)</f>
        <v>Too early</v>
      </c>
      <c r="X111" s="222">
        <v>2689</v>
      </c>
      <c r="Y111" s="226">
        <v>30000</v>
      </c>
      <c r="Z111" s="233">
        <f t="shared" si="10"/>
        <v>8.9633333333333329E-2</v>
      </c>
      <c r="AA111" s="203" t="str">
        <f>IF($V111="Too early",V111,V111*AG111/Y111)</f>
        <v>Too early</v>
      </c>
      <c r="AB111" s="218">
        <v>579</v>
      </c>
      <c r="AC111" s="222">
        <v>38755</v>
      </c>
      <c r="AD111" s="226">
        <v>36666</v>
      </c>
      <c r="AE111" s="203">
        <f t="shared" si="11"/>
        <v>1.0569737631593301</v>
      </c>
      <c r="AF111" s="229">
        <v>1590</v>
      </c>
      <c r="AG111" s="204">
        <f>X111/S111</f>
        <v>52.725490196078432</v>
      </c>
      <c r="AH111" s="214"/>
      <c r="AI111" s="214"/>
      <c r="AJ111" s="214"/>
      <c r="AK111" s="340">
        <v>41049</v>
      </c>
      <c r="AL111" s="344">
        <f>L111-AK111</f>
        <v>395</v>
      </c>
    </row>
    <row r="112" spans="1:49" s="142" customFormat="1" ht="14.25">
      <c r="A112" s="142">
        <v>40</v>
      </c>
      <c r="B112" s="142">
        <f t="shared" si="7"/>
        <v>35</v>
      </c>
      <c r="C112" s="143">
        <v>46174</v>
      </c>
      <c r="D112" s="142" t="s">
        <v>108</v>
      </c>
      <c r="G112" s="143">
        <v>46179.833333333336</v>
      </c>
      <c r="H112" s="142" t="s">
        <v>64</v>
      </c>
      <c r="I112" s="510">
        <v>0.85</v>
      </c>
      <c r="J112" s="203">
        <f>K112/AF112</f>
        <v>0.42893081761006291</v>
      </c>
      <c r="K112" s="36">
        <f>S112+AB112</f>
        <v>682</v>
      </c>
      <c r="L112" s="38">
        <f>X112+AC112</f>
        <v>45415.9</v>
      </c>
      <c r="M112" s="31">
        <f>Y112+AD112</f>
        <v>66667</v>
      </c>
      <c r="N112" s="498">
        <f>L112-M112</f>
        <v>-21251.1</v>
      </c>
      <c r="O112" s="30" t="str">
        <f>IF(P112="Too early",P112,P112/AF112)</f>
        <v>Too early</v>
      </c>
      <c r="P112" s="37" t="str">
        <f t="shared" si="8"/>
        <v>Too early</v>
      </c>
      <c r="Q112" s="38" t="str">
        <f>IF(V112="Too early",V112,AC112+V112*AG112)</f>
        <v>Too early</v>
      </c>
      <c r="R112" s="514" t="str">
        <f t="shared" si="12"/>
        <v>Too early</v>
      </c>
      <c r="S112" s="238">
        <v>83</v>
      </c>
      <c r="T112" s="380">
        <f t="shared" si="9"/>
        <v>991</v>
      </c>
      <c r="U112" s="380">
        <f>(AF112-AB112)*I112</f>
        <v>842.35</v>
      </c>
      <c r="V112" s="202" t="str">
        <f>IF(B112&lt;11,MIN((S112/VLOOKUP(B112,'Sales Pacing'!$A$23:$E$36,2)),T112),"Too early")</f>
        <v>Too early</v>
      </c>
      <c r="W112" s="379" t="str">
        <f>IF(V112="Too early","Too early",V112/U112)</f>
        <v>Too early</v>
      </c>
      <c r="X112" s="222">
        <v>4955</v>
      </c>
      <c r="Y112" s="226">
        <v>30000</v>
      </c>
      <c r="Z112" s="233">
        <f t="shared" si="10"/>
        <v>0.16516666666666666</v>
      </c>
      <c r="AA112" s="203" t="str">
        <f>IF($V112="Too early",V112,V112*AG112/Y112)</f>
        <v>Too early</v>
      </c>
      <c r="AB112" s="218">
        <v>599</v>
      </c>
      <c r="AC112" s="222">
        <v>40460.9</v>
      </c>
      <c r="AD112" s="226">
        <v>36667</v>
      </c>
      <c r="AE112" s="203">
        <f t="shared" si="11"/>
        <v>1.1034690593721876</v>
      </c>
      <c r="AF112" s="229">
        <v>1590</v>
      </c>
      <c r="AG112" s="204">
        <f>X112/S112</f>
        <v>59.69879518072289</v>
      </c>
      <c r="AH112" s="214"/>
      <c r="AI112" s="214"/>
      <c r="AJ112" s="214"/>
      <c r="AK112" s="340">
        <v>45694.9</v>
      </c>
      <c r="AL112" s="344">
        <f>L112-AK112</f>
        <v>-279</v>
      </c>
    </row>
    <row r="113" spans="1:38" s="146" customFormat="1" ht="14.25">
      <c r="A113" s="146">
        <v>40</v>
      </c>
      <c r="B113" s="146">
        <f t="shared" si="7"/>
        <v>35</v>
      </c>
      <c r="C113" s="147">
        <v>46174</v>
      </c>
      <c r="D113" s="146" t="s">
        <v>108</v>
      </c>
      <c r="G113" s="147">
        <v>46180.583333333336</v>
      </c>
      <c r="H113" s="146" t="s">
        <v>64</v>
      </c>
      <c r="I113" s="510">
        <v>0.85</v>
      </c>
      <c r="J113" s="203">
        <f>K113/AF113</f>
        <v>0.45408805031446542</v>
      </c>
      <c r="K113" s="148">
        <f>S113+AB113</f>
        <v>722</v>
      </c>
      <c r="L113" s="34">
        <f>X113+AC113</f>
        <v>46159.6</v>
      </c>
      <c r="M113" s="35">
        <f>Y113+AD113</f>
        <v>66667</v>
      </c>
      <c r="N113" s="500">
        <f>L113-M113</f>
        <v>-20507.400000000001</v>
      </c>
      <c r="O113" s="33" t="str">
        <f>IF(P113="Too early",P113,P113/AF113)</f>
        <v>Too early</v>
      </c>
      <c r="P113" s="32" t="str">
        <f t="shared" si="8"/>
        <v>Too early</v>
      </c>
      <c r="Q113" s="34" t="str">
        <f>IF(V113="Too early",V113,AC113+V113*AG113)</f>
        <v>Too early</v>
      </c>
      <c r="R113" s="515" t="str">
        <f t="shared" si="12"/>
        <v>Too early</v>
      </c>
      <c r="S113" s="240">
        <v>91</v>
      </c>
      <c r="T113" s="380">
        <f t="shared" si="9"/>
        <v>959</v>
      </c>
      <c r="U113" s="380">
        <f>(AF113-AB113)*I113</f>
        <v>815.15</v>
      </c>
      <c r="V113" s="205" t="str">
        <f>IF(B113&lt;11,MIN((S113/VLOOKUP(B113,'Sales Pacing'!$A$23:$E$36,2)),T113),"Too early")</f>
        <v>Too early</v>
      </c>
      <c r="W113" s="379" t="str">
        <f>IF(V113="Too early","Too early",V113/U113)</f>
        <v>Too early</v>
      </c>
      <c r="X113" s="223">
        <v>5466</v>
      </c>
      <c r="Y113" s="227">
        <v>30000</v>
      </c>
      <c r="Z113" s="234">
        <f t="shared" si="10"/>
        <v>0.1822</v>
      </c>
      <c r="AA113" s="206" t="str">
        <f>IF($V113="Too early",V113,V113*AG113/Y113)</f>
        <v>Too early</v>
      </c>
      <c r="AB113" s="219">
        <v>631</v>
      </c>
      <c r="AC113" s="223">
        <v>40693.599999999999</v>
      </c>
      <c r="AD113" s="227">
        <v>36667</v>
      </c>
      <c r="AE113" s="206">
        <f t="shared" si="11"/>
        <v>1.1098153653148608</v>
      </c>
      <c r="AF113" s="230">
        <v>1590</v>
      </c>
      <c r="AG113" s="207">
        <f>X113/S113</f>
        <v>60.065934065934066</v>
      </c>
      <c r="AH113" s="215"/>
      <c r="AI113" s="215"/>
      <c r="AJ113" s="215"/>
      <c r="AK113" s="342">
        <v>46004.6</v>
      </c>
      <c r="AL113" s="344">
        <f>L113-AK113</f>
        <v>155</v>
      </c>
    </row>
    <row r="114" spans="1:38" s="185" customFormat="1" ht="14.25">
      <c r="A114" s="185">
        <v>41</v>
      </c>
      <c r="B114" s="185">
        <f t="shared" si="7"/>
        <v>36</v>
      </c>
      <c r="C114" s="186">
        <v>46181</v>
      </c>
      <c r="D114" s="185" t="s">
        <v>73</v>
      </c>
      <c r="G114" s="195"/>
      <c r="H114" s="196"/>
      <c r="I114" s="513"/>
      <c r="J114" s="209" t="e">
        <f>K114/AF114</f>
        <v>#DIV/0!</v>
      </c>
      <c r="K114" s="197">
        <f>S114+AB114</f>
        <v>0</v>
      </c>
      <c r="L114" s="200">
        <f>X114+AC114</f>
        <v>0</v>
      </c>
      <c r="M114" s="201">
        <f>Y114+AD114</f>
        <v>0</v>
      </c>
      <c r="N114" s="499"/>
      <c r="O114" s="199"/>
      <c r="P114" s="198" t="str">
        <f t="shared" si="8"/>
        <v>Too early</v>
      </c>
      <c r="Q114" s="200" t="str">
        <f>IF(V114="Too early",V114,AC114+V114*AG114)</f>
        <v>Too early</v>
      </c>
      <c r="R114" s="516" t="str">
        <f t="shared" si="12"/>
        <v>Too early</v>
      </c>
      <c r="S114" s="220"/>
      <c r="T114" s="220">
        <f t="shared" si="9"/>
        <v>0</v>
      </c>
      <c r="U114" s="220">
        <f>(AF114-AB114)*I114</f>
        <v>0</v>
      </c>
      <c r="V114" s="208" t="str">
        <f>IF(B114&lt;11,MIN((S114/VLOOKUP(B114,'Sales Pacing'!$A$23:$E$36,2)),T114),"Too early")</f>
        <v>Too early</v>
      </c>
      <c r="W114" s="208"/>
      <c r="X114" s="224"/>
      <c r="Y114" s="224"/>
      <c r="Z114" s="235" t="str">
        <f t="shared" si="10"/>
        <v/>
      </c>
      <c r="AA114" s="209"/>
      <c r="AB114" s="220"/>
      <c r="AC114" s="224"/>
      <c r="AD114" s="224"/>
      <c r="AE114" s="209" t="s">
        <v>57</v>
      </c>
      <c r="AF114" s="220"/>
      <c r="AG114" s="210" t="e">
        <f>X114/S114</f>
        <v>#DIV/0!</v>
      </c>
      <c r="AH114" s="216"/>
      <c r="AI114" s="216"/>
      <c r="AJ114" s="216"/>
      <c r="AK114" s="341">
        <v>0</v>
      </c>
    </row>
    <row r="115" spans="1:38" s="142" customFormat="1" ht="14.25">
      <c r="A115" s="142">
        <v>42</v>
      </c>
      <c r="B115" s="142">
        <f t="shared" si="7"/>
        <v>37</v>
      </c>
      <c r="C115" s="176">
        <v>46188</v>
      </c>
      <c r="D115" s="177" t="s">
        <v>109</v>
      </c>
      <c r="E115" s="177"/>
      <c r="F115" s="177"/>
      <c r="G115" s="176">
        <v>46192.833333333336</v>
      </c>
      <c r="H115" s="177" t="s">
        <v>64</v>
      </c>
      <c r="I115" s="510">
        <v>0.85</v>
      </c>
      <c r="J115" s="203">
        <f>K115/AF115</f>
        <v>0.30880503144654087</v>
      </c>
      <c r="K115" s="36">
        <f>S115+AB115</f>
        <v>491</v>
      </c>
      <c r="L115" s="38">
        <f>X115+AC115</f>
        <v>32669</v>
      </c>
      <c r="M115" s="31">
        <f>Y115+AD115</f>
        <v>60000</v>
      </c>
      <c r="N115" s="498">
        <f>L115-M115</f>
        <v>-27331</v>
      </c>
      <c r="O115" s="30" t="str">
        <f>IF(P115="Too early",P115,P115/AF115)</f>
        <v>Too early</v>
      </c>
      <c r="P115" s="37" t="str">
        <f t="shared" si="8"/>
        <v>Too early</v>
      </c>
      <c r="Q115" s="38" t="str">
        <f>IF(V115="Too early",V115,AC115+V115*AG115)</f>
        <v>Too early</v>
      </c>
      <c r="R115" s="514" t="str">
        <f t="shared" si="12"/>
        <v>Too early</v>
      </c>
      <c r="S115" s="238">
        <v>111</v>
      </c>
      <c r="T115" s="380">
        <f t="shared" si="9"/>
        <v>1210</v>
      </c>
      <c r="U115" s="380">
        <f>(AF115-AB115)*I115</f>
        <v>1028.5</v>
      </c>
      <c r="V115" s="202" t="str">
        <f>IF(B115&lt;11,MIN((S115/VLOOKUP(B115,'Sales Pacing'!$A$23:$E$36,2)),T115),"Too early")</f>
        <v>Too early</v>
      </c>
      <c r="W115" s="379" t="str">
        <f>IF(V115="Too early","Too early",V115/U115)</f>
        <v>Too early</v>
      </c>
      <c r="X115" s="222">
        <v>6390</v>
      </c>
      <c r="Y115" s="226">
        <v>30000</v>
      </c>
      <c r="Z115" s="233">
        <f t="shared" si="10"/>
        <v>0.21299999999999999</v>
      </c>
      <c r="AA115" s="203" t="str">
        <f>IF($V115="Too early",V115,V115*AG115/Y115)</f>
        <v>Too early</v>
      </c>
      <c r="AB115" s="218">
        <v>380</v>
      </c>
      <c r="AC115" s="222">
        <v>26279</v>
      </c>
      <c r="AD115" s="226">
        <v>30000</v>
      </c>
      <c r="AE115" s="203">
        <f t="shared" si="11"/>
        <v>0.87596666666666667</v>
      </c>
      <c r="AF115" s="229">
        <v>1590</v>
      </c>
      <c r="AG115" s="204">
        <f>X115/S115</f>
        <v>57.567567567567565</v>
      </c>
      <c r="AH115" s="214"/>
      <c r="AI115" s="214"/>
      <c r="AJ115" s="214"/>
      <c r="AK115" s="340">
        <v>31448</v>
      </c>
      <c r="AL115" s="344">
        <f>L115-AK115</f>
        <v>1221</v>
      </c>
    </row>
    <row r="116" spans="1:38" s="142" customFormat="1" ht="14.25">
      <c r="A116" s="142">
        <v>42</v>
      </c>
      <c r="B116" s="142">
        <f t="shared" si="7"/>
        <v>37</v>
      </c>
      <c r="C116" s="143">
        <v>46188</v>
      </c>
      <c r="D116" s="142" t="s">
        <v>109</v>
      </c>
      <c r="G116" s="143">
        <v>46193.833333333336</v>
      </c>
      <c r="H116" s="142" t="s">
        <v>64</v>
      </c>
      <c r="I116" s="510">
        <v>0.85</v>
      </c>
      <c r="J116" s="203">
        <f>K116/AF116</f>
        <v>0.50880503144654088</v>
      </c>
      <c r="K116" s="36">
        <f>S116+AB116</f>
        <v>809</v>
      </c>
      <c r="L116" s="38">
        <f>X116+AC116</f>
        <v>51247</v>
      </c>
      <c r="M116" s="31">
        <f>Y116+AD116</f>
        <v>70000</v>
      </c>
      <c r="N116" s="498">
        <f>L116-M116</f>
        <v>-18753</v>
      </c>
      <c r="O116" s="30" t="str">
        <f>IF(P116="Too early",P116,P116/AF116)</f>
        <v>Too early</v>
      </c>
      <c r="P116" s="37" t="str">
        <f t="shared" si="8"/>
        <v>Too early</v>
      </c>
      <c r="Q116" s="38" t="str">
        <f>IF(V116="Too early",V116,AC116+V116*AG116)</f>
        <v>Too early</v>
      </c>
      <c r="R116" s="514" t="str">
        <f t="shared" si="12"/>
        <v>Too early</v>
      </c>
      <c r="S116" s="238">
        <v>220</v>
      </c>
      <c r="T116" s="380">
        <f t="shared" si="9"/>
        <v>1001</v>
      </c>
      <c r="U116" s="380">
        <f>(AF116-AB116)*I116</f>
        <v>850.85</v>
      </c>
      <c r="V116" s="202" t="str">
        <f>IF(B116&lt;11,MIN((S116/VLOOKUP(B116,'Sales Pacing'!$A$23:$E$36,2)),T116),"Too early")</f>
        <v>Too early</v>
      </c>
      <c r="W116" s="379" t="str">
        <f>IF(V116="Too early","Too early",V116/U116)</f>
        <v>Too early</v>
      </c>
      <c r="X116" s="222">
        <v>13052</v>
      </c>
      <c r="Y116" s="226">
        <v>27500</v>
      </c>
      <c r="Z116" s="233">
        <f t="shared" si="10"/>
        <v>0.47461818181818183</v>
      </c>
      <c r="AA116" s="203" t="str">
        <f>IF($V116="Too early",V116,V116*AG116/Y116)</f>
        <v>Too early</v>
      </c>
      <c r="AB116" s="218">
        <v>589</v>
      </c>
      <c r="AC116" s="222">
        <v>38195</v>
      </c>
      <c r="AD116" s="226">
        <v>42500</v>
      </c>
      <c r="AE116" s="203">
        <f t="shared" si="11"/>
        <v>0.89870588235294113</v>
      </c>
      <c r="AF116" s="229">
        <v>1590</v>
      </c>
      <c r="AG116" s="204">
        <f>X116/S116</f>
        <v>59.327272727272728</v>
      </c>
      <c r="AH116" s="214"/>
      <c r="AI116" s="214"/>
      <c r="AJ116" s="214"/>
      <c r="AK116" s="340">
        <v>49815</v>
      </c>
      <c r="AL116" s="344">
        <f>L116-AK116</f>
        <v>1432</v>
      </c>
    </row>
    <row r="117" spans="1:38" s="146" customFormat="1" ht="14.25">
      <c r="A117" s="146">
        <v>42</v>
      </c>
      <c r="B117" s="146">
        <f t="shared" si="7"/>
        <v>37</v>
      </c>
      <c r="C117" s="147">
        <v>46188</v>
      </c>
      <c r="D117" s="146" t="s">
        <v>109</v>
      </c>
      <c r="G117" s="147">
        <v>46194.583333333336</v>
      </c>
      <c r="H117" s="146" t="s">
        <v>64</v>
      </c>
      <c r="I117" s="527">
        <v>0.85</v>
      </c>
      <c r="J117" s="206">
        <f>K117/AF117</f>
        <v>0.47547169811320755</v>
      </c>
      <c r="K117" s="148">
        <f>S117+AB117</f>
        <v>756</v>
      </c>
      <c r="L117" s="34">
        <f>X117+AC117</f>
        <v>47850</v>
      </c>
      <c r="M117" s="35">
        <f>Y117+AD117</f>
        <v>70000</v>
      </c>
      <c r="N117" s="500">
        <f>L117-M117</f>
        <v>-22150</v>
      </c>
      <c r="O117" s="33" t="str">
        <f>IF(P117="Too early",P117,P117/AF117)</f>
        <v>Too early</v>
      </c>
      <c r="P117" s="32" t="str">
        <f t="shared" si="8"/>
        <v>Too early</v>
      </c>
      <c r="Q117" s="34" t="str">
        <f>IF(V117="Too early",V117,AC117+V117*AG117)</f>
        <v>Too early</v>
      </c>
      <c r="R117" s="515" t="str">
        <f t="shared" si="12"/>
        <v>Too early</v>
      </c>
      <c r="S117" s="240">
        <v>187</v>
      </c>
      <c r="T117" s="395">
        <f t="shared" si="9"/>
        <v>1021</v>
      </c>
      <c r="U117" s="395">
        <f>(AF117-AB117)*I117</f>
        <v>867.85</v>
      </c>
      <c r="V117" s="205" t="str">
        <f>IF(B117&lt;11,MIN((S117/VLOOKUP(B117,'Sales Pacing'!$A$23:$E$36,2)),T117),"Too early")</f>
        <v>Too early</v>
      </c>
      <c r="W117" s="396" t="str">
        <f>IF(V117="Too early","Too early",V117/U117)</f>
        <v>Too early</v>
      </c>
      <c r="X117" s="223">
        <v>11098</v>
      </c>
      <c r="Y117" s="227">
        <v>27500</v>
      </c>
      <c r="Z117" s="234">
        <f t="shared" si="10"/>
        <v>0.40356363636363635</v>
      </c>
      <c r="AA117" s="206" t="str">
        <f>IF($V117="Too early",V117,V117*AG117/Y117)</f>
        <v>Too early</v>
      </c>
      <c r="AB117" s="219">
        <v>569</v>
      </c>
      <c r="AC117" s="223">
        <v>36752</v>
      </c>
      <c r="AD117" s="227">
        <v>42500</v>
      </c>
      <c r="AE117" s="206">
        <f t="shared" si="11"/>
        <v>0.86475294117647061</v>
      </c>
      <c r="AF117" s="230">
        <v>1590</v>
      </c>
      <c r="AG117" s="207">
        <f>X117/S117</f>
        <v>59.347593582887697</v>
      </c>
      <c r="AH117" s="215"/>
      <c r="AI117" s="215"/>
      <c r="AJ117" s="215"/>
      <c r="AK117" s="342">
        <v>47300</v>
      </c>
      <c r="AL117" s="346">
        <f>L117-AK117</f>
        <v>550</v>
      </c>
    </row>
    <row r="118" spans="1:38">
      <c r="A118" s="560"/>
      <c r="B118" s="560"/>
      <c r="C118" s="560"/>
      <c r="D118" s="560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18"/>
      <c r="X118" s="18"/>
      <c r="Y118" s="18"/>
      <c r="Z118" s="1"/>
      <c r="AA118" s="4"/>
      <c r="AB118" s="18"/>
      <c r="AC118" s="21"/>
      <c r="AD118" s="18"/>
      <c r="AE118" s="17"/>
      <c r="AF118" s="19"/>
      <c r="AG118" s="19"/>
      <c r="AH118" s="22"/>
      <c r="AI118" s="18"/>
      <c r="AJ118" s="23"/>
      <c r="AL118" s="347">
        <f>SUM(AL6:AL117)</f>
        <v>170132.5</v>
      </c>
    </row>
    <row r="119" spans="1:38">
      <c r="A119" s="1"/>
      <c r="B119" s="1"/>
      <c r="C119" s="1"/>
      <c r="D119" s="310" t="s">
        <v>110</v>
      </c>
      <c r="E119" s="311"/>
      <c r="F119" s="311"/>
      <c r="G119" s="311"/>
      <c r="H119" s="311"/>
      <c r="I119" s="312">
        <f t="shared" ref="I119:I125" si="15">SUMIF($H$118:$H$167,D119,$I$118:$I$167)</f>
        <v>0</v>
      </c>
      <c r="J119" s="313">
        <f>I119</f>
        <v>0</v>
      </c>
      <c r="K119" s="30"/>
      <c r="L119" s="510"/>
      <c r="M119" s="43">
        <f t="shared" ref="M119:M125" si="16">SUMIF($H$118:$H$167,D119,$M$118:$M$167)</f>
        <v>0</v>
      </c>
      <c r="N119" s="43"/>
      <c r="O119" s="43">
        <v>2139000</v>
      </c>
      <c r="P119" s="191"/>
      <c r="Q119" s="30" t="str">
        <f>IF(M119&gt;0,M119/O119,"")</f>
        <v/>
      </c>
      <c r="R119" s="30"/>
      <c r="S119" s="42"/>
      <c r="T119" s="42"/>
      <c r="U119" s="42" t="e">
        <f>#REF!</f>
        <v>#REF!</v>
      </c>
      <c r="V119" s="42"/>
      <c r="W119" s="43">
        <f t="shared" ref="W119:W125" si="17">SUMIF($H$118:$H$167,$D119,W$118:W$167)</f>
        <v>0</v>
      </c>
      <c r="X119" s="43">
        <v>704000</v>
      </c>
      <c r="Y119" s="191"/>
      <c r="Z119" s="30" t="str">
        <f>IF(W119&gt;0,W119/X119,"")</f>
        <v/>
      </c>
      <c r="AA119" s="41">
        <f t="shared" ref="AA119:AB125" si="18">SUMIF($H$118:$H$167,$D119,AA$118:AA$167)</f>
        <v>0</v>
      </c>
      <c r="AB119" s="43">
        <f t="shared" si="18"/>
        <v>0</v>
      </c>
      <c r="AC119" s="44">
        <v>1435000</v>
      </c>
      <c r="AD119" s="30" t="str">
        <f>IF(AB119&gt;0,AB119/AC119,"")</f>
        <v/>
      </c>
      <c r="AE119" s="41">
        <f>SUMIF($H$118:$H$167,D119,$AE$118:$AE$167)</f>
        <v>0</v>
      </c>
      <c r="AF119" s="45" t="e">
        <f>I119/AE119</f>
        <v>#DIV/0!</v>
      </c>
      <c r="AG119" s="46" t="e">
        <f t="shared" ref="AG119:AG126" si="19">M119/I119</f>
        <v>#DIV/0!</v>
      </c>
      <c r="AH119" s="47"/>
      <c r="AI119" s="48"/>
      <c r="AJ119" s="49"/>
    </row>
    <row r="120" spans="1:38">
      <c r="A120" s="1"/>
      <c r="B120" s="1"/>
      <c r="C120" s="1"/>
      <c r="D120" s="322" t="s">
        <v>111</v>
      </c>
      <c r="E120" s="323"/>
      <c r="F120" s="323"/>
      <c r="G120" s="323"/>
      <c r="H120" s="323"/>
      <c r="I120" s="324">
        <f t="shared" si="15"/>
        <v>0</v>
      </c>
      <c r="J120" s="325">
        <f t="shared" ref="J120:J125" si="20">I120</f>
        <v>0</v>
      </c>
      <c r="K120" s="30"/>
      <c r="L120" s="510"/>
      <c r="M120" s="43">
        <f t="shared" si="16"/>
        <v>0</v>
      </c>
      <c r="N120" s="43"/>
      <c r="O120" s="43">
        <v>363000</v>
      </c>
      <c r="P120" s="191"/>
      <c r="Q120" s="30" t="str">
        <f t="shared" ref="Q120:Q126" si="21">IF(M120&gt;0,M120/O120,"")</f>
        <v/>
      </c>
      <c r="R120" s="30"/>
      <c r="S120" s="42"/>
      <c r="T120" s="42"/>
      <c r="U120" s="42" t="e">
        <f>#REF!</f>
        <v>#REF!</v>
      </c>
      <c r="V120" s="42"/>
      <c r="W120" s="43">
        <f t="shared" si="17"/>
        <v>0</v>
      </c>
      <c r="X120" s="43">
        <v>163000</v>
      </c>
      <c r="Y120" s="191"/>
      <c r="Z120" s="30" t="str">
        <f t="shared" ref="Z120:Z126" si="22">IF(W120&gt;0,W120/X120,"")</f>
        <v/>
      </c>
      <c r="AA120" s="41">
        <f t="shared" si="18"/>
        <v>0</v>
      </c>
      <c r="AB120" s="43">
        <f t="shared" si="18"/>
        <v>0</v>
      </c>
      <c r="AC120" s="44">
        <v>200000</v>
      </c>
      <c r="AD120" s="30" t="str">
        <f t="shared" ref="AD120:AD125" si="23">IF(AB120&gt;0,AB120/AC120,"")</f>
        <v/>
      </c>
      <c r="AE120" s="41">
        <f>SUMIF($H$118:$H$167,D120,$AE$118:$AE$167)</f>
        <v>0</v>
      </c>
      <c r="AF120" s="45" t="e">
        <f>I120/AE120</f>
        <v>#DIV/0!</v>
      </c>
      <c r="AG120" s="50" t="e">
        <f t="shared" si="19"/>
        <v>#DIV/0!</v>
      </c>
      <c r="AH120" s="47"/>
      <c r="AI120" s="48"/>
      <c r="AJ120" s="49"/>
    </row>
    <row r="121" spans="1:38">
      <c r="A121" s="1"/>
      <c r="B121" s="1"/>
      <c r="C121" s="1"/>
      <c r="D121" s="322" t="s">
        <v>112</v>
      </c>
      <c r="E121" s="323"/>
      <c r="F121" s="323"/>
      <c r="G121" s="323"/>
      <c r="H121" s="323"/>
      <c r="I121" s="324">
        <f t="shared" si="15"/>
        <v>0</v>
      </c>
      <c r="J121" s="325">
        <f t="shared" si="20"/>
        <v>0</v>
      </c>
      <c r="K121" s="30"/>
      <c r="L121" s="510"/>
      <c r="M121" s="43">
        <f t="shared" si="16"/>
        <v>0</v>
      </c>
      <c r="N121" s="43"/>
      <c r="O121" s="51">
        <v>1457000</v>
      </c>
      <c r="P121" s="192"/>
      <c r="Q121" s="30" t="str">
        <f t="shared" si="21"/>
        <v/>
      </c>
      <c r="R121" s="30"/>
      <c r="S121" s="42"/>
      <c r="T121" s="42"/>
      <c r="U121" s="42" t="e">
        <f>#REF!</f>
        <v>#REF!</v>
      </c>
      <c r="V121" s="42"/>
      <c r="W121" s="43">
        <f t="shared" si="17"/>
        <v>0</v>
      </c>
      <c r="X121" s="51">
        <v>838000</v>
      </c>
      <c r="Y121" s="192"/>
      <c r="Z121" s="30" t="str">
        <f t="shared" si="22"/>
        <v/>
      </c>
      <c r="AA121" s="41">
        <f t="shared" si="18"/>
        <v>0</v>
      </c>
      <c r="AB121" s="43">
        <f t="shared" si="18"/>
        <v>0</v>
      </c>
      <c r="AC121" s="44">
        <v>619000</v>
      </c>
      <c r="AD121" s="30" t="str">
        <f t="shared" si="23"/>
        <v/>
      </c>
      <c r="AE121" s="41">
        <f>SUMIF($H$118:$H$167,D121,$AE$118:$AE$167)</f>
        <v>0</v>
      </c>
      <c r="AF121" s="52" t="e">
        <f>I121/AE121</f>
        <v>#DIV/0!</v>
      </c>
      <c r="AG121" s="46" t="e">
        <f t="shared" si="19"/>
        <v>#DIV/0!</v>
      </c>
      <c r="AH121" s="47"/>
      <c r="AI121" s="48"/>
      <c r="AJ121" s="49"/>
    </row>
    <row r="122" spans="1:38">
      <c r="A122" s="1"/>
      <c r="B122" s="1"/>
      <c r="C122" s="1"/>
      <c r="D122" s="318" t="s">
        <v>113</v>
      </c>
      <c r="E122" s="319"/>
      <c r="F122" s="319"/>
      <c r="G122" s="319"/>
      <c r="H122" s="319"/>
      <c r="I122" s="320">
        <f t="shared" si="15"/>
        <v>0</v>
      </c>
      <c r="J122" s="321">
        <f t="shared" si="20"/>
        <v>0</v>
      </c>
      <c r="K122" s="30"/>
      <c r="L122" s="510"/>
      <c r="M122" s="43">
        <f t="shared" si="16"/>
        <v>0</v>
      </c>
      <c r="N122" s="43"/>
      <c r="O122" s="51">
        <v>525950</v>
      </c>
      <c r="P122" s="192"/>
      <c r="Q122" s="30" t="str">
        <f t="shared" si="21"/>
        <v/>
      </c>
      <c r="R122" s="30"/>
      <c r="S122" s="42"/>
      <c r="T122" s="42"/>
      <c r="U122" s="42" t="e">
        <f>#REF!</f>
        <v>#REF!</v>
      </c>
      <c r="V122" s="42"/>
      <c r="W122" s="43">
        <f t="shared" si="17"/>
        <v>0</v>
      </c>
      <c r="X122" s="51">
        <v>485000</v>
      </c>
      <c r="Y122" s="192"/>
      <c r="Z122" s="30" t="str">
        <f t="shared" si="22"/>
        <v/>
      </c>
      <c r="AA122" s="41">
        <f t="shared" si="18"/>
        <v>0</v>
      </c>
      <c r="AB122" s="43">
        <f t="shared" si="18"/>
        <v>0</v>
      </c>
      <c r="AC122" s="44">
        <v>40950</v>
      </c>
      <c r="AD122" s="30" t="str">
        <f t="shared" si="23"/>
        <v/>
      </c>
      <c r="AE122" s="41">
        <f>SUMIF($H$118:$H$167,D122,$AE$118:$AE$167)</f>
        <v>0</v>
      </c>
      <c r="AF122" s="52" t="e">
        <f>I122/AE122</f>
        <v>#DIV/0!</v>
      </c>
      <c r="AG122" s="46" t="e">
        <f t="shared" si="19"/>
        <v>#DIV/0!</v>
      </c>
      <c r="AH122" s="47"/>
      <c r="AI122" s="48"/>
      <c r="AJ122" s="49"/>
    </row>
    <row r="123" spans="1:38">
      <c r="A123" s="1"/>
      <c r="B123" s="1"/>
      <c r="C123" s="1"/>
      <c r="D123" s="314" t="s">
        <v>114</v>
      </c>
      <c r="E123" s="315"/>
      <c r="F123" s="315"/>
      <c r="G123" s="315"/>
      <c r="H123" s="315"/>
      <c r="I123" s="316">
        <f t="shared" si="15"/>
        <v>0</v>
      </c>
      <c r="J123" s="317">
        <f t="shared" si="20"/>
        <v>0</v>
      </c>
      <c r="K123" s="30"/>
      <c r="L123" s="510"/>
      <c r="M123" s="43">
        <f t="shared" si="16"/>
        <v>0</v>
      </c>
      <c r="N123" s="60"/>
      <c r="O123" s="55">
        <v>1745490</v>
      </c>
      <c r="P123" s="192"/>
      <c r="Q123" s="30" t="str">
        <f t="shared" si="21"/>
        <v/>
      </c>
      <c r="R123" s="30"/>
      <c r="S123" s="42"/>
      <c r="T123" s="42"/>
      <c r="U123" s="42" t="e">
        <f>#REF!</f>
        <v>#REF!</v>
      </c>
      <c r="V123" s="42"/>
      <c r="W123" s="43">
        <f t="shared" si="17"/>
        <v>0</v>
      </c>
      <c r="X123" s="55">
        <v>1745490</v>
      </c>
      <c r="Y123" s="192"/>
      <c r="Z123" s="30" t="str">
        <f t="shared" si="22"/>
        <v/>
      </c>
      <c r="AA123" s="41">
        <f t="shared" si="18"/>
        <v>0</v>
      </c>
      <c r="AB123" s="43">
        <f t="shared" si="18"/>
        <v>0</v>
      </c>
      <c r="AC123" s="56">
        <v>0</v>
      </c>
      <c r="AD123" s="30" t="str">
        <f t="shared" si="23"/>
        <v/>
      </c>
      <c r="AE123" s="41">
        <f>SUMIF($H$118:$H$167,D123,$AE$118:$AE$167)</f>
        <v>0</v>
      </c>
      <c r="AF123" s="52" t="e">
        <f>I123/AE123</f>
        <v>#DIV/0!</v>
      </c>
      <c r="AG123" s="50" t="e">
        <f t="shared" si="19"/>
        <v>#DIV/0!</v>
      </c>
      <c r="AH123" s="57"/>
      <c r="AI123" s="58"/>
      <c r="AJ123" s="59"/>
    </row>
    <row r="124" spans="1:38">
      <c r="A124" s="1"/>
      <c r="B124" s="1"/>
      <c r="C124" s="1"/>
      <c r="D124" s="314" t="s">
        <v>115</v>
      </c>
      <c r="E124" s="315"/>
      <c r="F124" s="315"/>
      <c r="G124" s="315"/>
      <c r="H124" s="315"/>
      <c r="I124" s="316">
        <f t="shared" si="15"/>
        <v>0</v>
      </c>
      <c r="J124" s="317">
        <f t="shared" si="20"/>
        <v>0</v>
      </c>
      <c r="K124" s="30"/>
      <c r="L124" s="510"/>
      <c r="M124" s="43">
        <f t="shared" si="16"/>
        <v>0</v>
      </c>
      <c r="N124" s="60"/>
      <c r="O124" s="60">
        <v>38200</v>
      </c>
      <c r="P124" s="191"/>
      <c r="Q124" s="30" t="str">
        <f t="shared" si="21"/>
        <v/>
      </c>
      <c r="R124" s="30"/>
      <c r="S124" s="42"/>
      <c r="T124" s="42"/>
      <c r="U124" s="42" t="e">
        <f>#REF!</f>
        <v>#REF!</v>
      </c>
      <c r="V124" s="42"/>
      <c r="W124" s="43">
        <f t="shared" si="17"/>
        <v>0</v>
      </c>
      <c r="X124" s="55">
        <v>38200</v>
      </c>
      <c r="Y124" s="192"/>
      <c r="Z124" s="30" t="str">
        <f t="shared" si="22"/>
        <v/>
      </c>
      <c r="AA124" s="41">
        <f t="shared" si="18"/>
        <v>0</v>
      </c>
      <c r="AB124" s="43">
        <f t="shared" si="18"/>
        <v>0</v>
      </c>
      <c r="AC124" s="56">
        <v>0</v>
      </c>
      <c r="AD124" s="30" t="str">
        <f t="shared" si="23"/>
        <v/>
      </c>
      <c r="AE124" s="41">
        <f>SUMIF($H$118:$H$167,D124,$AE$118:$AE$167)</f>
        <v>0</v>
      </c>
      <c r="AF124" s="52" t="e">
        <f>I124/AE124</f>
        <v>#DIV/0!</v>
      </c>
      <c r="AG124" s="55" t="e">
        <f t="shared" si="19"/>
        <v>#DIV/0!</v>
      </c>
      <c r="AH124" s="57"/>
      <c r="AI124" s="58"/>
      <c r="AJ124" s="59"/>
    </row>
    <row r="125" spans="1:38">
      <c r="A125" s="1"/>
      <c r="B125" s="1"/>
      <c r="C125" s="1"/>
      <c r="D125" s="314" t="s">
        <v>116</v>
      </c>
      <c r="E125" s="330"/>
      <c r="F125" s="330"/>
      <c r="G125" s="330"/>
      <c r="H125" s="330"/>
      <c r="I125" s="316">
        <f t="shared" si="15"/>
        <v>0</v>
      </c>
      <c r="J125" s="317">
        <f t="shared" si="20"/>
        <v>0</v>
      </c>
      <c r="K125" s="30"/>
      <c r="L125" s="510"/>
      <c r="M125" s="43">
        <f t="shared" si="16"/>
        <v>0</v>
      </c>
      <c r="N125" s="43"/>
      <c r="O125" s="51"/>
      <c r="P125" s="192"/>
      <c r="Q125" s="30" t="str">
        <f t="shared" si="21"/>
        <v/>
      </c>
      <c r="R125" s="30"/>
      <c r="S125" s="42"/>
      <c r="T125" s="42"/>
      <c r="U125" s="42" t="e">
        <f>#REF!</f>
        <v>#REF!</v>
      </c>
      <c r="V125" s="42"/>
      <c r="W125" s="43">
        <f t="shared" si="17"/>
        <v>0</v>
      </c>
      <c r="X125" s="51"/>
      <c r="Y125" s="192"/>
      <c r="Z125" s="30" t="str">
        <f t="shared" si="22"/>
        <v/>
      </c>
      <c r="AA125" s="41">
        <f t="shared" si="18"/>
        <v>0</v>
      </c>
      <c r="AB125" s="43">
        <f t="shared" si="18"/>
        <v>0</v>
      </c>
      <c r="AC125" s="44">
        <v>0</v>
      </c>
      <c r="AD125" s="30" t="str">
        <f t="shared" si="23"/>
        <v/>
      </c>
      <c r="AE125" s="41">
        <f>SUMIF($H$118:$H$167,D125,$AE$118:$AE$167)</f>
        <v>0</v>
      </c>
      <c r="AF125" s="45" t="e">
        <f>I125/AE125</f>
        <v>#DIV/0!</v>
      </c>
      <c r="AG125" s="46" t="e">
        <f t="shared" si="19"/>
        <v>#DIV/0!</v>
      </c>
      <c r="AH125" s="47"/>
      <c r="AI125" s="48"/>
      <c r="AJ125" s="62"/>
    </row>
    <row r="126" spans="1:38">
      <c r="A126" s="63"/>
      <c r="B126" s="63"/>
      <c r="C126" s="63"/>
      <c r="D126" s="326" t="s">
        <v>117</v>
      </c>
      <c r="E126" s="327"/>
      <c r="F126" s="327"/>
      <c r="G126" s="327"/>
      <c r="H126" s="327"/>
      <c r="I126" s="328">
        <f>SUM(I119:I125)</f>
        <v>0</v>
      </c>
      <c r="J126" s="329">
        <f>SUM(J119:J125)</f>
        <v>0</v>
      </c>
      <c r="K126" s="30"/>
      <c r="L126" s="510"/>
      <c r="M126" s="66">
        <f>SUM(M119:M125)</f>
        <v>0</v>
      </c>
      <c r="N126" s="66"/>
      <c r="O126" s="66">
        <f>SUM(O119:O125)</f>
        <v>6268640</v>
      </c>
      <c r="P126" s="193"/>
      <c r="Q126" s="30" t="str">
        <f t="shared" si="21"/>
        <v/>
      </c>
      <c r="R126" s="30"/>
      <c r="S126" s="66"/>
      <c r="T126" s="66"/>
      <c r="U126" s="66" t="e">
        <f>SUM(U119:U125)</f>
        <v>#REF!</v>
      </c>
      <c r="V126" s="66"/>
      <c r="W126" s="67">
        <f>SUM(W119:W125)</f>
        <v>0</v>
      </c>
      <c r="X126" s="68">
        <f>SUM(X119:X125)</f>
        <v>3973690</v>
      </c>
      <c r="Y126" s="232"/>
      <c r="Z126" s="30" t="str">
        <f t="shared" si="22"/>
        <v/>
      </c>
      <c r="AA126" s="66">
        <f>SUM(AA119,AA120,AA121,AA122,AA123,AA124,AA125)</f>
        <v>0</v>
      </c>
      <c r="AB126" s="69">
        <f>SUM(AB119,AB120,AB121,AB122,AB123,AB124,AB125)</f>
        <v>0</v>
      </c>
      <c r="AC126" s="68">
        <v>2169893</v>
      </c>
      <c r="AD126" s="30" t="str">
        <f>IF(AB126&gt;0,AB126/AC126,"")</f>
        <v/>
      </c>
      <c r="AE126" s="70">
        <f>SUM(AE119:AE125)</f>
        <v>0</v>
      </c>
      <c r="AF126" s="71" t="e">
        <f>I126/AE126</f>
        <v>#DIV/0!</v>
      </c>
      <c r="AG126" s="72" t="e">
        <f t="shared" si="19"/>
        <v>#DIV/0!</v>
      </c>
      <c r="AH126" s="73"/>
      <c r="AI126" s="74"/>
      <c r="AJ126" s="75"/>
    </row>
    <row r="127" spans="1:38">
      <c r="A127" s="1"/>
      <c r="B127" s="1"/>
      <c r="C127" s="1"/>
      <c r="D127" s="1"/>
      <c r="E127" s="1"/>
      <c r="F127" s="1"/>
      <c r="G127" s="1"/>
      <c r="H127" s="1"/>
      <c r="I127" s="76"/>
      <c r="J127" s="77"/>
      <c r="K127" s="76"/>
      <c r="L127" s="511"/>
      <c r="M127" s="78"/>
      <c r="N127" s="78"/>
      <c r="O127" s="78"/>
      <c r="P127" s="78"/>
      <c r="Q127" s="1"/>
      <c r="R127" s="1"/>
      <c r="S127" s="1"/>
      <c r="T127" s="1"/>
      <c r="U127" s="1"/>
      <c r="V127" s="1"/>
      <c r="W127" s="79"/>
      <c r="X127" s="1"/>
      <c r="Y127" s="1"/>
      <c r="Z127" s="30"/>
      <c r="AA127" s="4"/>
      <c r="AB127" s="80"/>
      <c r="AC127" s="80"/>
      <c r="AD127" s="30" t="str">
        <f>IF(AB126&gt;0,AB126/AC127,"")</f>
        <v/>
      </c>
      <c r="AE127" s="4"/>
      <c r="AF127" s="1"/>
      <c r="AG127" s="1"/>
      <c r="AH127" s="1"/>
      <c r="AI127" s="1"/>
      <c r="AJ127" s="1"/>
    </row>
    <row r="128" spans="1:38">
      <c r="A128" s="1"/>
      <c r="B128" s="1"/>
      <c r="C128" s="1"/>
      <c r="D128" s="1"/>
      <c r="E128" s="1"/>
      <c r="F128" s="1"/>
      <c r="G128" s="1"/>
      <c r="H128" s="1"/>
      <c r="I128" s="76"/>
      <c r="J128" s="81"/>
      <c r="K128" s="80"/>
      <c r="L128" s="511"/>
      <c r="M128" s="80"/>
      <c r="N128" s="80"/>
      <c r="O128" s="80"/>
      <c r="P128" s="80"/>
      <c r="Q128" s="1"/>
      <c r="R128" s="1"/>
      <c r="S128" s="1"/>
      <c r="T128" s="1"/>
      <c r="U128" s="1"/>
      <c r="V128" s="1"/>
      <c r="W128" s="1"/>
      <c r="X128" s="1"/>
      <c r="Y128" s="1"/>
      <c r="Z128" s="30"/>
      <c r="AA128" s="4"/>
      <c r="AB128" s="80"/>
      <c r="AC128" s="80"/>
      <c r="AD128" s="80"/>
      <c r="AE128" s="4"/>
      <c r="AF128" s="1"/>
      <c r="AG128" s="1"/>
      <c r="AH128" s="1"/>
      <c r="AI128" s="1"/>
      <c r="AJ128" s="1"/>
    </row>
    <row r="129" spans="1:36">
      <c r="A129" s="560"/>
      <c r="B129" s="560"/>
      <c r="C129" s="560"/>
      <c r="D129" s="560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1"/>
      <c r="AC129" s="1"/>
      <c r="AD129" s="1"/>
      <c r="AE129" s="4"/>
      <c r="AF129" s="560"/>
      <c r="AG129" s="560"/>
      <c r="AH129" s="560"/>
      <c r="AI129" s="560"/>
      <c r="AJ129" s="1"/>
    </row>
    <row r="130" spans="1:36">
      <c r="A130" s="560"/>
      <c r="B130" s="560"/>
      <c r="C130" s="560"/>
      <c r="D130" s="560"/>
      <c r="E130" s="1"/>
      <c r="F130" s="1"/>
      <c r="G130" s="1"/>
      <c r="H130" s="1"/>
      <c r="I130" s="4"/>
      <c r="J130" s="24" t="s">
        <v>118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1"/>
      <c r="AC130" s="1"/>
      <c r="AD130" s="1"/>
      <c r="AE130" s="4"/>
      <c r="AF130" s="560"/>
      <c r="AG130" s="560"/>
      <c r="AH130" s="560"/>
      <c r="AI130" s="560"/>
      <c r="AJ130" s="1"/>
    </row>
    <row r="131" spans="1:36">
      <c r="A131" s="560"/>
      <c r="B131" s="560"/>
      <c r="C131" s="560"/>
      <c r="D131" s="560"/>
      <c r="E131" s="1"/>
      <c r="F131" s="1"/>
      <c r="G131" s="1"/>
      <c r="H131" s="1"/>
      <c r="I131" s="4"/>
      <c r="J131" s="1" t="s">
        <v>119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1"/>
      <c r="AC131" s="1"/>
      <c r="AD131" s="1"/>
      <c r="AE131" s="4"/>
      <c r="AF131" s="560"/>
      <c r="AG131" s="560"/>
      <c r="AH131" s="560"/>
      <c r="AI131" s="560"/>
      <c r="AJ131" s="1"/>
    </row>
    <row r="132" spans="1:36">
      <c r="A132" s="560"/>
      <c r="B132" s="560"/>
      <c r="C132" s="560"/>
      <c r="D132" s="560"/>
      <c r="E132" s="1"/>
      <c r="F132" s="1"/>
      <c r="G132" s="1"/>
      <c r="H132" s="1"/>
      <c r="I132" s="4"/>
      <c r="J132" s="25" t="s">
        <v>120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1"/>
      <c r="AC132" s="1"/>
      <c r="AD132" s="1"/>
      <c r="AE132" s="4"/>
      <c r="AF132" s="560"/>
      <c r="AG132" s="560"/>
      <c r="AH132" s="560"/>
      <c r="AI132" s="560"/>
      <c r="AJ132" s="1"/>
    </row>
    <row r="133" spans="1:36">
      <c r="A133" s="560"/>
      <c r="B133" s="560"/>
      <c r="C133" s="560"/>
      <c r="D133" s="560"/>
      <c r="E133" s="1"/>
      <c r="F133" s="1"/>
      <c r="G133" s="1"/>
      <c r="H133" s="1"/>
      <c r="I133" s="4"/>
      <c r="J133" s="1" t="s">
        <v>121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1"/>
      <c r="AC133" s="1"/>
      <c r="AD133" s="1"/>
      <c r="AE133" s="4"/>
      <c r="AF133" s="560"/>
      <c r="AG133" s="560"/>
      <c r="AH133" s="560"/>
      <c r="AI133" s="560"/>
      <c r="AJ133" s="1"/>
    </row>
    <row r="134" spans="1:36">
      <c r="A134" s="560"/>
      <c r="B134" s="560"/>
      <c r="C134" s="560"/>
      <c r="D134" s="560"/>
      <c r="E134" s="1"/>
      <c r="F134" s="1"/>
      <c r="G134" s="1"/>
      <c r="H134" s="1"/>
      <c r="I134" s="4"/>
      <c r="J134" s="1" t="s">
        <v>122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1"/>
      <c r="AC134" s="1"/>
      <c r="AD134" s="1"/>
      <c r="AE134" s="4"/>
      <c r="AF134" s="560"/>
      <c r="AG134" s="560"/>
      <c r="AH134" s="560"/>
      <c r="AI134" s="560"/>
      <c r="AJ134" s="1"/>
    </row>
    <row r="135" spans="1:36">
      <c r="A135" s="560"/>
      <c r="B135" s="560"/>
      <c r="C135" s="560"/>
      <c r="D135" s="560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1"/>
      <c r="AC135" s="1"/>
      <c r="AD135" s="1"/>
      <c r="AE135" s="4"/>
      <c r="AF135" s="560"/>
      <c r="AG135" s="560"/>
      <c r="AH135" s="560"/>
      <c r="AI135" s="560"/>
      <c r="AJ135" s="1"/>
    </row>
    <row r="136" spans="1:36">
      <c r="A136" s="560"/>
      <c r="B136" s="560"/>
      <c r="C136" s="560"/>
      <c r="D136" s="560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1"/>
      <c r="AC136" s="1"/>
      <c r="AD136" s="1"/>
      <c r="AE136" s="4"/>
      <c r="AF136" s="560"/>
      <c r="AG136" s="560"/>
      <c r="AH136" s="560"/>
      <c r="AI136" s="560"/>
      <c r="AJ136" s="1"/>
    </row>
  </sheetData>
  <autoFilter ref="A5:AW127" xr:uid="{65861D9D-DF6D-458E-8EEC-6179E128FC3E}">
    <filterColumn colId="3" showButton="0"/>
    <filterColumn colId="4" showButton="0"/>
  </autoFilter>
  <mergeCells count="54">
    <mergeCell ref="A136:B136"/>
    <mergeCell ref="C136:D136"/>
    <mergeCell ref="AF136:AG136"/>
    <mergeCell ref="AH136:AI136"/>
    <mergeCell ref="A134:B134"/>
    <mergeCell ref="C134:D134"/>
    <mergeCell ref="AF134:AG134"/>
    <mergeCell ref="AH134:AI134"/>
    <mergeCell ref="A135:B135"/>
    <mergeCell ref="C135:D135"/>
    <mergeCell ref="AF135:AG135"/>
    <mergeCell ref="AH135:AI135"/>
    <mergeCell ref="A132:B132"/>
    <mergeCell ref="C132:D132"/>
    <mergeCell ref="AF132:AG132"/>
    <mergeCell ref="AH132:AI132"/>
    <mergeCell ref="A133:B133"/>
    <mergeCell ref="C133:D133"/>
    <mergeCell ref="AF133:AG133"/>
    <mergeCell ref="AH133:AI133"/>
    <mergeCell ref="A130:B130"/>
    <mergeCell ref="C130:D130"/>
    <mergeCell ref="AF130:AG130"/>
    <mergeCell ref="AH130:AI130"/>
    <mergeCell ref="A131:B131"/>
    <mergeCell ref="C131:D131"/>
    <mergeCell ref="AF131:AG131"/>
    <mergeCell ref="AH131:AI131"/>
    <mergeCell ref="A129:B129"/>
    <mergeCell ref="C129:D129"/>
    <mergeCell ref="AF129:AG129"/>
    <mergeCell ref="AH129:AI129"/>
    <mergeCell ref="A118:B118"/>
    <mergeCell ref="C118:D118"/>
    <mergeCell ref="AF3:AG3"/>
    <mergeCell ref="AH3:AI3"/>
    <mergeCell ref="A4:B4"/>
    <mergeCell ref="I4:Q4"/>
    <mergeCell ref="AF4:AH4"/>
    <mergeCell ref="AI4:AK4"/>
    <mergeCell ref="S4:AA4"/>
    <mergeCell ref="AB4:AE4"/>
    <mergeCell ref="D5:F5"/>
    <mergeCell ref="A1:B1"/>
    <mergeCell ref="C1:D1"/>
    <mergeCell ref="I1:I3"/>
    <mergeCell ref="J1:J3"/>
    <mergeCell ref="A3:B3"/>
    <mergeCell ref="C3:D3"/>
    <mergeCell ref="AE1:AJ1"/>
    <mergeCell ref="A2:B2"/>
    <mergeCell ref="C2:D2"/>
    <mergeCell ref="AF2:AG2"/>
    <mergeCell ref="AH2:AI2"/>
  </mergeCells>
  <conditionalFormatting sqref="O6:O20 O27:O28 O22:O25 O30 O32:O117">
    <cfRule type="cellIs" dxfId="142" priority="55" stopIfTrue="1" operator="equal">
      <formula>""</formula>
    </cfRule>
    <cfRule type="cellIs" dxfId="141" priority="76" operator="equal">
      <formula>"Too early"</formula>
    </cfRule>
    <cfRule type="cellIs" dxfId="140" priority="77" operator="lessThanOrEqual">
      <formula>0.7</formula>
    </cfRule>
    <cfRule type="cellIs" dxfId="139" priority="78" operator="between">
      <formula>0.85</formula>
      <formula>0.7</formula>
    </cfRule>
    <cfRule type="cellIs" dxfId="138" priority="79" operator="greaterThanOrEqual">
      <formula>0.85</formula>
    </cfRule>
  </conditionalFormatting>
  <conditionalFormatting sqref="K119:K126">
    <cfRule type="cellIs" dxfId="137" priority="84" operator="equal">
      <formula>""</formula>
    </cfRule>
    <cfRule type="cellIs" dxfId="136" priority="85" operator="lessThanOrEqual">
      <formula>0.7</formula>
    </cfRule>
    <cfRule type="cellIs" dxfId="135" priority="86" operator="between">
      <formula>0.85</formula>
      <formula>0.7</formula>
    </cfRule>
    <cfRule type="cellIs" dxfId="134" priority="87" operator="greaterThanOrEqual">
      <formula>0.85</formula>
    </cfRule>
  </conditionalFormatting>
  <conditionalFormatting sqref="Q119:R126">
    <cfRule type="cellIs" dxfId="133" priority="92" operator="equal">
      <formula>""</formula>
    </cfRule>
    <cfRule type="cellIs" dxfId="132" priority="93" operator="lessThanOrEqual">
      <formula>0.8</formula>
    </cfRule>
    <cfRule type="cellIs" dxfId="131" priority="94" operator="between">
      <formula>0.95</formula>
      <formula>0.8</formula>
    </cfRule>
    <cfRule type="cellIs" dxfId="130" priority="95" operator="greaterThanOrEqual">
      <formula>0.95</formula>
    </cfRule>
  </conditionalFormatting>
  <conditionalFormatting sqref="W6">
    <cfRule type="cellIs" priority="40" operator="equal">
      <formula>"Too early"</formula>
    </cfRule>
  </conditionalFormatting>
  <conditionalFormatting sqref="W6:W8">
    <cfRule type="cellIs" dxfId="129" priority="47" operator="greaterThan">
      <formula>1</formula>
    </cfRule>
    <cfRule type="cellIs" dxfId="128" priority="48" operator="between">
      <formula>0.9</formula>
      <formula>1</formula>
    </cfRule>
    <cfRule type="cellIs" dxfId="127" priority="49" operator="lessThan">
      <formula>0.9</formula>
    </cfRule>
  </conditionalFormatting>
  <conditionalFormatting sqref="W10:W13 W15:W29">
    <cfRule type="cellIs" dxfId="126" priority="37" operator="greaterThan">
      <formula>1</formula>
    </cfRule>
    <cfRule type="cellIs" dxfId="125" priority="38" operator="between">
      <formula>0.9</formula>
      <formula>1</formula>
    </cfRule>
    <cfRule type="cellIs" dxfId="124" priority="39" operator="lessThan">
      <formula>0.9</formula>
    </cfRule>
  </conditionalFormatting>
  <conditionalFormatting sqref="W21:W29">
    <cfRule type="cellIs" priority="36" stopIfTrue="1" operator="equal">
      <formula>"Too early"</formula>
    </cfRule>
  </conditionalFormatting>
  <conditionalFormatting sqref="W31:W50">
    <cfRule type="cellIs" priority="32" stopIfTrue="1" operator="equal">
      <formula>"Too early"</formula>
    </cfRule>
    <cfRule type="cellIs" dxfId="123" priority="33" operator="greaterThan">
      <formula>1</formula>
    </cfRule>
    <cfRule type="cellIs" dxfId="122" priority="34" operator="between">
      <formula>0.9</formula>
      <formula>1</formula>
    </cfRule>
    <cfRule type="cellIs" dxfId="121" priority="35" operator="lessThan">
      <formula>0.9</formula>
    </cfRule>
  </conditionalFormatting>
  <conditionalFormatting sqref="W52:W77">
    <cfRule type="cellIs" priority="28" stopIfTrue="1" operator="equal">
      <formula>"Too early"</formula>
    </cfRule>
    <cfRule type="cellIs" dxfId="120" priority="29" operator="greaterThan">
      <formula>1</formula>
    </cfRule>
    <cfRule type="cellIs" dxfId="119" priority="30" operator="between">
      <formula>0.9</formula>
      <formula>1</formula>
    </cfRule>
    <cfRule type="cellIs" dxfId="118" priority="31" operator="lessThan">
      <formula>0.9</formula>
    </cfRule>
  </conditionalFormatting>
  <conditionalFormatting sqref="W79:W81">
    <cfRule type="cellIs" priority="24" stopIfTrue="1" operator="equal">
      <formula>"Too early"</formula>
    </cfRule>
    <cfRule type="cellIs" dxfId="117" priority="25" operator="greaterThan">
      <formula>1</formula>
    </cfRule>
    <cfRule type="cellIs" dxfId="116" priority="26" operator="between">
      <formula>0.9</formula>
      <formula>1</formula>
    </cfRule>
    <cfRule type="cellIs" dxfId="115" priority="27" operator="lessThan">
      <formula>0.9</formula>
    </cfRule>
  </conditionalFormatting>
  <conditionalFormatting sqref="W83:W87">
    <cfRule type="cellIs" priority="20" stopIfTrue="1" operator="equal">
      <formula>"Too early"</formula>
    </cfRule>
    <cfRule type="cellIs" dxfId="114" priority="21" operator="greaterThan">
      <formula>1</formula>
    </cfRule>
    <cfRule type="cellIs" dxfId="113" priority="22" operator="between">
      <formula>0.9</formula>
      <formula>1</formula>
    </cfRule>
    <cfRule type="cellIs" dxfId="112" priority="23" operator="lessThan">
      <formula>0.9</formula>
    </cfRule>
  </conditionalFormatting>
  <conditionalFormatting sqref="W89:W94">
    <cfRule type="cellIs" priority="16" stopIfTrue="1" operator="equal">
      <formula>"Too early"</formula>
    </cfRule>
    <cfRule type="cellIs" dxfId="111" priority="17" operator="greaterThan">
      <formula>1</formula>
    </cfRule>
    <cfRule type="cellIs" dxfId="110" priority="18" operator="between">
      <formula>0.9</formula>
      <formula>1</formula>
    </cfRule>
    <cfRule type="cellIs" dxfId="109" priority="19" operator="lessThan">
      <formula>0.9</formula>
    </cfRule>
  </conditionalFormatting>
  <conditionalFormatting sqref="W97:W102">
    <cfRule type="cellIs" priority="12" stopIfTrue="1" operator="equal">
      <formula>"Too early"</formula>
    </cfRule>
    <cfRule type="cellIs" dxfId="108" priority="13" operator="greaterThan">
      <formula>1</formula>
    </cfRule>
    <cfRule type="cellIs" dxfId="107" priority="14" operator="between">
      <formula>0.9</formula>
      <formula>1</formula>
    </cfRule>
    <cfRule type="cellIs" dxfId="106" priority="15" operator="lessThan">
      <formula>0.9</formula>
    </cfRule>
  </conditionalFormatting>
  <conditionalFormatting sqref="W104:W113">
    <cfRule type="cellIs" priority="8" stopIfTrue="1" operator="equal">
      <formula>"Too early"</formula>
    </cfRule>
    <cfRule type="cellIs" dxfId="105" priority="9" operator="greaterThan">
      <formula>1</formula>
    </cfRule>
    <cfRule type="cellIs" dxfId="104" priority="10" operator="between">
      <formula>0.9</formula>
      <formula>1</formula>
    </cfRule>
    <cfRule type="cellIs" dxfId="103" priority="11" operator="lessThan">
      <formula>0.9</formula>
    </cfRule>
  </conditionalFormatting>
  <conditionalFormatting sqref="W115:W117">
    <cfRule type="cellIs" priority="4" stopIfTrue="1" operator="equal">
      <formula>"Too early"</formula>
    </cfRule>
    <cfRule type="cellIs" dxfId="102" priority="5" operator="greaterThan">
      <formula>1</formula>
    </cfRule>
    <cfRule type="cellIs" dxfId="101" priority="6" operator="between">
      <formula>0.9</formula>
      <formula>1</formula>
    </cfRule>
    <cfRule type="cellIs" dxfId="100" priority="7" operator="lessThan">
      <formula>0.9</formula>
    </cfRule>
  </conditionalFormatting>
  <conditionalFormatting sqref="AA21:AA117">
    <cfRule type="cellIs" dxfId="99" priority="52" stopIfTrue="1" operator="equal">
      <formula>""</formula>
    </cfRule>
    <cfRule type="cellIs" dxfId="98" priority="56" operator="equal">
      <formula>"Too early"</formula>
    </cfRule>
    <cfRule type="cellIs" dxfId="97" priority="57" operator="lessThanOrEqual">
      <formula>0.85</formula>
    </cfRule>
    <cfRule type="cellIs" dxfId="96" priority="58" operator="between">
      <formula>0.95</formula>
      <formula>0.85</formula>
    </cfRule>
    <cfRule type="cellIs" dxfId="95" priority="59" operator="greaterThanOrEqual">
      <formula>0.95</formula>
    </cfRule>
  </conditionalFormatting>
  <conditionalFormatting sqref="Z119:Z128">
    <cfRule type="cellIs" dxfId="94" priority="96" operator="equal">
      <formula>""</formula>
    </cfRule>
    <cfRule type="cellIs" dxfId="93" priority="97" operator="lessThanOrEqual">
      <formula>0.8</formula>
    </cfRule>
    <cfRule type="cellIs" dxfId="92" priority="98" operator="between">
      <formula>0.95</formula>
      <formula>0.8</formula>
    </cfRule>
    <cfRule type="cellIs" dxfId="91" priority="99" operator="greaterThanOrEqual">
      <formula>0.95</formula>
    </cfRule>
  </conditionalFormatting>
  <conditionalFormatting sqref="AE30:AE117">
    <cfRule type="cellIs" dxfId="90" priority="50" stopIfTrue="1" operator="equal">
      <formula>"N/A"</formula>
    </cfRule>
    <cfRule type="cellIs" dxfId="89" priority="64" operator="equal">
      <formula>""</formula>
    </cfRule>
    <cfRule type="cellIs" dxfId="88" priority="65" operator="lessThanOrEqual">
      <formula>0.8</formula>
    </cfRule>
    <cfRule type="cellIs" dxfId="87" priority="66" operator="between">
      <formula>0.95</formula>
      <formula>0.8</formula>
    </cfRule>
    <cfRule type="cellIs" dxfId="86" priority="67" operator="greaterThanOrEqual">
      <formula>0.95</formula>
    </cfRule>
  </conditionalFormatting>
  <conditionalFormatting sqref="AD119:AD127">
    <cfRule type="cellIs" dxfId="85" priority="88" operator="equal">
      <formula>""</formula>
    </cfRule>
    <cfRule type="cellIs" dxfId="84" priority="89" operator="lessThanOrEqual">
      <formula>0.8</formula>
    </cfRule>
    <cfRule type="cellIs" dxfId="83" priority="90" operator="between">
      <formula>0.95</formula>
      <formula>0.8</formula>
    </cfRule>
    <cfRule type="cellIs" dxfId="82" priority="91" operator="greaterThanOrEqual">
      <formula>0.95</formula>
    </cfRule>
  </conditionalFormatting>
  <conditionalFormatting sqref="R6:R117">
    <cfRule type="cellIs" dxfId="81" priority="3" operator="greaterThan">
      <formula>0</formula>
    </cfRule>
  </conditionalFormatting>
  <conditionalFormatting sqref="R6:R117">
    <cfRule type="cellIs" dxfId="80" priority="2" operator="lessThan">
      <formula>0</formula>
    </cfRule>
  </conditionalFormatting>
  <conditionalFormatting sqref="R6:R117">
    <cfRule type="cellIs" priority="1" stopIfTrue="1" operator="equal">
      <formula>"Too early"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defaultRowHeight="15"/>
  <cols>
    <col min="1" max="1" width="24.140625" customWidth="1"/>
    <col min="12" max="22" width="6.5703125" customWidth="1"/>
  </cols>
  <sheetData>
    <row r="1" spans="1:22">
      <c r="B1" s="541" t="s">
        <v>123</v>
      </c>
      <c r="C1" s="541"/>
      <c r="D1" s="541"/>
      <c r="E1" s="541"/>
      <c r="F1" s="541"/>
      <c r="G1" s="541"/>
    </row>
    <row r="2" spans="1:22">
      <c r="A2" t="s">
        <v>15</v>
      </c>
      <c r="B2">
        <v>5</v>
      </c>
      <c r="C2">
        <v>4</v>
      </c>
      <c r="D2" s="376">
        <v>3</v>
      </c>
      <c r="E2" s="376">
        <v>2</v>
      </c>
      <c r="F2" s="376">
        <v>1</v>
      </c>
      <c r="G2" s="376">
        <v>0</v>
      </c>
      <c r="L2" s="542" t="s">
        <v>124</v>
      </c>
      <c r="M2" s="542"/>
      <c r="N2" s="542"/>
      <c r="O2" s="542"/>
      <c r="P2" s="543" t="s">
        <v>125</v>
      </c>
      <c r="Q2" s="543"/>
      <c r="R2" s="543"/>
      <c r="S2" s="543"/>
      <c r="T2" s="543"/>
      <c r="U2" s="543"/>
      <c r="V2" s="543"/>
    </row>
    <row r="3" spans="1:22" ht="57.75">
      <c r="A3" t="s">
        <v>126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266" t="s">
        <v>127</v>
      </c>
      <c r="I3" s="266" t="s">
        <v>128</v>
      </c>
      <c r="K3" s="28" t="s">
        <v>129</v>
      </c>
      <c r="L3" s="397">
        <v>10</v>
      </c>
      <c r="M3" s="397">
        <v>9</v>
      </c>
      <c r="N3" s="397">
        <v>8</v>
      </c>
      <c r="O3" s="397">
        <v>7</v>
      </c>
      <c r="P3" s="27">
        <v>6</v>
      </c>
      <c r="Q3" s="27">
        <v>5</v>
      </c>
      <c r="R3" s="382">
        <v>4</v>
      </c>
      <c r="S3" s="383">
        <v>3</v>
      </c>
      <c r="T3" s="383">
        <v>2</v>
      </c>
      <c r="U3" s="383">
        <v>1</v>
      </c>
      <c r="V3" s="382">
        <v>0</v>
      </c>
    </row>
    <row r="4" spans="1:22">
      <c r="A4" s="303" t="s">
        <v>130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Week'!AF10-'Performances by Week'!AB10</f>
        <v>975</v>
      </c>
      <c r="I4" s="30" t="e">
        <f>'Performances by Week'!O10</f>
        <v>#N/A</v>
      </c>
      <c r="K4" s="27" t="s">
        <v>64</v>
      </c>
      <c r="L4" s="398">
        <v>0.15</v>
      </c>
      <c r="M4" s="398">
        <v>0.18</v>
      </c>
      <c r="N4" s="398">
        <v>0.21</v>
      </c>
      <c r="O4" s="398">
        <v>0.24</v>
      </c>
      <c r="P4" s="377">
        <v>0.27</v>
      </c>
      <c r="Q4" s="377">
        <v>0.3</v>
      </c>
      <c r="R4" s="377">
        <v>0.33</v>
      </c>
      <c r="S4" s="377">
        <v>0.39</v>
      </c>
      <c r="T4" s="378">
        <v>0.46</v>
      </c>
      <c r="U4" s="377">
        <v>0.59</v>
      </c>
      <c r="V4" s="377">
        <v>1</v>
      </c>
    </row>
    <row r="5" spans="1:22">
      <c r="A5" s="303" t="s">
        <v>131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Week'!AF11-'Performances by Week'!AB11</f>
        <v>1076</v>
      </c>
      <c r="I5" s="30" t="e">
        <f>'Performances by Week'!O11</f>
        <v>#N/A</v>
      </c>
      <c r="K5" s="27" t="s">
        <v>59</v>
      </c>
      <c r="L5" s="398">
        <v>0.15</v>
      </c>
      <c r="M5" s="398">
        <v>0.18</v>
      </c>
      <c r="N5" s="398">
        <v>0.21</v>
      </c>
      <c r="O5" s="398">
        <v>0.24</v>
      </c>
      <c r="P5" s="377">
        <v>0.27</v>
      </c>
      <c r="Q5" s="377">
        <v>0.3</v>
      </c>
      <c r="R5" s="377">
        <v>0.33</v>
      </c>
      <c r="S5" s="377">
        <v>0.39</v>
      </c>
      <c r="T5" s="378">
        <v>0.46</v>
      </c>
      <c r="U5" s="377">
        <v>0.59</v>
      </c>
      <c r="V5" s="377">
        <v>1</v>
      </c>
    </row>
    <row r="6" spans="1:22">
      <c r="A6" s="303" t="s">
        <v>132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Week'!AF12-'Performances by Week'!AB12</f>
        <v>1246</v>
      </c>
      <c r="I6" s="30" t="e">
        <f>'Performances by Week'!O12</f>
        <v>#N/A</v>
      </c>
      <c r="K6" s="27" t="s">
        <v>54</v>
      </c>
      <c r="L6" s="398">
        <v>0.15</v>
      </c>
      <c r="M6" s="398">
        <v>0.18</v>
      </c>
      <c r="N6" s="398">
        <v>0.21</v>
      </c>
      <c r="O6" s="398">
        <v>0.24</v>
      </c>
      <c r="P6" s="377">
        <v>0.27</v>
      </c>
      <c r="Q6" s="377">
        <v>0.3</v>
      </c>
      <c r="R6" s="377">
        <v>0.33</v>
      </c>
      <c r="S6" s="377">
        <v>0.39</v>
      </c>
      <c r="T6" s="378">
        <v>0.46</v>
      </c>
      <c r="U6" s="377">
        <v>0.59</v>
      </c>
      <c r="V6" s="377">
        <v>1</v>
      </c>
    </row>
    <row r="7" spans="1:22">
      <c r="A7" s="303" t="s">
        <v>133</v>
      </c>
      <c r="B7" s="376">
        <f>$H$7*$H$10*Q5</f>
        <v>280.245</v>
      </c>
      <c r="C7" s="376">
        <f>$H$7*$H$10*R5</f>
        <v>308.26949999999999</v>
      </c>
      <c r="D7" s="376">
        <f>$H$7*$H$10*S5</f>
        <v>364.31850000000003</v>
      </c>
      <c r="E7" s="376">
        <f>$H$7*$H$10*T5</f>
        <v>429.709</v>
      </c>
      <c r="F7" s="376">
        <f>$H$7*$H$10*U5</f>
        <v>551.14850000000001</v>
      </c>
      <c r="G7" s="376">
        <f>$H$7*$H$10*V5</f>
        <v>934.15</v>
      </c>
      <c r="H7" s="376">
        <f>AVERAGE(H4:H6)</f>
        <v>1099</v>
      </c>
      <c r="K7" s="27" t="s">
        <v>134</v>
      </c>
      <c r="L7" s="398">
        <v>0.15</v>
      </c>
      <c r="M7" s="398">
        <v>0.18</v>
      </c>
      <c r="N7" s="398">
        <v>0.21</v>
      </c>
      <c r="O7" s="398">
        <v>0.24</v>
      </c>
      <c r="P7" s="377">
        <v>0.27</v>
      </c>
      <c r="Q7" s="377">
        <v>0.3</v>
      </c>
      <c r="R7" s="377">
        <v>0.33</v>
      </c>
      <c r="S7" s="377">
        <v>0.39</v>
      </c>
      <c r="T7" s="378">
        <v>0.46</v>
      </c>
      <c r="U7" s="377">
        <v>0.59</v>
      </c>
      <c r="V7" s="377">
        <v>1</v>
      </c>
    </row>
    <row r="8" spans="1:22">
      <c r="A8" s="303" t="s">
        <v>135</v>
      </c>
      <c r="B8" s="376">
        <f t="shared" ref="B8:E8" si="0">IF(B4&gt;0,AVERAGE(B4:B6)-B7,"TBD")</f>
        <v>-220.245</v>
      </c>
      <c r="C8" s="376">
        <f t="shared" si="0"/>
        <v>-113.26949999999999</v>
      </c>
      <c r="D8" s="376">
        <f t="shared" si="0"/>
        <v>-113.98516666666669</v>
      </c>
      <c r="E8" s="376">
        <f t="shared" si="0"/>
        <v>-137.04233333333332</v>
      </c>
      <c r="F8" s="376">
        <f>IF(F4&gt;0,AVERAGE(F4:F6)-F7,"TBD")</f>
        <v>-179.48183333333333</v>
      </c>
      <c r="G8" s="376">
        <f t="shared" ref="G8" si="1">IF(G4&gt;0,AVERAGE(G4:G6)-G7,"TBD")</f>
        <v>-491.48333333333329</v>
      </c>
      <c r="M8" s="375"/>
      <c r="N8" s="377"/>
      <c r="O8" s="377"/>
      <c r="P8" s="377"/>
      <c r="Q8" s="377"/>
    </row>
    <row r="9" spans="1:22">
      <c r="A9" s="303"/>
      <c r="H9" t="s">
        <v>136</v>
      </c>
      <c r="M9" s="28"/>
      <c r="N9" s="377"/>
      <c r="O9" s="377"/>
      <c r="P9" s="377"/>
      <c r="Q9" s="377"/>
    </row>
    <row r="10" spans="1:22">
      <c r="A10" s="303"/>
      <c r="H10" s="127">
        <v>0.85</v>
      </c>
      <c r="M10" s="26"/>
      <c r="N10" s="377"/>
      <c r="O10" s="377"/>
      <c r="P10" s="377"/>
      <c r="Q10" s="377"/>
    </row>
    <row r="11" spans="1:22">
      <c r="A11" s="303"/>
      <c r="M11" s="26"/>
      <c r="N11" s="377"/>
      <c r="O11" s="377"/>
      <c r="P11" s="377"/>
      <c r="Q11" s="377"/>
    </row>
    <row r="12" spans="1:22">
      <c r="I12" t="s">
        <v>137</v>
      </c>
      <c r="J12" t="s">
        <v>138</v>
      </c>
      <c r="K12" t="s">
        <v>139</v>
      </c>
    </row>
    <row r="13" spans="1:22">
      <c r="I13">
        <v>511</v>
      </c>
      <c r="J13">
        <f>I13-G4</f>
        <v>121</v>
      </c>
      <c r="K13" s="127">
        <f>J13/I13</f>
        <v>0.23679060665362034</v>
      </c>
    </row>
    <row r="14" spans="1:22">
      <c r="I14">
        <v>550</v>
      </c>
      <c r="J14">
        <f>I14-G5</f>
        <v>128</v>
      </c>
      <c r="K14" s="127">
        <f>J14/I14</f>
        <v>0.23272727272727273</v>
      </c>
    </row>
    <row r="15" spans="1:22">
      <c r="I15">
        <v>662</v>
      </c>
      <c r="J15">
        <f>I15-G6</f>
        <v>146</v>
      </c>
      <c r="K15" s="127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79" priority="1" stopIfTrue="1" operator="equal">
      <formula>""</formula>
    </cfRule>
    <cfRule type="cellIs" dxfId="78" priority="2" operator="equal">
      <formula>"Too early"</formula>
    </cfRule>
    <cfRule type="cellIs" dxfId="77" priority="3" operator="lessThanOrEqual">
      <formula>0.7</formula>
    </cfRule>
    <cfRule type="cellIs" dxfId="76" priority="4" operator="between">
      <formula>0.85</formula>
      <formula>0.7</formula>
    </cfRule>
    <cfRule type="cellIs" dxfId="7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Y11"/>
  <sheetViews>
    <sheetView workbookViewId="0">
      <selection activeCell="K18" sqref="K18"/>
    </sheetView>
  </sheetViews>
  <sheetFormatPr defaultRowHeight="15"/>
  <cols>
    <col min="1" max="1" width="24.85546875" customWidth="1"/>
    <col min="14" max="14" width="14.42578125" customWidth="1"/>
    <col min="15" max="25" width="6.85546875" customWidth="1"/>
  </cols>
  <sheetData>
    <row r="1" spans="1:25">
      <c r="B1" s="541" t="s">
        <v>123</v>
      </c>
      <c r="C1" s="541"/>
      <c r="D1" s="541"/>
      <c r="E1" s="541"/>
      <c r="F1" s="541"/>
      <c r="G1" s="541"/>
      <c r="H1" s="541"/>
      <c r="I1" s="541"/>
      <c r="J1" s="541"/>
    </row>
    <row r="2" spans="1:25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76">
        <v>3</v>
      </c>
      <c r="H2" s="376">
        <v>2</v>
      </c>
      <c r="I2" s="376">
        <v>1</v>
      </c>
      <c r="J2" s="376">
        <v>0</v>
      </c>
      <c r="O2" s="542" t="s">
        <v>124</v>
      </c>
      <c r="P2" s="542"/>
      <c r="Q2" s="542"/>
      <c r="R2" s="542"/>
      <c r="S2" s="543" t="s">
        <v>125</v>
      </c>
      <c r="T2" s="543"/>
      <c r="U2" s="543"/>
      <c r="V2" s="543"/>
      <c r="W2" s="543"/>
      <c r="X2" s="543"/>
      <c r="Y2" s="543"/>
    </row>
    <row r="3" spans="1:25" ht="57.75">
      <c r="A3" t="s">
        <v>140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303">
        <v>45922</v>
      </c>
      <c r="I3" s="303">
        <v>45929</v>
      </c>
      <c r="J3" s="303">
        <v>45936</v>
      </c>
      <c r="K3" s="266" t="s">
        <v>127</v>
      </c>
      <c r="L3" s="266" t="s">
        <v>128</v>
      </c>
      <c r="N3" s="28" t="s">
        <v>129</v>
      </c>
      <c r="O3" s="397">
        <v>10</v>
      </c>
      <c r="P3" s="397">
        <v>9</v>
      </c>
      <c r="Q3" s="397">
        <v>8</v>
      </c>
      <c r="R3" s="397">
        <v>7</v>
      </c>
      <c r="S3" s="27">
        <v>6</v>
      </c>
      <c r="T3" s="27">
        <v>5</v>
      </c>
      <c r="U3" s="382">
        <v>4</v>
      </c>
      <c r="V3" s="383">
        <v>3</v>
      </c>
      <c r="W3" s="383">
        <v>2</v>
      </c>
      <c r="X3" s="383">
        <v>1</v>
      </c>
      <c r="Y3" s="382">
        <v>0</v>
      </c>
    </row>
    <row r="4" spans="1:25">
      <c r="A4" s="303" t="s">
        <v>141</v>
      </c>
      <c r="B4">
        <v>60</v>
      </c>
      <c r="C4">
        <v>100</v>
      </c>
      <c r="D4">
        <v>106</v>
      </c>
      <c r="E4">
        <v>135</v>
      </c>
      <c r="F4">
        <v>193</v>
      </c>
      <c r="G4">
        <v>212</v>
      </c>
      <c r="H4">
        <v>238</v>
      </c>
      <c r="I4">
        <v>326</v>
      </c>
      <c r="K4">
        <f>1433-543</f>
        <v>890</v>
      </c>
      <c r="L4" s="30">
        <f>'Performances by Week'!O15</f>
        <v>0.74078323299466575</v>
      </c>
      <c r="N4" s="27" t="s">
        <v>64</v>
      </c>
      <c r="O4" s="398">
        <v>0.15</v>
      </c>
      <c r="P4" s="398">
        <v>0.18</v>
      </c>
      <c r="Q4" s="398">
        <v>0.21</v>
      </c>
      <c r="R4" s="398">
        <v>0.24</v>
      </c>
      <c r="S4" s="377">
        <v>0.27</v>
      </c>
      <c r="T4" s="377">
        <v>0.3</v>
      </c>
      <c r="U4" s="377">
        <v>0.33</v>
      </c>
      <c r="V4" s="377">
        <v>0.39</v>
      </c>
      <c r="W4" s="378">
        <v>0.46</v>
      </c>
      <c r="X4" s="377">
        <v>0.59</v>
      </c>
      <c r="Y4" s="377">
        <v>1</v>
      </c>
    </row>
    <row r="5" spans="1:25">
      <c r="A5" s="303" t="s">
        <v>142</v>
      </c>
      <c r="B5">
        <v>63</v>
      </c>
      <c r="C5">
        <v>98</v>
      </c>
      <c r="D5">
        <v>115</v>
      </c>
      <c r="E5">
        <v>130</v>
      </c>
      <c r="F5">
        <v>179</v>
      </c>
      <c r="G5">
        <v>225</v>
      </c>
      <c r="H5">
        <v>258</v>
      </c>
      <c r="I5">
        <v>355</v>
      </c>
      <c r="K5">
        <f>1433-581</f>
        <v>852</v>
      </c>
      <c r="L5" s="30">
        <f>'Performances by Week'!O16</f>
        <v>0.81765172034489708</v>
      </c>
      <c r="N5" s="27" t="s">
        <v>59</v>
      </c>
      <c r="O5" s="398">
        <v>0.15</v>
      </c>
      <c r="P5" s="398">
        <v>0.18</v>
      </c>
      <c r="Q5" s="398">
        <v>0.21</v>
      </c>
      <c r="R5" s="398">
        <v>0.24</v>
      </c>
      <c r="S5" s="377">
        <v>0.27</v>
      </c>
      <c r="T5" s="377">
        <v>0.3</v>
      </c>
      <c r="U5" s="377">
        <v>0.33</v>
      </c>
      <c r="V5" s="377">
        <v>0.39</v>
      </c>
      <c r="W5" s="378">
        <v>0.46</v>
      </c>
      <c r="X5" s="377">
        <v>0.59</v>
      </c>
      <c r="Y5" s="377">
        <v>1</v>
      </c>
    </row>
    <row r="6" spans="1:25">
      <c r="A6" s="303" t="s">
        <v>143</v>
      </c>
      <c r="B6">
        <v>57</v>
      </c>
      <c r="C6">
        <v>137</v>
      </c>
      <c r="D6">
        <v>154</v>
      </c>
      <c r="E6">
        <v>174</v>
      </c>
      <c r="F6">
        <v>239</v>
      </c>
      <c r="G6">
        <v>295</v>
      </c>
      <c r="H6">
        <v>328</v>
      </c>
      <c r="I6">
        <v>430</v>
      </c>
      <c r="K6">
        <f>1433-613</f>
        <v>820</v>
      </c>
      <c r="L6" s="30">
        <f>'Performances by Week'!O17</f>
        <v>0.92659704069925619</v>
      </c>
      <c r="N6" s="27" t="s">
        <v>54</v>
      </c>
      <c r="O6" s="398">
        <v>0.15</v>
      </c>
      <c r="P6" s="398">
        <v>0.18</v>
      </c>
      <c r="Q6" s="398">
        <v>0.21</v>
      </c>
      <c r="R6" s="398">
        <v>0.24</v>
      </c>
      <c r="S6" s="377">
        <v>0.27</v>
      </c>
      <c r="T6" s="377">
        <v>0.3</v>
      </c>
      <c r="U6" s="377">
        <v>0.33</v>
      </c>
      <c r="V6" s="377">
        <v>0.39</v>
      </c>
      <c r="W6" s="378">
        <v>0.46</v>
      </c>
      <c r="X6" s="377">
        <v>0.59</v>
      </c>
      <c r="Y6" s="377">
        <v>1</v>
      </c>
    </row>
    <row r="7" spans="1:25">
      <c r="A7" s="303" t="s">
        <v>133</v>
      </c>
      <c r="B7" s="376">
        <f>$K$7*$K$10*Q4</f>
        <v>151.72499999999999</v>
      </c>
      <c r="C7" s="376">
        <f>$K$7*$K$10*R4</f>
        <v>173.4</v>
      </c>
      <c r="D7" s="376">
        <f>$K$7*$K$10*S4</f>
        <v>195.07500000000002</v>
      </c>
      <c r="E7" s="376">
        <f>$K$7*$K$10*T4</f>
        <v>216.75</v>
      </c>
      <c r="F7" s="376">
        <f>$K$7*$K$10*U4</f>
        <v>238.42500000000001</v>
      </c>
      <c r="G7" s="376">
        <f>$K$7*$K$10*V4</f>
        <v>281.77500000000003</v>
      </c>
      <c r="H7" s="376">
        <f>$K$7*$K$10*W4</f>
        <v>332.35</v>
      </c>
      <c r="I7" s="376">
        <f>$K$7*$K$10*X4</f>
        <v>426.27499999999998</v>
      </c>
      <c r="J7" s="376">
        <f>$K$7*$K$10*Y4</f>
        <v>722.5</v>
      </c>
      <c r="K7">
        <v>850</v>
      </c>
      <c r="N7" s="27" t="s">
        <v>134</v>
      </c>
      <c r="O7" s="398">
        <v>0.15</v>
      </c>
      <c r="P7" s="398">
        <v>0.18</v>
      </c>
      <c r="Q7" s="398">
        <v>0.21</v>
      </c>
      <c r="R7" s="398">
        <v>0.24</v>
      </c>
      <c r="S7" s="377">
        <v>0.27</v>
      </c>
      <c r="T7" s="377">
        <v>0.3</v>
      </c>
      <c r="U7" s="377">
        <v>0.33</v>
      </c>
      <c r="V7" s="377">
        <v>0.39</v>
      </c>
      <c r="W7" s="378">
        <v>0.46</v>
      </c>
      <c r="X7" s="377">
        <v>0.59</v>
      </c>
      <c r="Y7" s="377">
        <v>1</v>
      </c>
    </row>
    <row r="8" spans="1:25">
      <c r="A8" s="303" t="s">
        <v>135</v>
      </c>
      <c r="B8" s="376">
        <f t="shared" ref="B8:E8" si="0">IF(B4&gt;0,AVERAGE(B4:B6)-B7,"TBD")</f>
        <v>-91.724999999999994</v>
      </c>
      <c r="C8" s="376">
        <f t="shared" si="0"/>
        <v>-61.733333333333334</v>
      </c>
      <c r="D8" s="376">
        <f t="shared" si="0"/>
        <v>-70.075000000000017</v>
      </c>
      <c r="E8" s="376">
        <f t="shared" si="0"/>
        <v>-70.416666666666657</v>
      </c>
      <c r="F8" s="376">
        <f>IF(F4&gt;0,AVERAGE(F4:F6)-F7,"TBD")</f>
        <v>-34.758333333333354</v>
      </c>
      <c r="G8" s="376">
        <f t="shared" ref="G8:J8" si="1">IF(G4&gt;0,AVERAGE(G4:G6)-G7,"TBD")</f>
        <v>-37.775000000000034</v>
      </c>
      <c r="H8" s="376">
        <f t="shared" si="1"/>
        <v>-57.683333333333337</v>
      </c>
      <c r="I8" s="376">
        <f t="shared" si="1"/>
        <v>-55.941666666666663</v>
      </c>
      <c r="J8" s="376" t="str">
        <f t="shared" si="1"/>
        <v>TBD</v>
      </c>
      <c r="N8" s="375"/>
      <c r="O8" s="377"/>
      <c r="P8" s="377"/>
      <c r="Q8" s="377"/>
      <c r="R8" s="377"/>
    </row>
    <row r="9" spans="1:25">
      <c r="A9" s="303"/>
      <c r="E9" s="376">
        <f>E7-D7</f>
        <v>21.674999999999983</v>
      </c>
      <c r="F9" s="376">
        <f>F7-E7</f>
        <v>21.675000000000011</v>
      </c>
      <c r="G9" s="376">
        <f>G7-F7</f>
        <v>43.350000000000023</v>
      </c>
      <c r="H9" s="376">
        <f>H7-G7</f>
        <v>50.574999999999989</v>
      </c>
      <c r="K9" t="s">
        <v>136</v>
      </c>
      <c r="N9" s="28"/>
      <c r="O9" s="377"/>
      <c r="P9" s="377"/>
      <c r="Q9" s="377"/>
      <c r="R9" s="377"/>
    </row>
    <row r="10" spans="1:25">
      <c r="A10" s="303"/>
      <c r="K10" s="127">
        <v>0.85</v>
      </c>
      <c r="N10" s="26"/>
      <c r="O10" s="377"/>
      <c r="P10" s="377"/>
      <c r="Q10" s="377"/>
      <c r="R10" s="377"/>
    </row>
    <row r="11" spans="1:25">
      <c r="A11" s="303"/>
      <c r="N11" s="26"/>
      <c r="O11" s="377"/>
      <c r="P11" s="377"/>
      <c r="Q11" s="377"/>
      <c r="R11" s="377"/>
    </row>
  </sheetData>
  <mergeCells count="3">
    <mergeCell ref="B1:J1"/>
    <mergeCell ref="O2:R2"/>
    <mergeCell ref="S2:Y2"/>
  </mergeCells>
  <conditionalFormatting sqref="L4:L6">
    <cfRule type="cellIs" dxfId="74" priority="1" stopIfTrue="1" operator="equal">
      <formula>""</formula>
    </cfRule>
    <cfRule type="cellIs" dxfId="73" priority="2" operator="equal">
      <formula>"Too early"</formula>
    </cfRule>
    <cfRule type="cellIs" dxfId="72" priority="3" operator="lessThanOrEqual">
      <formula>0.7</formula>
    </cfRule>
    <cfRule type="cellIs" dxfId="71" priority="4" operator="between">
      <formula>0.85</formula>
      <formula>0.7</formula>
    </cfRule>
    <cfRule type="cellIs" dxfId="7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1"/>
  <sheetViews>
    <sheetView workbookViewId="0">
      <selection activeCell="H7" sqref="H7"/>
    </sheetView>
  </sheetViews>
  <sheetFormatPr defaultRowHeight="15"/>
  <cols>
    <col min="1" max="1" width="24.140625" customWidth="1"/>
    <col min="16" max="16" width="12.85546875" customWidth="1"/>
    <col min="17" max="27" width="6.5703125" customWidth="1"/>
  </cols>
  <sheetData>
    <row r="1" spans="1:27">
      <c r="B1" s="541" t="s">
        <v>144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Q1" s="542" t="s">
        <v>124</v>
      </c>
      <c r="R1" s="542"/>
      <c r="S1" s="542"/>
      <c r="T1" s="542"/>
      <c r="U1" s="543" t="s">
        <v>125</v>
      </c>
      <c r="V1" s="543"/>
      <c r="W1" s="543"/>
      <c r="X1" s="543"/>
      <c r="Y1" s="543"/>
      <c r="Z1" s="543"/>
      <c r="AA1" s="543"/>
    </row>
    <row r="2" spans="1:27" ht="26.25">
      <c r="A2" t="s">
        <v>15</v>
      </c>
      <c r="B2">
        <v>10</v>
      </c>
      <c r="C2">
        <v>9</v>
      </c>
      <c r="D2" s="376">
        <v>8</v>
      </c>
      <c r="E2" s="376">
        <v>7</v>
      </c>
      <c r="F2" s="376">
        <v>6</v>
      </c>
      <c r="G2" s="376">
        <v>5</v>
      </c>
      <c r="H2" s="376">
        <v>4</v>
      </c>
      <c r="I2" s="376">
        <v>3</v>
      </c>
      <c r="J2" s="376">
        <v>2</v>
      </c>
      <c r="K2" s="376">
        <v>1</v>
      </c>
      <c r="L2" s="376">
        <v>0</v>
      </c>
      <c r="P2" s="28" t="s">
        <v>129</v>
      </c>
      <c r="Q2" s="397">
        <v>10</v>
      </c>
      <c r="R2" s="397">
        <v>9</v>
      </c>
      <c r="S2" s="397">
        <v>8</v>
      </c>
      <c r="T2" s="397">
        <v>7</v>
      </c>
      <c r="U2" s="27">
        <v>6</v>
      </c>
      <c r="V2" s="27">
        <v>5</v>
      </c>
      <c r="W2" s="382">
        <v>4</v>
      </c>
      <c r="X2" s="383">
        <v>3</v>
      </c>
      <c r="Y2" s="383">
        <v>2</v>
      </c>
      <c r="Z2" s="383">
        <v>1</v>
      </c>
      <c r="AA2" s="382">
        <v>0</v>
      </c>
    </row>
    <row r="3" spans="1:27" ht="57.75">
      <c r="A3" s="381" t="s">
        <v>145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303">
        <v>45922</v>
      </c>
      <c r="I3" s="303">
        <v>45929</v>
      </c>
      <c r="J3" s="303">
        <v>45936</v>
      </c>
      <c r="K3" s="303">
        <v>45943</v>
      </c>
      <c r="L3" s="303">
        <v>45950</v>
      </c>
      <c r="M3" s="266" t="s">
        <v>127</v>
      </c>
      <c r="N3" s="266" t="s">
        <v>128</v>
      </c>
      <c r="P3" s="27" t="s">
        <v>64</v>
      </c>
      <c r="Q3" s="398">
        <v>0.15</v>
      </c>
      <c r="R3" s="398">
        <v>0.18</v>
      </c>
      <c r="S3" s="398">
        <v>0.21</v>
      </c>
      <c r="T3" s="398">
        <v>0.24</v>
      </c>
      <c r="U3" s="377">
        <v>0.27</v>
      </c>
      <c r="V3" s="377">
        <v>0.3</v>
      </c>
      <c r="W3" s="377">
        <v>0.33</v>
      </c>
      <c r="X3" s="377">
        <v>0.39</v>
      </c>
      <c r="Y3" s="378">
        <v>0.46</v>
      </c>
      <c r="Z3" s="377">
        <v>0.59</v>
      </c>
      <c r="AA3" s="377">
        <v>1</v>
      </c>
    </row>
    <row r="4" spans="1:27">
      <c r="A4" s="303" t="s">
        <v>146</v>
      </c>
      <c r="B4">
        <v>60</v>
      </c>
      <c r="C4">
        <v>64</v>
      </c>
      <c r="D4">
        <v>68</v>
      </c>
      <c r="E4">
        <v>74</v>
      </c>
      <c r="F4">
        <v>80</v>
      </c>
      <c r="G4">
        <v>92</v>
      </c>
      <c r="H4">
        <v>145</v>
      </c>
      <c r="M4">
        <f>'Performances by Week'!AF22-'Performances by Week'!AB22</f>
        <v>882</v>
      </c>
      <c r="N4" s="30">
        <f>'Performances by Week'!O22</f>
        <v>0.67911627156910181</v>
      </c>
      <c r="P4" s="27" t="s">
        <v>59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147</v>
      </c>
      <c r="B5">
        <v>63</v>
      </c>
      <c r="C5">
        <v>63</v>
      </c>
      <c r="D5">
        <v>73</v>
      </c>
      <c r="E5">
        <v>93</v>
      </c>
      <c r="F5">
        <v>106</v>
      </c>
      <c r="G5">
        <v>114</v>
      </c>
      <c r="H5">
        <v>190</v>
      </c>
      <c r="M5">
        <f>'Performances by Week'!AF23-'Performances by Week'!AB23</f>
        <v>961</v>
      </c>
      <c r="N5" s="30">
        <f>'Performances by Week'!O23</f>
        <v>0.7019996774713757</v>
      </c>
      <c r="P5" s="27" t="s">
        <v>54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148</v>
      </c>
      <c r="B6">
        <v>57</v>
      </c>
      <c r="C6">
        <v>59</v>
      </c>
      <c r="D6">
        <v>66</v>
      </c>
      <c r="E6">
        <v>74</v>
      </c>
      <c r="F6">
        <v>76</v>
      </c>
      <c r="G6">
        <v>87</v>
      </c>
      <c r="H6">
        <v>163</v>
      </c>
      <c r="M6">
        <f>'Performances by Week'!AF24-'Performances by Week'!AB24</f>
        <v>1208</v>
      </c>
      <c r="N6" s="30">
        <f>'Performances by Week'!O24</f>
        <v>0.50311240122560885</v>
      </c>
      <c r="P6" s="27" t="s">
        <v>134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133</v>
      </c>
      <c r="B7" s="376">
        <f>$M$7*$M$10*Q4</f>
        <v>129.66749999999999</v>
      </c>
      <c r="C7" s="376">
        <f>$M$7*$M$10*R4</f>
        <v>155.60099999999997</v>
      </c>
      <c r="D7" s="376">
        <f>$M$7*$M$10*S4</f>
        <v>181.53449999999998</v>
      </c>
      <c r="E7" s="376">
        <f>$M$7*$M$10*T4</f>
        <v>207.46799999999999</v>
      </c>
      <c r="F7" s="376">
        <f>$M$7*$M$10*U4</f>
        <v>233.4015</v>
      </c>
      <c r="G7" s="376">
        <f>$M$7*$M$10*V4</f>
        <v>259.33499999999998</v>
      </c>
      <c r="H7" s="376">
        <f>$M$7*$M$10*W4</f>
        <v>285.26850000000002</v>
      </c>
      <c r="I7" s="376">
        <f>$M$7*$M$10*X4</f>
        <v>337.13549999999998</v>
      </c>
      <c r="J7" s="376">
        <f>$M$7*$M$10*Y4</f>
        <v>397.64699999999999</v>
      </c>
      <c r="K7" s="376">
        <f>$M$7*$M$10*Z4</f>
        <v>510.02549999999991</v>
      </c>
      <c r="L7" s="376">
        <f>$M$7*$M$10*AA4</f>
        <v>864.44999999999993</v>
      </c>
      <c r="M7" s="376">
        <f>AVERAGE(M4:M6)</f>
        <v>1017</v>
      </c>
    </row>
    <row r="8" spans="1:27">
      <c r="A8" s="303" t="s">
        <v>135</v>
      </c>
      <c r="B8" s="376">
        <f t="shared" ref="B8:E8" si="0">IF(B4&gt;0,AVERAGE(B4:B6)-B7,"TBD")</f>
        <v>-69.66749999999999</v>
      </c>
      <c r="C8" s="376">
        <f t="shared" si="0"/>
        <v>-93.600999999999971</v>
      </c>
      <c r="D8" s="376">
        <f t="shared" si="0"/>
        <v>-112.53449999999998</v>
      </c>
      <c r="E8" s="376">
        <f t="shared" si="0"/>
        <v>-127.13466666666666</v>
      </c>
      <c r="F8" s="376">
        <f>IF(F4&gt;0,AVERAGE(F4:F6)-F7,"TBD")</f>
        <v>-146.06816666666668</v>
      </c>
      <c r="G8" s="376">
        <f t="shared" ref="G8:L8" si="1">IF(G4&gt;0,AVERAGE(G4:G6)-G7,"TBD")</f>
        <v>-161.66833333333329</v>
      </c>
      <c r="H8" s="376">
        <f t="shared" si="1"/>
        <v>-119.26850000000002</v>
      </c>
      <c r="I8" s="376" t="str">
        <f t="shared" si="1"/>
        <v>TBD</v>
      </c>
      <c r="J8" s="376" t="str">
        <f t="shared" si="1"/>
        <v>TBD</v>
      </c>
      <c r="K8" s="376" t="str">
        <f t="shared" si="1"/>
        <v>TBD</v>
      </c>
      <c r="L8" s="376" t="str">
        <f t="shared" si="1"/>
        <v>TBD</v>
      </c>
    </row>
    <row r="9" spans="1:27">
      <c r="A9" s="303"/>
      <c r="M9" t="s">
        <v>136</v>
      </c>
    </row>
    <row r="10" spans="1:27">
      <c r="A10" s="303"/>
      <c r="M10" s="127">
        <v>0.85</v>
      </c>
    </row>
    <row r="11" spans="1:27">
      <c r="A11" s="303"/>
    </row>
  </sheetData>
  <mergeCells count="3">
    <mergeCell ref="B1:L1"/>
    <mergeCell ref="Q1:T1"/>
    <mergeCell ref="U1:AA1"/>
  </mergeCells>
  <conditionalFormatting sqref="N4:N6">
    <cfRule type="cellIs" dxfId="69" priority="1" stopIfTrue="1" operator="equal">
      <formula>""</formula>
    </cfRule>
    <cfRule type="cellIs" dxfId="68" priority="2" operator="equal">
      <formula>"Too early"</formula>
    </cfRule>
    <cfRule type="cellIs" dxfId="67" priority="3" operator="lessThanOrEqual">
      <formula>0.7</formula>
    </cfRule>
    <cfRule type="cellIs" dxfId="66" priority="4" operator="between">
      <formula>0.85</formula>
      <formula>0.7</formula>
    </cfRule>
    <cfRule type="cellIs" dxfId="6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RowHeight="15"/>
  <cols>
    <col min="1" max="1" width="19.42578125" customWidth="1"/>
  </cols>
  <sheetData>
    <row r="1" spans="1:15">
      <c r="A1" t="s">
        <v>15</v>
      </c>
      <c r="B1" s="376">
        <v>3</v>
      </c>
      <c r="C1" s="376">
        <v>2</v>
      </c>
      <c r="D1" s="376">
        <v>1</v>
      </c>
      <c r="E1" s="376">
        <v>0</v>
      </c>
      <c r="K1" s="375"/>
      <c r="L1" s="544" t="s">
        <v>15</v>
      </c>
      <c r="M1" s="545"/>
      <c r="N1" s="545"/>
      <c r="O1" s="545"/>
    </row>
    <row r="2" spans="1:15" ht="57.75">
      <c r="A2" t="s">
        <v>149</v>
      </c>
      <c r="B2" s="303">
        <v>45880</v>
      </c>
      <c r="C2" s="303">
        <v>45887</v>
      </c>
      <c r="D2" s="303">
        <v>45894</v>
      </c>
      <c r="E2" s="303">
        <v>45901</v>
      </c>
      <c r="F2" s="266" t="s">
        <v>127</v>
      </c>
      <c r="K2" s="28" t="s">
        <v>129</v>
      </c>
      <c r="L2" s="27" t="s">
        <v>64</v>
      </c>
      <c r="M2" s="27" t="s">
        <v>59</v>
      </c>
      <c r="N2" s="27" t="s">
        <v>54</v>
      </c>
      <c r="O2" s="27" t="s">
        <v>134</v>
      </c>
    </row>
    <row r="3" spans="1:15">
      <c r="A3" s="303" t="s">
        <v>150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8"/>
      <c r="L3" s="26"/>
      <c r="M3" s="26"/>
      <c r="N3" s="26"/>
      <c r="O3" s="26"/>
    </row>
    <row r="4" spans="1:15">
      <c r="A4" s="303" t="s">
        <v>151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8">
        <v>0</v>
      </c>
      <c r="L4" s="377">
        <v>1</v>
      </c>
      <c r="M4" s="377">
        <v>1</v>
      </c>
      <c r="N4" s="377">
        <v>1</v>
      </c>
      <c r="O4" s="377">
        <v>1</v>
      </c>
    </row>
    <row r="5" spans="1:15">
      <c r="A5" s="303" t="s">
        <v>133</v>
      </c>
      <c r="B5" s="376">
        <f>$F$5*$G$5*N7</f>
        <v>431.61300000000006</v>
      </c>
      <c r="C5" s="376">
        <f>$F$5*$G$5*N6</f>
        <v>509.08200000000005</v>
      </c>
      <c r="D5" s="376">
        <f>$F$5*$G$5*N5</f>
        <v>652.95299999999997</v>
      </c>
      <c r="E5" s="376">
        <f>$F$5*$G$5*N4</f>
        <v>1106.7</v>
      </c>
      <c r="F5">
        <v>1302</v>
      </c>
      <c r="G5" s="127">
        <v>0.85</v>
      </c>
      <c r="K5" s="375">
        <v>1</v>
      </c>
      <c r="L5" s="377">
        <v>0.59</v>
      </c>
      <c r="M5" s="377">
        <v>0.59</v>
      </c>
      <c r="N5" s="377">
        <v>0.59</v>
      </c>
      <c r="O5" s="377">
        <v>0.59</v>
      </c>
    </row>
    <row r="6" spans="1:15">
      <c r="A6" s="303"/>
      <c r="K6" s="375">
        <v>2</v>
      </c>
      <c r="L6" s="378">
        <v>0.46</v>
      </c>
      <c r="M6" s="378">
        <v>0.46</v>
      </c>
      <c r="N6" s="378">
        <v>0.46</v>
      </c>
      <c r="O6" s="378">
        <v>0.46</v>
      </c>
    </row>
    <row r="7" spans="1:15">
      <c r="A7" s="303"/>
      <c r="K7" s="375">
        <v>3</v>
      </c>
      <c r="L7" s="377">
        <v>0.39</v>
      </c>
      <c r="M7" s="377">
        <v>0.39</v>
      </c>
      <c r="N7" s="377">
        <v>0.39</v>
      </c>
      <c r="O7" s="377">
        <v>0.39</v>
      </c>
    </row>
    <row r="8" spans="1:15">
      <c r="A8" s="303"/>
      <c r="K8" s="28">
        <v>4</v>
      </c>
      <c r="L8" s="377">
        <v>0.33</v>
      </c>
      <c r="M8" s="377">
        <v>0.33</v>
      </c>
      <c r="N8" s="377">
        <v>0.33</v>
      </c>
      <c r="O8" s="377">
        <v>0.33</v>
      </c>
    </row>
    <row r="9" spans="1:15">
      <c r="A9" s="303"/>
      <c r="K9" s="26">
        <v>5</v>
      </c>
      <c r="L9" s="377">
        <v>0.3</v>
      </c>
      <c r="M9" s="377">
        <v>0.3</v>
      </c>
      <c r="N9" s="377">
        <v>0.3</v>
      </c>
      <c r="O9" s="377">
        <v>0.3</v>
      </c>
    </row>
    <row r="10" spans="1:15">
      <c r="K10" s="26">
        <v>6</v>
      </c>
      <c r="L10" s="377">
        <v>0.27</v>
      </c>
      <c r="M10" s="377">
        <v>0.27</v>
      </c>
      <c r="N10" s="377">
        <v>0.27</v>
      </c>
      <c r="O10" s="377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1"/>
  <sheetViews>
    <sheetView workbookViewId="0">
      <selection activeCell="H7" sqref="H7"/>
    </sheetView>
  </sheetViews>
  <sheetFormatPr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41" t="s">
        <v>123</v>
      </c>
      <c r="E1" s="541"/>
      <c r="F1" s="541"/>
      <c r="G1" s="541"/>
      <c r="H1" s="541"/>
      <c r="I1" s="541"/>
      <c r="J1" s="541"/>
      <c r="K1" s="541"/>
      <c r="L1" s="541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2" t="s">
        <v>124</v>
      </c>
      <c r="R2" s="542"/>
      <c r="S2" s="542"/>
      <c r="T2" s="542"/>
      <c r="U2" s="543" t="s">
        <v>125</v>
      </c>
      <c r="V2" s="543"/>
      <c r="W2" s="543"/>
      <c r="X2" s="543"/>
      <c r="Y2" s="543"/>
      <c r="Z2" s="543"/>
      <c r="AA2" s="543"/>
    </row>
    <row r="3" spans="1:27" ht="57.75">
      <c r="A3" t="s">
        <v>152</v>
      </c>
      <c r="B3" s="303">
        <v>45887</v>
      </c>
      <c r="C3" s="303">
        <v>45894</v>
      </c>
      <c r="D3" s="303">
        <v>45901</v>
      </c>
      <c r="E3" s="303">
        <v>45908</v>
      </c>
      <c r="F3" s="303">
        <v>45915</v>
      </c>
      <c r="G3" s="303">
        <v>45922</v>
      </c>
      <c r="H3" s="303">
        <v>45929</v>
      </c>
      <c r="I3" s="303">
        <v>45936</v>
      </c>
      <c r="J3" s="303">
        <v>45943</v>
      </c>
      <c r="K3" s="303">
        <v>45950</v>
      </c>
      <c r="L3" s="303">
        <v>45957</v>
      </c>
      <c r="M3" s="266" t="s">
        <v>127</v>
      </c>
      <c r="N3" s="266" t="s">
        <v>128</v>
      </c>
      <c r="P3" s="28" t="s">
        <v>129</v>
      </c>
      <c r="Q3" s="397">
        <v>10</v>
      </c>
      <c r="R3" s="397">
        <v>9</v>
      </c>
      <c r="S3" s="397">
        <v>8</v>
      </c>
      <c r="T3" s="397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>
      <c r="A4" s="303" t="s">
        <v>153</v>
      </c>
      <c r="B4" s="384">
        <v>87</v>
      </c>
      <c r="C4" s="384">
        <v>93</v>
      </c>
      <c r="D4">
        <v>102</v>
      </c>
      <c r="E4">
        <v>106</v>
      </c>
      <c r="F4">
        <v>111</v>
      </c>
      <c r="G4">
        <v>124</v>
      </c>
      <c r="H4">
        <v>144</v>
      </c>
      <c r="M4">
        <f>'Performances by Week'!AF26-'Performances by Week'!AB26</f>
        <v>1091</v>
      </c>
      <c r="N4" s="30">
        <f>'Performances by Week'!O26</f>
        <v>0.54317071623421931</v>
      </c>
      <c r="P4" s="27" t="s">
        <v>64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154</v>
      </c>
      <c r="B5" s="384">
        <v>192</v>
      </c>
      <c r="C5" s="384">
        <v>209</v>
      </c>
      <c r="D5">
        <v>256</v>
      </c>
      <c r="E5">
        <v>310</v>
      </c>
      <c r="F5">
        <v>340</v>
      </c>
      <c r="G5">
        <v>382</v>
      </c>
      <c r="H5">
        <v>446</v>
      </c>
      <c r="M5">
        <f>'Performances by Week'!AF27-'Performances by Week'!AB27</f>
        <v>875</v>
      </c>
      <c r="N5" s="30">
        <f>'Performances by Week'!O27</f>
        <v>1</v>
      </c>
      <c r="P5" s="27" t="s">
        <v>59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155</v>
      </c>
      <c r="B6" s="384">
        <v>138</v>
      </c>
      <c r="C6" s="384">
        <v>165</v>
      </c>
      <c r="D6">
        <v>187</v>
      </c>
      <c r="E6">
        <v>219</v>
      </c>
      <c r="F6">
        <v>232</v>
      </c>
      <c r="G6">
        <v>267</v>
      </c>
      <c r="H6">
        <v>309</v>
      </c>
      <c r="M6">
        <f>'Performances by Week'!AF28-'Performances by Week'!AB28</f>
        <v>872</v>
      </c>
      <c r="N6" s="30">
        <f>'Performances by Week'!O28</f>
        <v>1</v>
      </c>
      <c r="P6" s="27" t="s">
        <v>54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133</v>
      </c>
      <c r="B7" s="376">
        <f>$M$7*$M$10*Q4</f>
        <v>120.61499999999999</v>
      </c>
      <c r="C7" s="376">
        <f>$M$7*$M$10*R4</f>
        <v>144.738</v>
      </c>
      <c r="D7" s="376">
        <f>$M$7*$M$10*S4</f>
        <v>168.86099999999999</v>
      </c>
      <c r="E7" s="376">
        <f>$M$7*$M$10*T4</f>
        <v>192.98400000000001</v>
      </c>
      <c r="F7" s="376">
        <f>$M$7*$M$10*U4</f>
        <v>217.10700000000003</v>
      </c>
      <c r="G7" s="376">
        <f>$M$7*$M$10*V4</f>
        <v>241.23</v>
      </c>
      <c r="H7" s="376">
        <f>$M$7*$M$10*W4</f>
        <v>265.35300000000001</v>
      </c>
      <c r="I7" s="376">
        <f>$M$7*$M$10*X4</f>
        <v>313.59900000000005</v>
      </c>
      <c r="J7" s="376">
        <f>$M$7*$M$10*Y4</f>
        <v>369.88600000000002</v>
      </c>
      <c r="K7" s="376">
        <f>$M$7*$M$10*Z4</f>
        <v>474.41899999999998</v>
      </c>
      <c r="L7" s="376">
        <f>$M$7*$M$10*AA4</f>
        <v>804.1</v>
      </c>
      <c r="M7" s="376">
        <f>AVERAGE(M4:M6)</f>
        <v>946</v>
      </c>
      <c r="P7" s="27" t="s">
        <v>134</v>
      </c>
      <c r="Q7" s="398">
        <v>0.15</v>
      </c>
      <c r="R7" s="398">
        <v>0.18</v>
      </c>
      <c r="S7" s="398">
        <v>0.21</v>
      </c>
      <c r="T7" s="398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>
      <c r="A8" s="303" t="s">
        <v>135</v>
      </c>
      <c r="B8" s="376">
        <f t="shared" ref="B8:D8" si="0">IF(B4&gt;0,AVERAGE(B4:B6)-B7,"TBD")</f>
        <v>18.385000000000005</v>
      </c>
      <c r="C8" s="376">
        <f t="shared" si="0"/>
        <v>10.928666666666658</v>
      </c>
      <c r="D8" s="376">
        <f t="shared" si="0"/>
        <v>12.805666666666667</v>
      </c>
      <c r="E8" s="376">
        <f>IF(E4&gt;0,AVERAGE(E4:E6)-E7,"TBD")</f>
        <v>18.682666666666648</v>
      </c>
      <c r="F8" s="376">
        <f t="shared" ref="F8:L8" si="1">IF(F4&gt;0,AVERAGE(F4:F6)-F7,"TBD")</f>
        <v>10.559666666666629</v>
      </c>
      <c r="G8" s="376">
        <f t="shared" si="1"/>
        <v>16.436666666666696</v>
      </c>
      <c r="H8" s="376">
        <f t="shared" si="1"/>
        <v>34.313666666666677</v>
      </c>
      <c r="I8" s="376" t="str">
        <f t="shared" si="1"/>
        <v>TBD</v>
      </c>
      <c r="J8" s="376" t="str">
        <f t="shared" si="1"/>
        <v>TBD</v>
      </c>
      <c r="K8" s="376" t="str">
        <f t="shared" si="1"/>
        <v>TBD</v>
      </c>
      <c r="L8" s="376" t="str">
        <f t="shared" si="1"/>
        <v>TBD</v>
      </c>
      <c r="P8" s="375"/>
      <c r="Q8" s="377"/>
      <c r="R8" s="377"/>
      <c r="S8" s="377"/>
      <c r="T8" s="377"/>
    </row>
    <row r="9" spans="1:27">
      <c r="A9" s="303"/>
      <c r="B9" s="303"/>
      <c r="C9" s="303"/>
      <c r="M9" t="s">
        <v>136</v>
      </c>
      <c r="P9" s="28"/>
      <c r="Q9" s="377"/>
      <c r="R9" s="377"/>
      <c r="S9" s="377"/>
      <c r="T9" s="377"/>
    </row>
    <row r="10" spans="1:27">
      <c r="A10" s="303"/>
      <c r="B10" s="303"/>
      <c r="C10" s="303"/>
      <c r="M10" s="127">
        <v>0.85</v>
      </c>
      <c r="P10" s="26"/>
      <c r="Q10" s="377"/>
      <c r="R10" s="377"/>
      <c r="S10" s="377"/>
      <c r="T10" s="377"/>
    </row>
    <row r="11" spans="1:27">
      <c r="A11" s="303"/>
      <c r="B11" s="303"/>
      <c r="C11" s="303"/>
      <c r="P11" s="26"/>
      <c r="Q11" s="377"/>
      <c r="R11" s="377"/>
      <c r="S11" s="377"/>
      <c r="T11" s="377"/>
    </row>
  </sheetData>
  <mergeCells count="3">
    <mergeCell ref="D1:L1"/>
    <mergeCell ref="Q2:T2"/>
    <mergeCell ref="U2:AA2"/>
  </mergeCells>
  <conditionalFormatting sqref="N4:N6">
    <cfRule type="cellIs" dxfId="64" priority="1" stopIfTrue="1" operator="equal">
      <formula>""</formula>
    </cfRule>
    <cfRule type="cellIs" dxfId="63" priority="2" operator="equal">
      <formula>"Too early"</formula>
    </cfRule>
    <cfRule type="cellIs" dxfId="62" priority="3" operator="lessThanOrEqual">
      <formula>0.7</formula>
    </cfRule>
    <cfRule type="cellIs" dxfId="61" priority="4" operator="between">
      <formula>0.85</formula>
      <formula>0.7</formula>
    </cfRule>
    <cfRule type="cellIs" dxfId="6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1"/>
  <sheetViews>
    <sheetView workbookViewId="0">
      <selection activeCell="E7" sqref="E7"/>
    </sheetView>
  </sheetViews>
  <sheetFormatPr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41" t="s">
        <v>123</v>
      </c>
      <c r="E1" s="541"/>
      <c r="F1" s="541"/>
      <c r="G1" s="541"/>
      <c r="H1" s="541"/>
      <c r="I1" s="541"/>
      <c r="J1" s="541"/>
      <c r="K1" s="541"/>
      <c r="L1" s="541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2" t="s">
        <v>124</v>
      </c>
      <c r="R2" s="542"/>
      <c r="S2" s="542"/>
      <c r="T2" s="542"/>
      <c r="U2" s="543" t="s">
        <v>125</v>
      </c>
      <c r="V2" s="543"/>
      <c r="W2" s="543"/>
      <c r="X2" s="543"/>
      <c r="Y2" s="543"/>
      <c r="Z2" s="543"/>
      <c r="AA2" s="543"/>
    </row>
    <row r="3" spans="1:27" ht="57.75">
      <c r="A3" t="s">
        <v>156</v>
      </c>
      <c r="B3" s="303">
        <v>45908</v>
      </c>
      <c r="C3" s="303">
        <v>45915</v>
      </c>
      <c r="D3" s="303">
        <v>45922</v>
      </c>
      <c r="E3" s="303">
        <v>45929</v>
      </c>
      <c r="F3" s="303">
        <v>45936</v>
      </c>
      <c r="G3" s="303">
        <v>45943</v>
      </c>
      <c r="H3" s="303">
        <v>45950</v>
      </c>
      <c r="I3" s="303">
        <v>45957</v>
      </c>
      <c r="J3" s="303">
        <v>45964</v>
      </c>
      <c r="K3" s="303">
        <v>45971</v>
      </c>
      <c r="L3" s="303">
        <v>45978</v>
      </c>
      <c r="M3" s="266" t="s">
        <v>127</v>
      </c>
      <c r="N3" s="266" t="s">
        <v>128</v>
      </c>
      <c r="P3" s="28" t="s">
        <v>129</v>
      </c>
      <c r="Q3" s="397">
        <v>10</v>
      </c>
      <c r="R3" s="397">
        <v>9</v>
      </c>
      <c r="S3" s="397">
        <v>8</v>
      </c>
      <c r="T3" s="397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>
      <c r="A4" s="303" t="s">
        <v>157</v>
      </c>
      <c r="B4" s="384">
        <v>55</v>
      </c>
      <c r="C4" s="384">
        <v>60</v>
      </c>
      <c r="D4">
        <v>66</v>
      </c>
      <c r="E4">
        <v>75</v>
      </c>
      <c r="M4">
        <f>'Performances by Week'!AF31-'Performances by Week'!AB31</f>
        <v>1223</v>
      </c>
      <c r="N4" s="30">
        <f>'Performances by Week'!O31</f>
        <v>0.42735849056603775</v>
      </c>
      <c r="P4" s="27" t="s">
        <v>64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158</v>
      </c>
      <c r="B5" s="384">
        <v>95</v>
      </c>
      <c r="C5" s="384">
        <v>110</v>
      </c>
      <c r="D5">
        <v>114</v>
      </c>
      <c r="E5">
        <v>143</v>
      </c>
      <c r="M5">
        <f>'Performances by Week'!AF32-'Performances by Week'!AB32</f>
        <v>1007</v>
      </c>
      <c r="N5" s="30">
        <f>'Performances by Week'!O32</f>
        <v>0.74140461215932929</v>
      </c>
      <c r="P5" s="27" t="s">
        <v>59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159</v>
      </c>
      <c r="B6" s="384">
        <v>75</v>
      </c>
      <c r="C6" s="384">
        <v>81</v>
      </c>
      <c r="D6">
        <v>83</v>
      </c>
      <c r="E6">
        <v>93</v>
      </c>
      <c r="M6">
        <f>'Performances by Week'!AF33-'Performances by Week'!AB33</f>
        <v>968</v>
      </c>
      <c r="N6" s="30">
        <f>'Performances by Week'!O33</f>
        <v>0.63490566037735852</v>
      </c>
      <c r="P6" s="27" t="s">
        <v>54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133</v>
      </c>
      <c r="B7" s="376">
        <f>$M$7*$M$10*Q4</f>
        <v>135.91499999999999</v>
      </c>
      <c r="C7" s="376">
        <f>$M$7*$M$10*R4</f>
        <v>163.09799999999998</v>
      </c>
      <c r="D7" s="376">
        <f>$M$7*$M$10*S4</f>
        <v>190.28100000000001</v>
      </c>
      <c r="E7" s="376">
        <f>$M$7*$M$10*T4</f>
        <v>217.464</v>
      </c>
      <c r="F7" s="376">
        <f>$M$7*$M$10*U4</f>
        <v>244.64700000000002</v>
      </c>
      <c r="G7" s="376">
        <f>$M$7*$M$10*V4</f>
        <v>271.83</v>
      </c>
      <c r="H7" s="376">
        <f>$M$7*$M$10*W4</f>
        <v>299.01300000000003</v>
      </c>
      <c r="I7" s="376">
        <f>$M$7*$M$10*X4</f>
        <v>353.37900000000002</v>
      </c>
      <c r="J7" s="376">
        <f>$M$7*$M$10*Y4</f>
        <v>416.80600000000004</v>
      </c>
      <c r="K7" s="376">
        <f>$M$7*$M$10*Z4</f>
        <v>534.59899999999993</v>
      </c>
      <c r="L7" s="376">
        <f>$M$7*$M$10*AA4</f>
        <v>906.1</v>
      </c>
      <c r="M7" s="376">
        <f>AVERAGE(M4:M6)</f>
        <v>1066</v>
      </c>
      <c r="P7" s="27" t="s">
        <v>134</v>
      </c>
      <c r="Q7" s="398">
        <v>0.15</v>
      </c>
      <c r="R7" s="398">
        <v>0.18</v>
      </c>
      <c r="S7" s="398">
        <v>0.21</v>
      </c>
      <c r="T7" s="398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>
      <c r="A8" s="303" t="s">
        <v>135</v>
      </c>
      <c r="B8" s="376">
        <f t="shared" ref="B8:D8" si="0">IF(B4&gt;0,AVERAGE(B4:B6)-B7,"TBD")</f>
        <v>-60.914999999999992</v>
      </c>
      <c r="C8" s="376">
        <f t="shared" si="0"/>
        <v>-79.431333333333313</v>
      </c>
      <c r="D8" s="376">
        <f t="shared" si="0"/>
        <v>-102.61433333333333</v>
      </c>
      <c r="E8" s="376">
        <f>IF(E4&gt;0,AVERAGE(E4:E6)-E7,"TBD")</f>
        <v>-113.79733333333333</v>
      </c>
      <c r="F8" s="376" t="str">
        <f t="shared" ref="F8:L8" si="1">IF(F4&gt;0,AVERAGE(F4:F6)-F7,"TBD")</f>
        <v>TBD</v>
      </c>
      <c r="G8" s="376" t="str">
        <f t="shared" si="1"/>
        <v>TBD</v>
      </c>
      <c r="H8" s="376" t="str">
        <f t="shared" si="1"/>
        <v>TBD</v>
      </c>
      <c r="I8" s="376" t="str">
        <f t="shared" si="1"/>
        <v>TBD</v>
      </c>
      <c r="J8" s="376" t="str">
        <f t="shared" si="1"/>
        <v>TBD</v>
      </c>
      <c r="K8" s="376" t="str">
        <f t="shared" si="1"/>
        <v>TBD</v>
      </c>
      <c r="L8" s="376" t="str">
        <f t="shared" si="1"/>
        <v>TBD</v>
      </c>
      <c r="P8" s="375"/>
      <c r="Q8" s="377"/>
      <c r="R8" s="377"/>
      <c r="S8" s="377"/>
      <c r="T8" s="377"/>
    </row>
    <row r="9" spans="1:27">
      <c r="A9" s="303"/>
      <c r="B9" s="303"/>
      <c r="C9" s="303"/>
      <c r="M9" t="s">
        <v>136</v>
      </c>
      <c r="P9" s="28"/>
      <c r="Q9" s="377"/>
      <c r="R9" s="377"/>
      <c r="S9" s="377"/>
      <c r="T9" s="377"/>
    </row>
    <row r="10" spans="1:27">
      <c r="A10" s="303"/>
      <c r="B10" s="303"/>
      <c r="C10" s="303"/>
      <c r="M10" s="127">
        <v>0.85</v>
      </c>
      <c r="P10" s="26"/>
      <c r="Q10" s="377"/>
      <c r="R10" s="377"/>
      <c r="S10" s="377"/>
      <c r="T10" s="377"/>
    </row>
    <row r="11" spans="1:27">
      <c r="A11" s="303"/>
      <c r="B11" s="303"/>
      <c r="C11" s="303"/>
      <c r="P11" s="26"/>
      <c r="Q11" s="377"/>
      <c r="R11" s="377"/>
      <c r="S11" s="377"/>
      <c r="T11" s="377"/>
    </row>
  </sheetData>
  <mergeCells count="3">
    <mergeCell ref="D1:L1"/>
    <mergeCell ref="Q2:T2"/>
    <mergeCell ref="U2:AA2"/>
  </mergeCells>
  <conditionalFormatting sqref="N4:N6">
    <cfRule type="cellIs" dxfId="59" priority="1" stopIfTrue="1" operator="equal">
      <formula>""</formula>
    </cfRule>
    <cfRule type="cellIs" dxfId="58" priority="2" operator="equal">
      <formula>"Too early"</formula>
    </cfRule>
    <cfRule type="cellIs" dxfId="57" priority="3" operator="lessThanOrEqual">
      <formula>0.7</formula>
    </cfRule>
    <cfRule type="cellIs" dxfId="56" priority="4" operator="between">
      <formula>0.85</formula>
      <formula>0.7</formula>
    </cfRule>
    <cfRule type="cellIs" dxfId="5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48"/>
  <sheetViews>
    <sheetView workbookViewId="0">
      <selection activeCell="D8" sqref="D8"/>
    </sheetView>
  </sheetViews>
  <sheetFormatPr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41" t="s">
        <v>123</v>
      </c>
      <c r="E1" s="541"/>
      <c r="F1" s="541"/>
      <c r="G1" s="541"/>
      <c r="H1" s="541"/>
      <c r="I1" s="541"/>
      <c r="J1" s="541"/>
      <c r="K1" s="541"/>
      <c r="L1" s="541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2" t="s">
        <v>124</v>
      </c>
      <c r="R2" s="542"/>
      <c r="S2" s="542"/>
      <c r="T2" s="542"/>
      <c r="U2" s="543" t="s">
        <v>125</v>
      </c>
      <c r="V2" s="543"/>
      <c r="W2" s="543"/>
      <c r="X2" s="543"/>
      <c r="Y2" s="543"/>
      <c r="Z2" s="543"/>
      <c r="AA2" s="543"/>
    </row>
    <row r="3" spans="1:27" ht="57.75">
      <c r="A3" t="s">
        <v>160</v>
      </c>
      <c r="B3" s="303">
        <v>45915</v>
      </c>
      <c r="C3" s="303">
        <v>45922</v>
      </c>
      <c r="D3" s="303">
        <v>45929</v>
      </c>
      <c r="E3" s="303">
        <v>45936</v>
      </c>
      <c r="F3" s="303">
        <v>45943</v>
      </c>
      <c r="G3" s="303">
        <v>45950</v>
      </c>
      <c r="H3" s="303">
        <v>45957</v>
      </c>
      <c r="I3" s="303">
        <v>45964</v>
      </c>
      <c r="J3" s="303">
        <v>45971</v>
      </c>
      <c r="K3" s="303">
        <v>45978</v>
      </c>
      <c r="L3" s="303">
        <v>45985</v>
      </c>
      <c r="M3" s="266" t="s">
        <v>127</v>
      </c>
      <c r="N3" s="266" t="s">
        <v>128</v>
      </c>
      <c r="P3" s="28" t="s">
        <v>129</v>
      </c>
      <c r="Q3" s="397">
        <v>10</v>
      </c>
      <c r="R3" s="397">
        <v>9</v>
      </c>
      <c r="S3" s="397">
        <v>8</v>
      </c>
      <c r="T3" s="397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>
      <c r="A4" s="303" t="s">
        <v>161</v>
      </c>
      <c r="B4" s="415">
        <v>306</v>
      </c>
      <c r="C4" s="415">
        <v>323</v>
      </c>
      <c r="D4" s="416">
        <v>339</v>
      </c>
      <c r="E4" s="416"/>
      <c r="F4" s="416"/>
      <c r="G4" s="416"/>
      <c r="H4" s="416"/>
      <c r="I4" s="416"/>
      <c r="J4" s="416"/>
      <c r="K4" s="416"/>
      <c r="L4" s="416"/>
      <c r="M4">
        <f>'Performances by Week'!AF34-'Performances by Week'!AB34</f>
        <v>1302</v>
      </c>
      <c r="N4" s="30">
        <f>'Performances by Week'!O34</f>
        <v>1</v>
      </c>
      <c r="P4" s="27" t="s">
        <v>64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162</v>
      </c>
      <c r="B5" s="415">
        <v>370</v>
      </c>
      <c r="C5" s="415">
        <v>374</v>
      </c>
      <c r="D5" s="416">
        <v>414</v>
      </c>
      <c r="E5" s="416"/>
      <c r="F5" s="416"/>
      <c r="G5" s="416"/>
      <c r="H5" s="416"/>
      <c r="I5" s="416"/>
      <c r="J5" s="416"/>
      <c r="K5" s="416"/>
      <c r="L5" s="416"/>
      <c r="M5">
        <f>'Performances by Week'!AF35-'Performances by Week'!AB35</f>
        <v>1302</v>
      </c>
      <c r="N5" s="30">
        <f>'Performances by Week'!O35</f>
        <v>1</v>
      </c>
      <c r="P5" s="27" t="s">
        <v>59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163</v>
      </c>
      <c r="B6" s="415">
        <v>283</v>
      </c>
      <c r="C6" s="415">
        <v>303</v>
      </c>
      <c r="D6" s="416">
        <v>329</v>
      </c>
      <c r="E6" s="416"/>
      <c r="F6" s="416"/>
      <c r="G6" s="416"/>
      <c r="H6" s="416"/>
      <c r="I6" s="416"/>
      <c r="J6" s="416"/>
      <c r="K6" s="416"/>
      <c r="L6" s="416"/>
      <c r="M6">
        <f>'Performances by Week'!AF36-'Performances by Week'!AB36</f>
        <v>1302</v>
      </c>
      <c r="N6" s="30">
        <f>'Performances by Week'!O36</f>
        <v>1</v>
      </c>
      <c r="P6" s="27" t="s">
        <v>54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164</v>
      </c>
      <c r="B7" s="415">
        <v>483</v>
      </c>
      <c r="C7" s="415">
        <v>514</v>
      </c>
      <c r="D7" s="416">
        <v>542</v>
      </c>
      <c r="E7" s="416"/>
      <c r="F7" s="416"/>
      <c r="G7" s="416"/>
      <c r="H7" s="416"/>
      <c r="I7" s="416"/>
      <c r="J7" s="416"/>
      <c r="K7" s="416"/>
      <c r="L7" s="416"/>
      <c r="M7">
        <f>'Performances by Week'!AF37-'Performances by Week'!AB37</f>
        <v>1302</v>
      </c>
      <c r="N7" s="30">
        <f>'Performances by Week'!O37</f>
        <v>1</v>
      </c>
      <c r="P7" s="27" t="s">
        <v>134</v>
      </c>
      <c r="Q7" s="398">
        <v>0.15</v>
      </c>
      <c r="R7" s="398">
        <v>0.18</v>
      </c>
      <c r="S7" s="398">
        <v>0.21</v>
      </c>
      <c r="T7" s="398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>
      <c r="A8" s="303" t="s">
        <v>133</v>
      </c>
      <c r="B8" s="376">
        <f t="shared" ref="B8:K8" si="0">$M$8*$M$13*Q6</f>
        <v>166.005</v>
      </c>
      <c r="C8" s="376">
        <f t="shared" si="0"/>
        <v>199.20599999999999</v>
      </c>
      <c r="D8" s="376">
        <f t="shared" si="0"/>
        <v>232.40700000000001</v>
      </c>
      <c r="E8" s="376">
        <f t="shared" si="0"/>
        <v>265.608</v>
      </c>
      <c r="F8" s="376">
        <f t="shared" si="0"/>
        <v>298.80900000000003</v>
      </c>
      <c r="G8" s="376">
        <f t="shared" si="0"/>
        <v>332.01</v>
      </c>
      <c r="H8" s="376">
        <f t="shared" si="0"/>
        <v>365.21100000000001</v>
      </c>
      <c r="I8" s="376">
        <f t="shared" si="0"/>
        <v>431.61300000000006</v>
      </c>
      <c r="J8" s="376">
        <f t="shared" si="0"/>
        <v>509.08200000000005</v>
      </c>
      <c r="K8" s="376">
        <f t="shared" si="0"/>
        <v>652.95299999999997</v>
      </c>
      <c r="L8" s="376">
        <f>$M$8*$M$13*AA6</f>
        <v>1106.7</v>
      </c>
      <c r="M8" s="376">
        <f>AVERAGE(M4:M7)</f>
        <v>1302</v>
      </c>
      <c r="P8" s="375"/>
      <c r="Q8" s="377"/>
      <c r="R8" s="377"/>
      <c r="S8" s="377"/>
      <c r="T8" s="377"/>
    </row>
    <row r="9" spans="1:27">
      <c r="A9" s="303" t="s">
        <v>165</v>
      </c>
      <c r="B9" s="414">
        <f>AVERAGE(B32:B35)</f>
        <v>480.5</v>
      </c>
      <c r="C9" s="414">
        <f t="shared" ref="C9:L9" si="1">AVERAGE(C32:C35)</f>
        <v>532.5</v>
      </c>
      <c r="D9" s="414">
        <f t="shared" si="1"/>
        <v>570.5</v>
      </c>
      <c r="E9" s="414">
        <f t="shared" si="1"/>
        <v>607.5</v>
      </c>
      <c r="F9" s="414">
        <f t="shared" si="1"/>
        <v>645.75</v>
      </c>
      <c r="G9" s="414">
        <f t="shared" si="1"/>
        <v>720</v>
      </c>
      <c r="H9" s="414">
        <f t="shared" si="1"/>
        <v>836.5</v>
      </c>
      <c r="I9" s="414">
        <f t="shared" si="1"/>
        <v>956.75</v>
      </c>
      <c r="J9" s="414">
        <f t="shared" si="1"/>
        <v>1099.75</v>
      </c>
      <c r="K9" s="414">
        <f t="shared" si="1"/>
        <v>1227.25</v>
      </c>
      <c r="L9" s="414">
        <f t="shared" si="1"/>
        <v>1293.25</v>
      </c>
      <c r="M9" s="376"/>
      <c r="P9" s="375"/>
      <c r="Q9" s="377"/>
      <c r="R9" s="377"/>
      <c r="S9" s="377"/>
      <c r="T9" s="377"/>
    </row>
    <row r="10" spans="1:27">
      <c r="A10" s="303" t="s">
        <v>166</v>
      </c>
      <c r="B10" s="376">
        <f>AVERAGE(B43:B44)</f>
        <v>943.5</v>
      </c>
      <c r="C10" s="376">
        <f t="shared" ref="C10:L10" si="2">AVERAGE(C43:C44)</f>
        <v>992.5</v>
      </c>
      <c r="D10" s="376">
        <f t="shared" si="2"/>
        <v>1056</v>
      </c>
      <c r="E10" s="376">
        <f t="shared" si="2"/>
        <v>1088</v>
      </c>
      <c r="F10" s="376">
        <f t="shared" si="2"/>
        <v>1158</v>
      </c>
      <c r="G10" s="376">
        <f t="shared" si="2"/>
        <v>1220</v>
      </c>
      <c r="H10" s="376">
        <f t="shared" si="2"/>
        <v>1242.5</v>
      </c>
      <c r="I10" s="376">
        <f t="shared" si="2"/>
        <v>1259.5</v>
      </c>
      <c r="J10" s="376">
        <f t="shared" si="2"/>
        <v>1266.5</v>
      </c>
      <c r="K10" s="376">
        <f t="shared" si="2"/>
        <v>1274.5</v>
      </c>
      <c r="L10" s="376">
        <f t="shared" si="2"/>
        <v>1288.5</v>
      </c>
      <c r="M10" s="376"/>
      <c r="P10" s="375"/>
      <c r="Q10" s="377"/>
      <c r="R10" s="377"/>
      <c r="S10" s="377"/>
      <c r="T10" s="377"/>
    </row>
    <row r="11" spans="1:27">
      <c r="A11" s="303" t="s">
        <v>167</v>
      </c>
      <c r="B11" s="376">
        <f>IF(B4&gt;0,AVERAGE(B4:B7)-B9,"TBD")</f>
        <v>-120</v>
      </c>
      <c r="C11" s="376">
        <f t="shared" ref="C11:L11" si="3">IF(C4&gt;0,AVERAGE(C4:C7)-C9,"TBD")</f>
        <v>-154</v>
      </c>
      <c r="D11" s="376">
        <f t="shared" si="3"/>
        <v>-164.5</v>
      </c>
      <c r="E11" s="376" t="str">
        <f t="shared" si="3"/>
        <v>TBD</v>
      </c>
      <c r="F11" s="376" t="str">
        <f t="shared" si="3"/>
        <v>TBD</v>
      </c>
      <c r="G11" s="376" t="str">
        <f t="shared" si="3"/>
        <v>TBD</v>
      </c>
      <c r="H11" s="376" t="str">
        <f t="shared" si="3"/>
        <v>TBD</v>
      </c>
      <c r="I11" s="376" t="str">
        <f t="shared" si="3"/>
        <v>TBD</v>
      </c>
      <c r="J11" s="376" t="str">
        <f t="shared" si="3"/>
        <v>TBD</v>
      </c>
      <c r="K11" s="376" t="str">
        <f t="shared" si="3"/>
        <v>TBD</v>
      </c>
      <c r="L11" s="376" t="str">
        <f t="shared" si="3"/>
        <v>TBD</v>
      </c>
      <c r="P11" s="28"/>
      <c r="Q11" s="377"/>
      <c r="R11" s="377"/>
      <c r="S11" s="377"/>
      <c r="T11" s="377"/>
    </row>
    <row r="12" spans="1:27">
      <c r="A12" s="303"/>
      <c r="B12" s="303"/>
      <c r="C12" s="303"/>
      <c r="M12" t="s">
        <v>136</v>
      </c>
      <c r="P12" s="26"/>
      <c r="Q12" s="377"/>
      <c r="R12" s="377"/>
      <c r="S12" s="377"/>
      <c r="T12" s="377"/>
    </row>
    <row r="13" spans="1:27">
      <c r="A13" s="303"/>
      <c r="B13" s="303"/>
      <c r="C13" s="303"/>
      <c r="M13" s="127">
        <v>0.85</v>
      </c>
      <c r="P13" s="26"/>
      <c r="Q13" s="377"/>
      <c r="R13" s="377"/>
      <c r="S13" s="377"/>
      <c r="T13" s="377"/>
    </row>
    <row r="14" spans="1:27">
      <c r="A14" s="303"/>
      <c r="B14" s="303"/>
      <c r="C14" s="303"/>
    </row>
    <row r="30" spans="1:14">
      <c r="A30" s="400" t="s">
        <v>15</v>
      </c>
      <c r="B30" s="400">
        <v>10</v>
      </c>
      <c r="C30" s="400">
        <v>9</v>
      </c>
      <c r="D30" s="400">
        <v>8</v>
      </c>
      <c r="E30" s="400">
        <v>7</v>
      </c>
      <c r="F30" s="400">
        <v>6</v>
      </c>
      <c r="G30" s="400">
        <v>5</v>
      </c>
      <c r="H30" s="400">
        <v>4</v>
      </c>
      <c r="I30" s="400">
        <v>3</v>
      </c>
      <c r="J30" s="400">
        <v>2</v>
      </c>
      <c r="K30" s="400">
        <v>1</v>
      </c>
      <c r="L30" s="400">
        <v>0</v>
      </c>
      <c r="M30" s="400"/>
      <c r="N30" s="401"/>
    </row>
    <row r="31" spans="1:14" ht="86.25">
      <c r="A31" s="402" t="s">
        <v>168</v>
      </c>
      <c r="B31" s="403">
        <v>45551</v>
      </c>
      <c r="C31" s="403">
        <v>45558</v>
      </c>
      <c r="D31" s="403">
        <v>45565</v>
      </c>
      <c r="E31" s="403">
        <v>45572</v>
      </c>
      <c r="F31" s="403">
        <v>45579</v>
      </c>
      <c r="G31" s="403">
        <v>45586</v>
      </c>
      <c r="H31" s="403">
        <v>45593</v>
      </c>
      <c r="I31" s="403">
        <v>45600</v>
      </c>
      <c r="J31" s="403">
        <v>45607</v>
      </c>
      <c r="K31" s="403">
        <v>45614</v>
      </c>
      <c r="L31" s="403">
        <v>45621</v>
      </c>
      <c r="M31" s="404" t="s">
        <v>127</v>
      </c>
      <c r="N31" s="405" t="s">
        <v>169</v>
      </c>
    </row>
    <row r="32" spans="1:14">
      <c r="A32" s="400" t="s">
        <v>170</v>
      </c>
      <c r="B32" s="406">
        <v>395</v>
      </c>
      <c r="C32" s="406">
        <v>422</v>
      </c>
      <c r="D32" s="406">
        <v>451</v>
      </c>
      <c r="E32" s="406">
        <v>488</v>
      </c>
      <c r="F32" s="406">
        <v>518</v>
      </c>
      <c r="G32" s="406">
        <v>591</v>
      </c>
      <c r="H32" s="406">
        <v>667</v>
      </c>
      <c r="I32" s="406">
        <v>754</v>
      </c>
      <c r="J32" s="406">
        <v>913</v>
      </c>
      <c r="K32" s="406">
        <v>1165</v>
      </c>
      <c r="L32" s="406">
        <v>1276</v>
      </c>
      <c r="M32" s="406">
        <v>1342</v>
      </c>
      <c r="N32" s="407">
        <v>0.96640000000000004</v>
      </c>
    </row>
    <row r="33" spans="1:14">
      <c r="A33" s="400" t="s">
        <v>171</v>
      </c>
      <c r="B33" s="406">
        <v>604</v>
      </c>
      <c r="C33" s="406">
        <v>669</v>
      </c>
      <c r="D33" s="406">
        <v>701</v>
      </c>
      <c r="E33" s="406">
        <v>735</v>
      </c>
      <c r="F33" s="406">
        <v>763</v>
      </c>
      <c r="G33" s="406">
        <v>832</v>
      </c>
      <c r="H33" s="406">
        <v>955</v>
      </c>
      <c r="I33" s="406">
        <v>1040</v>
      </c>
      <c r="J33" s="406">
        <v>1229</v>
      </c>
      <c r="K33" s="406">
        <v>1269</v>
      </c>
      <c r="L33" s="406">
        <v>1301</v>
      </c>
      <c r="M33" s="406">
        <v>1342</v>
      </c>
      <c r="N33" s="407">
        <v>0.98729999999999996</v>
      </c>
    </row>
    <row r="34" spans="1:14">
      <c r="A34" s="400" t="s">
        <v>172</v>
      </c>
      <c r="B34" s="406">
        <v>302</v>
      </c>
      <c r="C34" s="406">
        <v>353</v>
      </c>
      <c r="D34" s="406">
        <v>391</v>
      </c>
      <c r="E34" s="406">
        <v>422</v>
      </c>
      <c r="F34" s="406">
        <v>454</v>
      </c>
      <c r="G34" s="406">
        <v>500</v>
      </c>
      <c r="H34" s="406">
        <v>657</v>
      </c>
      <c r="I34" s="406">
        <v>813</v>
      </c>
      <c r="J34" s="406">
        <v>988</v>
      </c>
      <c r="K34" s="406">
        <v>1200</v>
      </c>
      <c r="L34" s="406">
        <v>1301</v>
      </c>
      <c r="M34" s="406">
        <v>1342</v>
      </c>
      <c r="N34" s="407">
        <v>0.98360000000000003</v>
      </c>
    </row>
    <row r="35" spans="1:14">
      <c r="A35" s="400" t="s">
        <v>173</v>
      </c>
      <c r="B35" s="406">
        <v>621</v>
      </c>
      <c r="C35" s="406">
        <v>686</v>
      </c>
      <c r="D35" s="406">
        <v>739</v>
      </c>
      <c r="E35" s="406">
        <v>785</v>
      </c>
      <c r="F35" s="406">
        <v>848</v>
      </c>
      <c r="G35" s="406">
        <v>957</v>
      </c>
      <c r="H35" s="406">
        <v>1067</v>
      </c>
      <c r="I35" s="406">
        <v>1220</v>
      </c>
      <c r="J35" s="406">
        <v>1269</v>
      </c>
      <c r="K35" s="406">
        <v>1275</v>
      </c>
      <c r="L35" s="406">
        <v>1295</v>
      </c>
      <c r="M35" s="406">
        <v>1342</v>
      </c>
      <c r="N35" s="407">
        <v>0.98129999999999995</v>
      </c>
    </row>
    <row r="36" spans="1:14">
      <c r="A36" s="400" t="s">
        <v>133</v>
      </c>
      <c r="B36" s="400"/>
      <c r="C36" s="400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1"/>
    </row>
    <row r="37" spans="1:14">
      <c r="A37" s="400" t="s">
        <v>135</v>
      </c>
      <c r="B37" s="400"/>
      <c r="C37" s="400"/>
      <c r="D37" s="400"/>
      <c r="E37" s="400"/>
      <c r="F37" s="400"/>
      <c r="G37" s="400"/>
      <c r="H37" s="400"/>
      <c r="I37" s="400"/>
      <c r="J37" s="400"/>
      <c r="K37" s="400"/>
      <c r="L37" s="400"/>
      <c r="M37" s="400"/>
      <c r="N37" s="401"/>
    </row>
    <row r="38" spans="1:14">
      <c r="A38" s="400"/>
      <c r="B38" s="400"/>
      <c r="C38" s="400"/>
      <c r="D38" s="400"/>
      <c r="E38" s="400"/>
      <c r="F38" s="400"/>
      <c r="G38" s="400"/>
      <c r="H38" s="400"/>
      <c r="I38" s="400"/>
      <c r="J38" s="400"/>
      <c r="K38" s="400"/>
      <c r="L38" s="400"/>
      <c r="M38" s="400" t="s">
        <v>136</v>
      </c>
      <c r="N38" s="401"/>
    </row>
    <row r="39" spans="1:14">
      <c r="A39" s="400"/>
      <c r="B39" s="400"/>
      <c r="C39" s="400"/>
      <c r="D39" s="400"/>
      <c r="E39" s="400"/>
      <c r="F39" s="400"/>
      <c r="G39" s="400"/>
      <c r="H39" s="400"/>
      <c r="I39" s="400"/>
      <c r="J39" s="400"/>
      <c r="K39" s="400"/>
      <c r="L39" s="400"/>
      <c r="M39" s="408">
        <v>0.85</v>
      </c>
      <c r="N39" s="401"/>
    </row>
    <row r="41" spans="1:14">
      <c r="A41" s="400" t="s">
        <v>15</v>
      </c>
      <c r="B41" s="400">
        <v>10</v>
      </c>
      <c r="C41" s="400">
        <v>9</v>
      </c>
      <c r="D41" s="400">
        <v>8</v>
      </c>
      <c r="E41" s="400">
        <v>7</v>
      </c>
      <c r="F41" s="400">
        <v>6</v>
      </c>
      <c r="G41" s="400">
        <v>5</v>
      </c>
      <c r="H41" s="400">
        <v>4</v>
      </c>
      <c r="I41" s="400">
        <v>3</v>
      </c>
      <c r="J41" s="400">
        <v>2</v>
      </c>
      <c r="K41" s="400">
        <v>1</v>
      </c>
      <c r="L41" s="400">
        <v>0</v>
      </c>
      <c r="M41" s="400"/>
      <c r="N41" s="409"/>
    </row>
    <row r="42" spans="1:14" ht="86.25">
      <c r="A42" s="402" t="s">
        <v>174</v>
      </c>
      <c r="B42" s="403">
        <v>45194</v>
      </c>
      <c r="C42" s="403">
        <v>45201</v>
      </c>
      <c r="D42" s="403">
        <v>45208</v>
      </c>
      <c r="E42" s="403">
        <v>45215</v>
      </c>
      <c r="F42" s="403">
        <v>45222</v>
      </c>
      <c r="G42" s="403">
        <v>45229</v>
      </c>
      <c r="H42" s="403">
        <v>45236</v>
      </c>
      <c r="I42" s="403">
        <v>45243</v>
      </c>
      <c r="J42" s="403">
        <v>45250</v>
      </c>
      <c r="K42" s="403">
        <v>45988</v>
      </c>
      <c r="L42" s="403">
        <v>45995</v>
      </c>
      <c r="M42" s="404" t="s">
        <v>127</v>
      </c>
      <c r="N42" s="410" t="s">
        <v>169</v>
      </c>
    </row>
    <row r="43" spans="1:14">
      <c r="A43" s="400" t="s">
        <v>175</v>
      </c>
      <c r="B43" s="406">
        <v>844</v>
      </c>
      <c r="C43" s="406">
        <v>894</v>
      </c>
      <c r="D43" s="406">
        <v>980</v>
      </c>
      <c r="E43" s="406">
        <v>1010</v>
      </c>
      <c r="F43" s="406">
        <v>1104</v>
      </c>
      <c r="G43" s="406">
        <v>1218</v>
      </c>
      <c r="H43" s="406">
        <v>1244</v>
      </c>
      <c r="I43" s="406">
        <v>1264</v>
      </c>
      <c r="J43" s="406">
        <v>1268</v>
      </c>
      <c r="K43" s="406">
        <v>1279</v>
      </c>
      <c r="L43" s="406">
        <v>1289</v>
      </c>
      <c r="M43" s="411">
        <v>1334</v>
      </c>
      <c r="N43" s="412">
        <v>0.99619999999999997</v>
      </c>
    </row>
    <row r="44" spans="1:14">
      <c r="A44" s="400" t="s">
        <v>176</v>
      </c>
      <c r="B44" s="406">
        <v>1043</v>
      </c>
      <c r="C44" s="406">
        <v>1091</v>
      </c>
      <c r="D44" s="406">
        <v>1132</v>
      </c>
      <c r="E44" s="406">
        <v>1166</v>
      </c>
      <c r="F44" s="406">
        <v>1212</v>
      </c>
      <c r="G44" s="406">
        <v>1222</v>
      </c>
      <c r="H44" s="406">
        <v>1241</v>
      </c>
      <c r="I44" s="406">
        <v>1255</v>
      </c>
      <c r="J44" s="406">
        <v>1265</v>
      </c>
      <c r="K44" s="406">
        <v>1270</v>
      </c>
      <c r="L44" s="406">
        <v>1288</v>
      </c>
      <c r="M44" s="406">
        <v>1334</v>
      </c>
      <c r="N44" s="407">
        <v>0.97899999999999998</v>
      </c>
    </row>
    <row r="45" spans="1:14">
      <c r="A45" s="400" t="s">
        <v>133</v>
      </c>
      <c r="B45" s="400"/>
      <c r="C45" s="400"/>
      <c r="D45" s="400"/>
      <c r="E45" s="400"/>
      <c r="F45" s="400"/>
      <c r="G45" s="400"/>
      <c r="H45" s="400"/>
      <c r="I45" s="400"/>
      <c r="J45" s="400"/>
      <c r="K45" s="400"/>
      <c r="L45" s="400"/>
      <c r="M45" s="400"/>
      <c r="N45" s="409"/>
    </row>
    <row r="46" spans="1:14">
      <c r="A46" s="400" t="s">
        <v>135</v>
      </c>
      <c r="B46" s="400"/>
      <c r="C46" s="400"/>
      <c r="D46" s="400"/>
      <c r="E46" s="400"/>
      <c r="F46" s="400"/>
      <c r="G46" s="400"/>
      <c r="H46" s="400"/>
      <c r="I46" s="400"/>
      <c r="J46" s="400"/>
      <c r="K46" s="400"/>
      <c r="L46" s="400"/>
      <c r="M46" s="400"/>
      <c r="N46" s="409"/>
    </row>
    <row r="47" spans="1:14">
      <c r="A47" s="400"/>
      <c r="B47" s="400"/>
      <c r="C47" s="400"/>
      <c r="D47" s="400"/>
      <c r="E47" s="400"/>
      <c r="F47" s="400"/>
      <c r="G47" s="400"/>
      <c r="H47" s="400"/>
      <c r="I47" s="400"/>
      <c r="J47" s="400"/>
      <c r="K47" s="400"/>
      <c r="L47" s="400"/>
      <c r="M47" s="400" t="s">
        <v>136</v>
      </c>
      <c r="N47" s="409"/>
    </row>
    <row r="48" spans="1:14">
      <c r="A48" s="400"/>
      <c r="B48" s="400"/>
      <c r="C48" s="400"/>
      <c r="D48" s="400"/>
      <c r="E48" s="400"/>
      <c r="F48" s="400"/>
      <c r="G48" s="400"/>
      <c r="H48" s="400"/>
      <c r="I48" s="400"/>
      <c r="J48" s="400"/>
      <c r="K48" s="400"/>
      <c r="L48" s="400"/>
      <c r="M48" s="408">
        <v>0.85</v>
      </c>
      <c r="N48" s="409"/>
    </row>
  </sheetData>
  <mergeCells count="3">
    <mergeCell ref="D1:L1"/>
    <mergeCell ref="Q2:T2"/>
    <mergeCell ref="U2:AA2"/>
  </mergeCells>
  <conditionalFormatting sqref="N4:N7">
    <cfRule type="cellIs" dxfId="54" priority="1" stopIfTrue="1" operator="equal">
      <formula>""</formula>
    </cfRule>
    <cfRule type="cellIs" dxfId="53" priority="2" operator="equal">
      <formula>"Too early"</formula>
    </cfRule>
    <cfRule type="cellIs" dxfId="52" priority="3" operator="lessThanOrEqual">
      <formula>0.7</formula>
    </cfRule>
    <cfRule type="cellIs" dxfId="51" priority="4" operator="between">
      <formula>0.85</formula>
      <formula>0.7</formula>
    </cfRule>
    <cfRule type="cellIs" dxfId="5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A8" sqref="A8:B8"/>
    </sheetView>
  </sheetViews>
  <sheetFormatPr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41" t="s">
        <v>123</v>
      </c>
      <c r="E1" s="541"/>
      <c r="F1" s="541"/>
      <c r="G1" s="541"/>
      <c r="H1" s="541"/>
      <c r="I1" s="541"/>
      <c r="J1" s="541"/>
      <c r="K1" s="541"/>
      <c r="L1" s="541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2" t="s">
        <v>124</v>
      </c>
      <c r="R2" s="542"/>
      <c r="S2" s="542"/>
      <c r="T2" s="542"/>
      <c r="U2" s="543" t="s">
        <v>125</v>
      </c>
      <c r="V2" s="543"/>
      <c r="W2" s="543"/>
      <c r="X2" s="543"/>
      <c r="Y2" s="543"/>
      <c r="Z2" s="543"/>
      <c r="AA2" s="543"/>
    </row>
    <row r="3" spans="1:27" ht="57.75">
      <c r="A3" t="s">
        <v>177</v>
      </c>
      <c r="B3" s="303">
        <v>45922</v>
      </c>
      <c r="C3" s="303">
        <v>45929</v>
      </c>
      <c r="D3" s="303">
        <v>45936</v>
      </c>
      <c r="E3" s="303">
        <v>45943</v>
      </c>
      <c r="F3" s="303">
        <v>45950</v>
      </c>
      <c r="G3" s="303">
        <v>45957</v>
      </c>
      <c r="H3" s="303">
        <v>45964</v>
      </c>
      <c r="I3" s="303">
        <v>45971</v>
      </c>
      <c r="J3" s="303">
        <v>45978</v>
      </c>
      <c r="K3" s="303">
        <v>45985</v>
      </c>
      <c r="L3" s="303">
        <v>45992</v>
      </c>
      <c r="M3" s="266" t="s">
        <v>127</v>
      </c>
      <c r="N3" s="266" t="s">
        <v>128</v>
      </c>
      <c r="P3" s="28" t="s">
        <v>129</v>
      </c>
      <c r="Q3" s="397">
        <v>10</v>
      </c>
      <c r="R3" s="397">
        <v>9</v>
      </c>
      <c r="S3" s="397">
        <v>8</v>
      </c>
      <c r="T3" s="397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>
      <c r="A4" s="303" t="s">
        <v>178</v>
      </c>
      <c r="B4" s="415">
        <v>369</v>
      </c>
      <c r="C4" s="415">
        <v>395</v>
      </c>
      <c r="D4" s="416"/>
      <c r="E4" s="416"/>
      <c r="F4" s="416"/>
      <c r="G4" s="416"/>
      <c r="H4" s="416"/>
      <c r="I4" s="416"/>
      <c r="J4" s="416"/>
      <c r="K4" s="416"/>
      <c r="L4" s="416"/>
      <c r="M4">
        <f>'Performances by Week'!AF38-'Performances by Week'!AB38</f>
        <v>1433</v>
      </c>
      <c r="N4" s="30">
        <f>'Performances by Week'!O38</f>
        <v>1</v>
      </c>
      <c r="P4" s="27" t="s">
        <v>64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179</v>
      </c>
      <c r="B5" s="415">
        <v>369</v>
      </c>
      <c r="C5" s="415">
        <v>386</v>
      </c>
      <c r="D5" s="416"/>
      <c r="E5" s="416"/>
      <c r="F5" s="416"/>
      <c r="G5" s="416"/>
      <c r="H5" s="416"/>
      <c r="I5" s="416"/>
      <c r="J5" s="416"/>
      <c r="K5" s="416"/>
      <c r="L5" s="416"/>
      <c r="M5">
        <f>'Performances by Week'!AF39-'Performances by Week'!AB39</f>
        <v>1433</v>
      </c>
      <c r="N5" s="30">
        <f>'Performances by Week'!O39</f>
        <v>1</v>
      </c>
      <c r="P5" s="27" t="s">
        <v>59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180</v>
      </c>
      <c r="B6" s="415">
        <v>410</v>
      </c>
      <c r="C6" s="415">
        <v>443</v>
      </c>
      <c r="D6" s="416"/>
      <c r="E6" s="416"/>
      <c r="F6" s="416"/>
      <c r="G6" s="416"/>
      <c r="H6" s="416"/>
      <c r="I6" s="416"/>
      <c r="J6" s="416"/>
      <c r="K6" s="416"/>
      <c r="L6" s="416"/>
      <c r="M6">
        <f>'Performances by Week'!AF40-'Performances by Week'!AB40</f>
        <v>1433</v>
      </c>
      <c r="N6" s="30">
        <f>'Performances by Week'!O40</f>
        <v>1</v>
      </c>
      <c r="P6" s="27" t="s">
        <v>54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133</v>
      </c>
      <c r="B7" s="376">
        <f t="shared" ref="B7:K7" si="0">$M$7*$M$14*Q6</f>
        <v>182.70749999999998</v>
      </c>
      <c r="C7" s="376">
        <f t="shared" si="0"/>
        <v>219.249</v>
      </c>
      <c r="D7" s="376">
        <f t="shared" si="0"/>
        <v>255.79049999999998</v>
      </c>
      <c r="E7" s="376">
        <f t="shared" si="0"/>
        <v>292.33199999999999</v>
      </c>
      <c r="F7" s="376">
        <f t="shared" si="0"/>
        <v>328.87350000000004</v>
      </c>
      <c r="G7" s="376">
        <f t="shared" si="0"/>
        <v>365.41499999999996</v>
      </c>
      <c r="H7" s="376">
        <f t="shared" si="0"/>
        <v>401.95650000000001</v>
      </c>
      <c r="I7" s="376">
        <f t="shared" si="0"/>
        <v>475.03949999999998</v>
      </c>
      <c r="J7" s="376">
        <f t="shared" si="0"/>
        <v>560.303</v>
      </c>
      <c r="K7" s="376">
        <f t="shared" si="0"/>
        <v>718.64949999999999</v>
      </c>
      <c r="L7" s="376">
        <f>$M$7*$M$14*AA6</f>
        <v>1218.05</v>
      </c>
      <c r="M7" s="376">
        <f>AVERAGE(M4:M6)</f>
        <v>1433</v>
      </c>
      <c r="P7" s="27" t="s">
        <v>134</v>
      </c>
      <c r="Q7" s="398">
        <v>0.15</v>
      </c>
      <c r="R7" s="398">
        <v>0.18</v>
      </c>
      <c r="S7" s="398">
        <v>0.21</v>
      </c>
      <c r="T7" s="398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>
      <c r="A8" s="546" t="s">
        <v>181</v>
      </c>
      <c r="B8" s="546"/>
      <c r="C8" s="376">
        <f>C7-B7</f>
        <v>36.541500000000013</v>
      </c>
      <c r="D8" s="376">
        <f>D7-C7</f>
        <v>36.541499999999985</v>
      </c>
      <c r="E8" s="376">
        <f>E7-D7</f>
        <v>36.541500000000013</v>
      </c>
      <c r="F8" s="376">
        <f>F7-E7</f>
        <v>36.541500000000042</v>
      </c>
      <c r="G8" s="376">
        <f>G7-F7</f>
        <v>36.541499999999928</v>
      </c>
      <c r="H8" s="376">
        <f>H7-G7</f>
        <v>36.541500000000042</v>
      </c>
      <c r="I8" s="376">
        <f>I7-H7</f>
        <v>73.08299999999997</v>
      </c>
      <c r="J8" s="376">
        <f>J7-I7</f>
        <v>85.263500000000022</v>
      </c>
      <c r="K8" s="376">
        <f>K7-J7</f>
        <v>158.34649999999999</v>
      </c>
      <c r="L8" s="376">
        <f>L7-K7</f>
        <v>499.40049999999997</v>
      </c>
      <c r="M8" s="376"/>
      <c r="P8" s="26"/>
      <c r="Q8" s="398"/>
      <c r="R8" s="398"/>
      <c r="S8" s="398"/>
      <c r="T8" s="398"/>
      <c r="U8" s="377"/>
      <c r="V8" s="377"/>
      <c r="W8" s="377"/>
      <c r="X8" s="377"/>
      <c r="Y8" s="378"/>
      <c r="Z8" s="377"/>
      <c r="AA8" s="377"/>
    </row>
    <row r="9" spans="1:27">
      <c r="A9" s="546" t="s">
        <v>182</v>
      </c>
      <c r="B9" s="546"/>
      <c r="C9" s="376">
        <f>C6-B6</f>
        <v>33</v>
      </c>
      <c r="D9" s="376"/>
      <c r="E9" s="376"/>
      <c r="F9" s="376"/>
      <c r="G9" s="376"/>
      <c r="H9" s="376"/>
      <c r="I9" s="376"/>
      <c r="J9" s="376"/>
      <c r="K9" s="376"/>
      <c r="L9" s="376"/>
      <c r="M9" s="376"/>
      <c r="P9" s="26"/>
      <c r="Q9" s="398"/>
      <c r="R9" s="398"/>
      <c r="S9" s="398"/>
      <c r="T9" s="398"/>
      <c r="U9" s="377"/>
      <c r="V9" s="377"/>
      <c r="W9" s="377"/>
      <c r="X9" s="377"/>
      <c r="Y9" s="378"/>
      <c r="Z9" s="377"/>
      <c r="AA9" s="377"/>
    </row>
    <row r="10" spans="1:27">
      <c r="A10" s="492" t="s">
        <v>183</v>
      </c>
      <c r="B10" s="493">
        <f>AVERAGE(B33:B35)</f>
        <v>300.33333333333331</v>
      </c>
      <c r="C10" s="493">
        <f>AVERAGE(C33:C35)</f>
        <v>322.33333333333331</v>
      </c>
      <c r="D10" s="493">
        <f>AVERAGE(D33:D35)</f>
        <v>360</v>
      </c>
      <c r="E10" s="493">
        <f>AVERAGE(E33:E35)</f>
        <v>395.66666666666669</v>
      </c>
      <c r="F10" s="493">
        <f>AVERAGE(F33:F35)</f>
        <v>431</v>
      </c>
      <c r="G10" s="493">
        <f>AVERAGE(G33:G35)</f>
        <v>486.33333333333331</v>
      </c>
      <c r="H10" s="493">
        <f>AVERAGE(H33:H35)</f>
        <v>568.33333333333337</v>
      </c>
      <c r="I10" s="493">
        <f>AVERAGE(I33:I35)</f>
        <v>667</v>
      </c>
      <c r="J10" s="493">
        <f>AVERAGE(J33:J35)</f>
        <v>790.33333333333337</v>
      </c>
      <c r="K10" s="493">
        <f>AVERAGE(K33:K35)</f>
        <v>954.33333333333337</v>
      </c>
      <c r="L10" s="493">
        <f>AVERAGE(L33:L35)</f>
        <v>1146</v>
      </c>
      <c r="M10" s="376"/>
      <c r="P10" s="375"/>
      <c r="Q10" s="377"/>
      <c r="R10" s="377"/>
      <c r="S10" s="377"/>
      <c r="T10" s="377"/>
    </row>
    <row r="11" spans="1:27">
      <c r="A11" s="303" t="s">
        <v>184</v>
      </c>
      <c r="B11" s="376">
        <f>AVERAGE(B43:B45)</f>
        <v>338</v>
      </c>
      <c r="C11" s="376">
        <f t="shared" ref="C11:L11" si="1">AVERAGE(C43:C45)</f>
        <v>372</v>
      </c>
      <c r="D11" s="376">
        <f t="shared" si="1"/>
        <v>411</v>
      </c>
      <c r="E11" s="376">
        <f t="shared" si="1"/>
        <v>447.33333333333331</v>
      </c>
      <c r="F11" s="376">
        <f t="shared" si="1"/>
        <v>494.66666666666669</v>
      </c>
      <c r="G11" s="376">
        <f t="shared" si="1"/>
        <v>557</v>
      </c>
      <c r="H11" s="376">
        <f t="shared" si="1"/>
        <v>657.66666666666663</v>
      </c>
      <c r="I11" s="376">
        <f t="shared" si="1"/>
        <v>738.33333333333337</v>
      </c>
      <c r="J11" s="376">
        <f t="shared" si="1"/>
        <v>909.66666666666663</v>
      </c>
      <c r="K11" s="376">
        <f t="shared" si="1"/>
        <v>1046.6666666666667</v>
      </c>
      <c r="L11" s="376">
        <f t="shared" si="1"/>
        <v>1180.3333333333333</v>
      </c>
      <c r="M11" s="376"/>
      <c r="P11" s="375"/>
      <c r="Q11" s="377"/>
      <c r="R11" s="377"/>
      <c r="S11" s="377"/>
      <c r="T11" s="377"/>
    </row>
    <row r="12" spans="1:27">
      <c r="A12" s="303" t="s">
        <v>135</v>
      </c>
      <c r="B12" s="376">
        <f>IF(B4&gt;0,AVERAGE(B4:B6)-B10,"TBD")</f>
        <v>82.333333333333371</v>
      </c>
      <c r="C12" s="376">
        <f>IF(C4&gt;0,AVERAGE(C4:C6)-C10,"TBD")</f>
        <v>85.666666666666686</v>
      </c>
      <c r="D12" s="376" t="str">
        <f>IF(D4&gt;0,AVERAGE(D4:D6)-D10,"TBD")</f>
        <v>TBD</v>
      </c>
      <c r="E12" s="376" t="str">
        <f>IF(E4&gt;0,AVERAGE(E4:E6)-E10,"TBD")</f>
        <v>TBD</v>
      </c>
      <c r="F12" s="376" t="str">
        <f>IF(F4&gt;0,AVERAGE(F4:F6)-F10,"TBD")</f>
        <v>TBD</v>
      </c>
      <c r="G12" s="376" t="str">
        <f>IF(G4&gt;0,AVERAGE(G4:G6)-G10,"TBD")</f>
        <v>TBD</v>
      </c>
      <c r="H12" s="376" t="str">
        <f>IF(H4&gt;0,AVERAGE(H4:H6)-H10,"TBD")</f>
        <v>TBD</v>
      </c>
      <c r="I12" s="376" t="str">
        <f>IF(I4&gt;0,AVERAGE(I4:I6)-I10,"TBD")</f>
        <v>TBD</v>
      </c>
      <c r="J12" s="376" t="str">
        <f>IF(J4&gt;0,AVERAGE(J4:J6)-J10,"TBD")</f>
        <v>TBD</v>
      </c>
      <c r="K12" s="376" t="str">
        <f>IF(K4&gt;0,AVERAGE(K4:K6)-K10,"TBD")</f>
        <v>TBD</v>
      </c>
      <c r="L12" s="376" t="str">
        <f>IF(L4&gt;0,AVERAGE(L4:L6)-L10,"TBD")</f>
        <v>TBD</v>
      </c>
      <c r="P12" s="375"/>
      <c r="Q12" s="377"/>
      <c r="R12" s="377"/>
      <c r="S12" s="377"/>
      <c r="T12" s="377"/>
    </row>
    <row r="13" spans="1:27">
      <c r="A13" s="303"/>
      <c r="B13" s="303"/>
      <c r="C13" s="303"/>
      <c r="M13" t="s">
        <v>136</v>
      </c>
      <c r="P13" s="28"/>
      <c r="Q13" s="377"/>
      <c r="R13" s="377"/>
      <c r="S13" s="377"/>
      <c r="T13" s="377"/>
    </row>
    <row r="14" spans="1:27">
      <c r="A14" s="303"/>
      <c r="B14" s="303"/>
      <c r="C14" s="303"/>
      <c r="M14" s="127">
        <v>0.85</v>
      </c>
      <c r="P14" s="26"/>
      <c r="Q14" s="377"/>
      <c r="R14" s="377"/>
      <c r="S14" s="377"/>
      <c r="T14" s="377"/>
    </row>
    <row r="15" spans="1:27">
      <c r="A15" s="303"/>
      <c r="B15" s="303"/>
      <c r="C15" s="303"/>
      <c r="P15" s="26"/>
      <c r="Q15" s="377"/>
      <c r="R15" s="377"/>
      <c r="S15" s="377"/>
      <c r="T15" s="377"/>
    </row>
    <row r="31" spans="1:14">
      <c r="A31" s="400" t="s">
        <v>15</v>
      </c>
      <c r="B31" s="400">
        <v>10</v>
      </c>
      <c r="C31" s="400">
        <v>9</v>
      </c>
      <c r="D31" s="400">
        <v>8</v>
      </c>
      <c r="E31" s="400">
        <v>7</v>
      </c>
      <c r="F31" s="400">
        <v>6</v>
      </c>
      <c r="G31" s="400">
        <v>5</v>
      </c>
      <c r="H31" s="400">
        <v>4</v>
      </c>
      <c r="I31" s="400">
        <v>3</v>
      </c>
      <c r="J31" s="400">
        <v>2</v>
      </c>
      <c r="K31" s="400">
        <v>1</v>
      </c>
      <c r="L31" s="400">
        <v>0</v>
      </c>
      <c r="M31" s="400"/>
      <c r="N31" s="401"/>
    </row>
    <row r="32" spans="1:14" ht="86.25">
      <c r="A32" s="402" t="s">
        <v>185</v>
      </c>
      <c r="B32" s="403">
        <v>45558</v>
      </c>
      <c r="C32" s="403">
        <v>45565</v>
      </c>
      <c r="D32" s="403">
        <v>45572</v>
      </c>
      <c r="E32" s="403">
        <v>45579</v>
      </c>
      <c r="F32" s="403">
        <v>45586</v>
      </c>
      <c r="G32" s="403">
        <v>45593</v>
      </c>
      <c r="H32" s="403">
        <v>45600</v>
      </c>
      <c r="I32" s="403">
        <v>45607</v>
      </c>
      <c r="J32" s="403">
        <v>45614</v>
      </c>
      <c r="K32" s="403">
        <v>45621</v>
      </c>
      <c r="L32" s="403">
        <v>45628</v>
      </c>
      <c r="M32" s="404" t="s">
        <v>127</v>
      </c>
      <c r="N32" s="405" t="s">
        <v>169</v>
      </c>
    </row>
    <row r="33" spans="1:14">
      <c r="A33" s="400" t="s">
        <v>186</v>
      </c>
      <c r="B33" s="406">
        <v>269</v>
      </c>
      <c r="C33" s="406">
        <v>295</v>
      </c>
      <c r="D33" s="406">
        <v>314</v>
      </c>
      <c r="E33" s="406">
        <v>335</v>
      </c>
      <c r="F33" s="406">
        <v>385</v>
      </c>
      <c r="G33" s="406">
        <v>425</v>
      </c>
      <c r="H33" s="406">
        <v>522</v>
      </c>
      <c r="I33" s="406">
        <v>615</v>
      </c>
      <c r="J33" s="406">
        <v>771</v>
      </c>
      <c r="K33" s="406">
        <v>912</v>
      </c>
      <c r="L33" s="406">
        <v>1078</v>
      </c>
      <c r="M33" s="406">
        <v>1450</v>
      </c>
      <c r="N33" s="407">
        <v>0.88339999999999996</v>
      </c>
    </row>
    <row r="34" spans="1:14">
      <c r="A34" s="400" t="s">
        <v>187</v>
      </c>
      <c r="B34" s="406">
        <v>318</v>
      </c>
      <c r="C34" s="406">
        <v>333</v>
      </c>
      <c r="D34" s="406">
        <v>368</v>
      </c>
      <c r="E34" s="406">
        <v>392</v>
      </c>
      <c r="F34" s="406">
        <v>424</v>
      </c>
      <c r="G34" s="406">
        <v>483</v>
      </c>
      <c r="H34" s="406">
        <v>549</v>
      </c>
      <c r="I34" s="406">
        <v>660</v>
      </c>
      <c r="J34" s="406">
        <v>751</v>
      </c>
      <c r="K34" s="406">
        <v>918</v>
      </c>
      <c r="L34" s="406">
        <v>1127</v>
      </c>
      <c r="M34" s="406">
        <v>1450</v>
      </c>
      <c r="N34" s="407">
        <v>0.96619999999999995</v>
      </c>
    </row>
    <row r="35" spans="1:14">
      <c r="A35" s="400" t="s">
        <v>188</v>
      </c>
      <c r="B35" s="406">
        <v>314</v>
      </c>
      <c r="C35" s="406">
        <v>339</v>
      </c>
      <c r="D35" s="406">
        <v>398</v>
      </c>
      <c r="E35" s="406">
        <v>460</v>
      </c>
      <c r="F35" s="406">
        <v>484</v>
      </c>
      <c r="G35" s="406">
        <v>551</v>
      </c>
      <c r="H35" s="406">
        <v>634</v>
      </c>
      <c r="I35" s="406">
        <v>726</v>
      </c>
      <c r="J35" s="406">
        <v>849</v>
      </c>
      <c r="K35" s="406">
        <v>1033</v>
      </c>
      <c r="L35" s="406">
        <v>1233</v>
      </c>
      <c r="M35" s="406">
        <v>1450</v>
      </c>
      <c r="N35" s="407">
        <v>0.97509999999999997</v>
      </c>
    </row>
    <row r="36" spans="1:14">
      <c r="A36" s="400" t="s">
        <v>133</v>
      </c>
      <c r="B36" s="400"/>
      <c r="C36" s="400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1"/>
    </row>
    <row r="37" spans="1:14">
      <c r="A37" s="400" t="s">
        <v>135</v>
      </c>
      <c r="B37" s="400"/>
      <c r="C37" s="400"/>
      <c r="D37" s="400"/>
      <c r="E37" s="400"/>
      <c r="F37" s="400"/>
      <c r="G37" s="400"/>
      <c r="H37" s="400"/>
      <c r="I37" s="400"/>
      <c r="J37" s="400"/>
      <c r="K37" s="400"/>
      <c r="L37" s="400"/>
      <c r="M37" s="400"/>
      <c r="N37" s="401"/>
    </row>
    <row r="38" spans="1:14">
      <c r="A38" s="400"/>
      <c r="B38" s="400"/>
      <c r="C38" s="400"/>
      <c r="D38" s="400"/>
      <c r="E38" s="400"/>
      <c r="F38" s="400"/>
      <c r="G38" s="400"/>
      <c r="H38" s="400"/>
      <c r="I38" s="400"/>
      <c r="J38" s="400"/>
      <c r="K38" s="400"/>
      <c r="L38" s="400"/>
      <c r="M38" s="400" t="s">
        <v>136</v>
      </c>
      <c r="N38" s="401"/>
    </row>
    <row r="39" spans="1:14">
      <c r="A39" s="400"/>
      <c r="B39" s="400"/>
      <c r="C39" s="400"/>
      <c r="D39" s="400"/>
      <c r="E39" s="400"/>
      <c r="F39" s="400"/>
      <c r="G39" s="400"/>
      <c r="H39" s="400"/>
      <c r="I39" s="400"/>
      <c r="J39" s="400"/>
      <c r="K39" s="400"/>
      <c r="L39" s="400"/>
      <c r="M39" s="408">
        <v>0.85</v>
      </c>
      <c r="N39" s="401"/>
    </row>
    <row r="41" spans="1:14">
      <c r="A41" s="400" t="s">
        <v>15</v>
      </c>
      <c r="B41" s="400">
        <v>10</v>
      </c>
      <c r="C41" s="400">
        <v>9</v>
      </c>
      <c r="D41" s="400">
        <v>8</v>
      </c>
      <c r="E41" s="400">
        <v>7</v>
      </c>
      <c r="F41" s="400">
        <v>6</v>
      </c>
      <c r="G41" s="400">
        <v>5</v>
      </c>
      <c r="H41" s="400">
        <v>4</v>
      </c>
      <c r="I41" s="400">
        <v>3</v>
      </c>
      <c r="J41" s="400">
        <v>2</v>
      </c>
      <c r="K41" s="400">
        <v>1</v>
      </c>
      <c r="L41" s="400">
        <v>0</v>
      </c>
      <c r="M41" s="400"/>
      <c r="N41" s="409"/>
    </row>
    <row r="42" spans="1:14" ht="86.25">
      <c r="A42" s="402" t="s">
        <v>185</v>
      </c>
      <c r="B42" s="403">
        <v>45187</v>
      </c>
      <c r="C42" s="403">
        <v>45194</v>
      </c>
      <c r="D42" s="403">
        <v>45201</v>
      </c>
      <c r="E42" s="403">
        <v>45208</v>
      </c>
      <c r="F42" s="403">
        <v>45215</v>
      </c>
      <c r="G42" s="403">
        <v>45222</v>
      </c>
      <c r="H42" s="403">
        <v>45229</v>
      </c>
      <c r="I42" s="403">
        <v>45236</v>
      </c>
      <c r="J42" s="403">
        <v>45243</v>
      </c>
      <c r="K42" s="403">
        <v>45250</v>
      </c>
      <c r="L42" s="403">
        <v>45988</v>
      </c>
      <c r="M42" s="404" t="s">
        <v>127</v>
      </c>
      <c r="N42" s="410" t="s">
        <v>169</v>
      </c>
    </row>
    <row r="43" spans="1:14">
      <c r="A43" s="400" t="s">
        <v>189</v>
      </c>
      <c r="B43" s="406">
        <v>292</v>
      </c>
      <c r="C43" s="406">
        <v>312</v>
      </c>
      <c r="D43" s="406">
        <v>345</v>
      </c>
      <c r="E43" s="406">
        <v>367</v>
      </c>
      <c r="F43" s="406">
        <v>421</v>
      </c>
      <c r="G43" s="406">
        <v>468</v>
      </c>
      <c r="H43" s="406">
        <v>562</v>
      </c>
      <c r="I43" s="406">
        <v>635</v>
      </c>
      <c r="J43" s="406">
        <v>855</v>
      </c>
      <c r="K43" s="406">
        <v>992</v>
      </c>
      <c r="L43" s="406">
        <v>1129</v>
      </c>
      <c r="M43" s="406">
        <v>1450</v>
      </c>
      <c r="N43" s="407">
        <v>0.94340000000000002</v>
      </c>
    </row>
    <row r="44" spans="1:14">
      <c r="A44" s="400" t="s">
        <v>190</v>
      </c>
      <c r="B44" s="406">
        <v>345</v>
      </c>
      <c r="C44" s="406">
        <v>396</v>
      </c>
      <c r="D44" s="406">
        <v>439</v>
      </c>
      <c r="E44" s="406">
        <v>495</v>
      </c>
      <c r="F44" s="406">
        <v>538</v>
      </c>
      <c r="G44" s="406">
        <v>590</v>
      </c>
      <c r="H44" s="406">
        <v>693</v>
      </c>
      <c r="I44" s="406">
        <v>784</v>
      </c>
      <c r="J44" s="406">
        <v>929</v>
      </c>
      <c r="K44" s="406">
        <v>1043</v>
      </c>
      <c r="L44" s="406">
        <v>1153</v>
      </c>
      <c r="M44" s="406">
        <v>1450</v>
      </c>
      <c r="N44" s="407">
        <v>0.99099999999999999</v>
      </c>
    </row>
    <row r="45" spans="1:14">
      <c r="A45" s="400" t="s">
        <v>191</v>
      </c>
      <c r="B45" s="406">
        <v>377</v>
      </c>
      <c r="C45" s="406">
        <v>408</v>
      </c>
      <c r="D45" s="406">
        <v>449</v>
      </c>
      <c r="E45" s="406">
        <v>480</v>
      </c>
      <c r="F45" s="406">
        <v>525</v>
      </c>
      <c r="G45" s="406">
        <v>613</v>
      </c>
      <c r="H45" s="406">
        <v>718</v>
      </c>
      <c r="I45" s="406">
        <v>796</v>
      </c>
      <c r="J45" s="406">
        <v>945</v>
      </c>
      <c r="K45" s="406">
        <v>1105</v>
      </c>
      <c r="L45" s="406">
        <v>1259</v>
      </c>
      <c r="M45" s="406">
        <v>1450</v>
      </c>
      <c r="N45" s="407">
        <v>1</v>
      </c>
    </row>
    <row r="46" spans="1:14">
      <c r="A46" s="400" t="s">
        <v>135</v>
      </c>
      <c r="B46" s="400"/>
      <c r="C46" s="400"/>
      <c r="D46" s="400"/>
      <c r="E46" s="400"/>
      <c r="F46" s="400"/>
      <c r="G46" s="400"/>
      <c r="H46" s="400"/>
      <c r="I46" s="400"/>
      <c r="J46" s="400"/>
      <c r="K46" s="400"/>
      <c r="L46" s="400"/>
      <c r="M46" s="400"/>
      <c r="N46" s="409"/>
    </row>
    <row r="47" spans="1:14">
      <c r="A47" s="400"/>
      <c r="B47" s="400"/>
      <c r="C47" s="400"/>
      <c r="D47" s="400"/>
      <c r="E47" s="400"/>
      <c r="F47" s="400"/>
      <c r="G47" s="400"/>
      <c r="H47" s="400"/>
      <c r="I47" s="400"/>
      <c r="J47" s="400"/>
      <c r="K47" s="400"/>
      <c r="L47" s="400"/>
      <c r="M47" s="400" t="s">
        <v>136</v>
      </c>
      <c r="N47" s="409"/>
    </row>
    <row r="48" spans="1:14">
      <c r="A48" s="400"/>
      <c r="B48" s="400"/>
      <c r="C48" s="400"/>
      <c r="D48" s="400"/>
      <c r="E48" s="400"/>
      <c r="F48" s="400"/>
      <c r="G48" s="400"/>
      <c r="H48" s="400"/>
      <c r="I48" s="400"/>
      <c r="J48" s="400"/>
      <c r="K48" s="400"/>
      <c r="L48" s="400"/>
      <c r="M48" s="408">
        <v>0.85</v>
      </c>
      <c r="N48" s="409"/>
    </row>
  </sheetData>
  <mergeCells count="5">
    <mergeCell ref="D1:L1"/>
    <mergeCell ref="Q2:T2"/>
    <mergeCell ref="U2:AA2"/>
    <mergeCell ref="A8:B8"/>
    <mergeCell ref="A9:B9"/>
  </mergeCells>
  <conditionalFormatting sqref="N4:N6">
    <cfRule type="cellIs" dxfId="49" priority="1" stopIfTrue="1" operator="equal">
      <formula>""</formula>
    </cfRule>
    <cfRule type="cellIs" dxfId="48" priority="2" operator="equal">
      <formula>"Too early"</formula>
    </cfRule>
    <cfRule type="cellIs" dxfId="47" priority="3" operator="lessThanOrEqual">
      <formula>0.7</formula>
    </cfRule>
    <cfRule type="cellIs" dxfId="46" priority="4" operator="between">
      <formula>0.85</formula>
      <formula>0.7</formula>
    </cfRule>
    <cfRule type="cellIs" dxfId="4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0"/>
  <sheetViews>
    <sheetView workbookViewId="0">
      <selection activeCell="B10" sqref="B10"/>
    </sheetView>
  </sheetViews>
  <sheetFormatPr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41" t="s">
        <v>123</v>
      </c>
      <c r="E1" s="541"/>
      <c r="F1" s="541"/>
      <c r="G1" s="541"/>
      <c r="H1" s="541"/>
      <c r="I1" s="541"/>
      <c r="J1" s="541"/>
      <c r="K1" s="541"/>
      <c r="L1" s="541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2" t="s">
        <v>124</v>
      </c>
      <c r="R2" s="542"/>
      <c r="S2" s="542"/>
      <c r="T2" s="542"/>
      <c r="U2" s="543" t="s">
        <v>125</v>
      </c>
      <c r="V2" s="543"/>
      <c r="W2" s="543"/>
      <c r="X2" s="543"/>
      <c r="Y2" s="543"/>
      <c r="Z2" s="543"/>
      <c r="AA2" s="543"/>
    </row>
    <row r="3" spans="1:27" ht="57.75">
      <c r="A3" t="s">
        <v>192</v>
      </c>
      <c r="B3" s="303">
        <v>45936</v>
      </c>
      <c r="C3" s="303">
        <v>45943</v>
      </c>
      <c r="D3" s="303">
        <v>45950</v>
      </c>
      <c r="E3" s="303">
        <v>45957</v>
      </c>
      <c r="F3" s="303">
        <v>45964</v>
      </c>
      <c r="G3" s="303">
        <v>45971</v>
      </c>
      <c r="H3" s="303">
        <v>45978</v>
      </c>
      <c r="I3" s="303">
        <v>45985</v>
      </c>
      <c r="J3" s="303">
        <v>45992</v>
      </c>
      <c r="K3" s="303">
        <v>45999</v>
      </c>
      <c r="L3" s="303">
        <v>46006</v>
      </c>
      <c r="M3" s="266" t="s">
        <v>127</v>
      </c>
      <c r="N3" s="266" t="s">
        <v>128</v>
      </c>
      <c r="P3" s="28" t="s">
        <v>129</v>
      </c>
      <c r="Q3" s="397">
        <v>10</v>
      </c>
      <c r="R3" s="397">
        <v>9</v>
      </c>
      <c r="S3" s="397">
        <v>8</v>
      </c>
      <c r="T3" s="397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>
      <c r="A4" s="303" t="s">
        <v>193</v>
      </c>
      <c r="B4" s="384">
        <v>220</v>
      </c>
      <c r="C4" s="384"/>
      <c r="M4">
        <f>'Performances by Week'!AF43-'Performances by Week'!AB43</f>
        <v>1433</v>
      </c>
      <c r="N4" s="30" t="str">
        <f>'Performances by Week'!O43</f>
        <v>Too early</v>
      </c>
      <c r="P4" s="27" t="s">
        <v>64</v>
      </c>
      <c r="Q4" s="398">
        <v>0.15</v>
      </c>
      <c r="R4" s="398">
        <v>0.18</v>
      </c>
      <c r="S4" s="398">
        <v>0.21</v>
      </c>
      <c r="T4" s="398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>
      <c r="A5" s="303" t="s">
        <v>194</v>
      </c>
      <c r="B5" s="384">
        <v>211</v>
      </c>
      <c r="C5" s="384"/>
      <c r="M5">
        <f>'Performances by Week'!AF44-'Performances by Week'!AB44</f>
        <v>1433</v>
      </c>
      <c r="N5" s="30" t="str">
        <f>'Performances by Week'!O44</f>
        <v>Too early</v>
      </c>
      <c r="P5" s="27" t="s">
        <v>59</v>
      </c>
      <c r="Q5" s="398">
        <v>0.15</v>
      </c>
      <c r="R5" s="398">
        <v>0.18</v>
      </c>
      <c r="S5" s="398">
        <v>0.21</v>
      </c>
      <c r="T5" s="398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>
      <c r="A6" s="303" t="s">
        <v>195</v>
      </c>
      <c r="B6" s="384">
        <v>388</v>
      </c>
      <c r="C6" s="384"/>
      <c r="M6">
        <f>'Performances by Week'!AF45-'Performances by Week'!AB45</f>
        <v>1433</v>
      </c>
      <c r="N6" s="30" t="str">
        <f>'Performances by Week'!O45</f>
        <v>Too early</v>
      </c>
      <c r="P6" s="27" t="s">
        <v>54</v>
      </c>
      <c r="Q6" s="398">
        <v>0.15</v>
      </c>
      <c r="R6" s="398">
        <v>0.18</v>
      </c>
      <c r="S6" s="398">
        <v>0.21</v>
      </c>
      <c r="T6" s="398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>
      <c r="A7" s="303" t="s">
        <v>196</v>
      </c>
      <c r="B7" s="384">
        <v>292</v>
      </c>
      <c r="C7" s="384"/>
      <c r="M7">
        <f>'Performances by Week'!AF46-'Performances by Week'!AB46</f>
        <v>1433</v>
      </c>
      <c r="N7" s="30" t="str">
        <f>'Performances by Week'!O46</f>
        <v>Too early</v>
      </c>
      <c r="P7" s="27" t="s">
        <v>134</v>
      </c>
      <c r="Q7" s="398">
        <v>0.15</v>
      </c>
      <c r="R7" s="398">
        <v>0.18</v>
      </c>
      <c r="S7" s="398">
        <v>0.21</v>
      </c>
      <c r="T7" s="398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>
      <c r="A8" s="303" t="s">
        <v>197</v>
      </c>
      <c r="B8" s="384">
        <v>328</v>
      </c>
      <c r="C8" s="384"/>
      <c r="M8">
        <f>'Performances by Week'!AF47-'Performances by Week'!AB47</f>
        <v>1132</v>
      </c>
      <c r="N8" s="30" t="str">
        <f>'Performances by Week'!O47</f>
        <v>Too early</v>
      </c>
      <c r="P8" s="375"/>
      <c r="Q8" s="377"/>
      <c r="R8" s="377"/>
      <c r="S8" s="377"/>
      <c r="T8" s="377"/>
    </row>
    <row r="9" spans="1:27">
      <c r="A9" s="303" t="s">
        <v>198</v>
      </c>
      <c r="B9" s="384">
        <v>152</v>
      </c>
      <c r="C9" s="384"/>
      <c r="M9">
        <f>'Performances by Week'!AF48-'Performances by Week'!AB48</f>
        <v>1433</v>
      </c>
      <c r="N9" s="30" t="str">
        <f>'Performances by Week'!O48</f>
        <v>Too early</v>
      </c>
      <c r="P9" s="375"/>
      <c r="Q9" s="377"/>
      <c r="R9" s="377"/>
      <c r="S9" s="377"/>
      <c r="T9" s="377"/>
    </row>
    <row r="10" spans="1:27">
      <c r="A10" s="303" t="s">
        <v>133</v>
      </c>
      <c r="B10" s="376">
        <f t="shared" ref="B10:K10" si="0">$M$10*$M$15*Q6</f>
        <v>176.31125</v>
      </c>
      <c r="C10" s="376">
        <f t="shared" si="0"/>
        <v>211.5735</v>
      </c>
      <c r="D10" s="376">
        <f t="shared" si="0"/>
        <v>246.83574999999999</v>
      </c>
      <c r="E10" s="376">
        <f t="shared" si="0"/>
        <v>282.09799999999996</v>
      </c>
      <c r="F10" s="376">
        <f t="shared" si="0"/>
        <v>317.36025000000001</v>
      </c>
      <c r="G10" s="376">
        <f t="shared" si="0"/>
        <v>352.6225</v>
      </c>
      <c r="H10" s="376">
        <f t="shared" si="0"/>
        <v>387.88475</v>
      </c>
      <c r="I10" s="376">
        <f t="shared" si="0"/>
        <v>458.40924999999999</v>
      </c>
      <c r="J10" s="376">
        <f t="shared" si="0"/>
        <v>540.68783333333329</v>
      </c>
      <c r="K10" s="376">
        <f t="shared" si="0"/>
        <v>693.49091666666664</v>
      </c>
      <c r="L10" s="376">
        <f>$M$10*$M$15*AA6</f>
        <v>1175.4083333333333</v>
      </c>
      <c r="M10" s="376">
        <f>AVERAGE(M4:M9)</f>
        <v>1382.8333333333333</v>
      </c>
      <c r="P10" s="375"/>
      <c r="Q10" s="377"/>
      <c r="R10" s="377"/>
      <c r="S10" s="377"/>
      <c r="T10" s="377"/>
    </row>
    <row r="11" spans="1:27">
      <c r="A11" s="303" t="s">
        <v>199</v>
      </c>
      <c r="B11" s="376">
        <f>AVERAGE(B34:B39)</f>
        <v>261.33333333333331</v>
      </c>
      <c r="C11" s="376">
        <f t="shared" ref="C11:L11" si="1">AVERAGE(C34:C39)</f>
        <v>282.66666666666669</v>
      </c>
      <c r="D11" s="376">
        <f t="shared" si="1"/>
        <v>315.5</v>
      </c>
      <c r="E11" s="376">
        <f t="shared" si="1"/>
        <v>360.16666666666669</v>
      </c>
      <c r="F11" s="376">
        <f t="shared" si="1"/>
        <v>412.16666666666669</v>
      </c>
      <c r="G11" s="376">
        <f t="shared" si="1"/>
        <v>494.33333333333331</v>
      </c>
      <c r="H11" s="376">
        <f t="shared" si="1"/>
        <v>597.83333333333337</v>
      </c>
      <c r="I11" s="376">
        <f t="shared" si="1"/>
        <v>699.5</v>
      </c>
      <c r="J11" s="376">
        <f t="shared" si="1"/>
        <v>806.16666666666663</v>
      </c>
      <c r="K11" s="376">
        <f t="shared" si="1"/>
        <v>955.16666666666663</v>
      </c>
      <c r="L11" s="376">
        <f t="shared" si="1"/>
        <v>1111.3333333333333</v>
      </c>
      <c r="M11" s="376"/>
      <c r="P11" s="28"/>
      <c r="Q11" s="377"/>
      <c r="R11" s="377"/>
      <c r="S11" s="377"/>
      <c r="T11" s="377"/>
    </row>
    <row r="12" spans="1:27">
      <c r="A12" s="303" t="s">
        <v>200</v>
      </c>
      <c r="B12" s="376">
        <f>AVERAGE(B45:B50)</f>
        <v>349.16666666666669</v>
      </c>
      <c r="C12" s="376">
        <f t="shared" ref="C12:L12" si="2">AVERAGE(C45:C50)</f>
        <v>378.16666666666669</v>
      </c>
      <c r="D12" s="376">
        <f t="shared" si="2"/>
        <v>414.66666666666669</v>
      </c>
      <c r="E12" s="376">
        <f t="shared" si="2"/>
        <v>459.16666666666669</v>
      </c>
      <c r="F12" s="376">
        <f t="shared" si="2"/>
        <v>530.83333333333337</v>
      </c>
      <c r="G12" s="376">
        <f t="shared" si="2"/>
        <v>599.66666666666663</v>
      </c>
      <c r="H12" s="376">
        <f t="shared" si="2"/>
        <v>709</v>
      </c>
      <c r="I12" s="376">
        <f t="shared" si="2"/>
        <v>795.5</v>
      </c>
      <c r="J12" s="376">
        <f t="shared" si="2"/>
        <v>867.66666666666663</v>
      </c>
      <c r="K12" s="376">
        <f t="shared" si="2"/>
        <v>991.16666666666663</v>
      </c>
      <c r="L12" s="376">
        <f t="shared" si="2"/>
        <v>1105.8333333333333</v>
      </c>
      <c r="M12" s="376"/>
      <c r="P12" s="26"/>
      <c r="Q12" s="377"/>
      <c r="R12" s="377"/>
      <c r="S12" s="377"/>
      <c r="T12" s="377"/>
    </row>
    <row r="13" spans="1:27">
      <c r="A13" s="303" t="s">
        <v>135</v>
      </c>
      <c r="B13" s="376">
        <f>IF(B4&gt;0,AVERAGE(B4:B9)-B10,"TBD")</f>
        <v>88.855416666666684</v>
      </c>
      <c r="C13" s="376" t="str">
        <f>IF(C4&gt;0,AVERAGE(C4:C9)-C10,"TBD")</f>
        <v>TBD</v>
      </c>
      <c r="D13" s="376" t="str">
        <f>IF(D4&gt;0,AVERAGE(D4:D9)-D10,"TBD")</f>
        <v>TBD</v>
      </c>
      <c r="E13" s="376" t="str">
        <f>IF(E4&gt;0,AVERAGE(E4:E9)-E10,"TBD")</f>
        <v>TBD</v>
      </c>
      <c r="F13" s="376" t="str">
        <f>IF(F4&gt;0,AVERAGE(F4:F9)-F10,"TBD")</f>
        <v>TBD</v>
      </c>
      <c r="G13" s="376" t="str">
        <f>IF(G4&gt;0,AVERAGE(G4:G9)-G10,"TBD")</f>
        <v>TBD</v>
      </c>
      <c r="H13" s="376" t="str">
        <f>IF(H4&gt;0,AVERAGE(H4:H9)-H10,"TBD")</f>
        <v>TBD</v>
      </c>
      <c r="I13" s="376" t="str">
        <f>IF(I4&gt;0,AVERAGE(I4:I9)-I10,"TBD")</f>
        <v>TBD</v>
      </c>
      <c r="J13" s="376" t="str">
        <f>IF(J4&gt;0,AVERAGE(J4:J9)-J10,"TBD")</f>
        <v>TBD</v>
      </c>
      <c r="K13" s="376" t="str">
        <f>IF(K4&gt;0,AVERAGE(K4:K9)-K10,"TBD")</f>
        <v>TBD</v>
      </c>
      <c r="L13" s="376" t="str">
        <f>IF(L4&gt;0,AVERAGE(L4:L9)-L10,"TBD")</f>
        <v>TBD</v>
      </c>
      <c r="P13" s="26"/>
      <c r="Q13" s="377"/>
      <c r="R13" s="377"/>
      <c r="S13" s="377"/>
      <c r="T13" s="377"/>
    </row>
    <row r="14" spans="1:27">
      <c r="A14" s="303"/>
      <c r="B14" s="303"/>
      <c r="C14" s="303"/>
      <c r="M14" t="s">
        <v>136</v>
      </c>
    </row>
    <row r="15" spans="1:27">
      <c r="A15" s="303"/>
      <c r="B15" s="303"/>
      <c r="C15" s="303"/>
      <c r="M15" s="127">
        <v>0.85</v>
      </c>
    </row>
    <row r="16" spans="1:27">
      <c r="A16" s="303"/>
      <c r="B16" s="303"/>
      <c r="C16" s="303"/>
    </row>
    <row r="32" spans="1:14">
      <c r="A32" s="400" t="s">
        <v>15</v>
      </c>
      <c r="B32" s="400">
        <v>10</v>
      </c>
      <c r="C32" s="400">
        <v>9</v>
      </c>
      <c r="D32" s="400">
        <v>8</v>
      </c>
      <c r="E32" s="400">
        <v>7</v>
      </c>
      <c r="F32" s="400">
        <v>6</v>
      </c>
      <c r="G32" s="400">
        <v>5</v>
      </c>
      <c r="H32" s="400">
        <v>4</v>
      </c>
      <c r="I32" s="400">
        <v>3</v>
      </c>
      <c r="J32" s="400">
        <v>2</v>
      </c>
      <c r="K32" s="400">
        <v>1</v>
      </c>
      <c r="L32" s="400">
        <v>0</v>
      </c>
      <c r="M32" s="400"/>
      <c r="N32" s="401"/>
    </row>
    <row r="33" spans="1:14" ht="86.25">
      <c r="A33" s="402" t="s">
        <v>192</v>
      </c>
      <c r="B33" s="403">
        <v>45572</v>
      </c>
      <c r="C33" s="403">
        <v>45579</v>
      </c>
      <c r="D33" s="403">
        <v>45586</v>
      </c>
      <c r="E33" s="403">
        <v>45593</v>
      </c>
      <c r="F33" s="403">
        <v>45600</v>
      </c>
      <c r="G33" s="403">
        <v>45607</v>
      </c>
      <c r="H33" s="403">
        <v>45614</v>
      </c>
      <c r="I33" s="403">
        <v>45621</v>
      </c>
      <c r="J33" s="403">
        <v>45628</v>
      </c>
      <c r="K33" s="403">
        <v>45635</v>
      </c>
      <c r="L33" s="403">
        <v>45642</v>
      </c>
      <c r="M33" s="404" t="s">
        <v>127</v>
      </c>
      <c r="N33" s="405" t="s">
        <v>169</v>
      </c>
    </row>
    <row r="34" spans="1:14">
      <c r="A34" s="400" t="s">
        <v>201</v>
      </c>
      <c r="B34" s="406">
        <v>261</v>
      </c>
      <c r="C34" s="406">
        <v>267</v>
      </c>
      <c r="D34" s="406">
        <v>297</v>
      </c>
      <c r="E34" s="406">
        <v>341</v>
      </c>
      <c r="F34" s="406">
        <v>395</v>
      </c>
      <c r="G34" s="406">
        <v>447</v>
      </c>
      <c r="H34" s="406">
        <v>602</v>
      </c>
      <c r="I34" s="406">
        <v>693</v>
      </c>
      <c r="J34" s="406">
        <v>750</v>
      </c>
      <c r="K34" s="406">
        <v>932</v>
      </c>
      <c r="L34" s="406">
        <v>1069</v>
      </c>
      <c r="M34" s="406">
        <v>1446</v>
      </c>
      <c r="N34" s="413">
        <v>0.78969999999999996</v>
      </c>
    </row>
    <row r="35" spans="1:14">
      <c r="A35" s="400" t="s">
        <v>202</v>
      </c>
      <c r="B35" s="406">
        <v>206</v>
      </c>
      <c r="C35" s="406">
        <v>216</v>
      </c>
      <c r="D35" s="406">
        <v>256</v>
      </c>
      <c r="E35" s="406">
        <v>310</v>
      </c>
      <c r="F35" s="406">
        <v>370</v>
      </c>
      <c r="G35" s="406">
        <v>432</v>
      </c>
      <c r="H35" s="406">
        <v>509</v>
      </c>
      <c r="I35" s="406">
        <v>605</v>
      </c>
      <c r="J35" s="406">
        <v>732</v>
      </c>
      <c r="K35" s="406">
        <v>848</v>
      </c>
      <c r="L35" s="406">
        <v>1052</v>
      </c>
      <c r="M35" s="406">
        <v>1476</v>
      </c>
      <c r="N35" s="407">
        <v>0.87409999999999999</v>
      </c>
    </row>
    <row r="36" spans="1:14">
      <c r="A36" s="400" t="s">
        <v>203</v>
      </c>
      <c r="B36" s="406">
        <v>349</v>
      </c>
      <c r="C36" s="406">
        <v>398</v>
      </c>
      <c r="D36" s="406">
        <v>427</v>
      </c>
      <c r="E36" s="406">
        <v>464</v>
      </c>
      <c r="F36" s="406">
        <v>526</v>
      </c>
      <c r="G36" s="406">
        <v>606</v>
      </c>
      <c r="H36" s="406">
        <v>670</v>
      </c>
      <c r="I36" s="406">
        <v>745</v>
      </c>
      <c r="J36" s="406">
        <v>848</v>
      </c>
      <c r="K36" s="406">
        <v>1034</v>
      </c>
      <c r="L36" s="406">
        <v>1180</v>
      </c>
      <c r="M36" s="406">
        <v>1476</v>
      </c>
      <c r="N36" s="407">
        <v>0.89339999999999997</v>
      </c>
    </row>
    <row r="37" spans="1:14">
      <c r="A37" s="400" t="s">
        <v>204</v>
      </c>
      <c r="B37" s="406">
        <v>276</v>
      </c>
      <c r="C37" s="406">
        <v>294</v>
      </c>
      <c r="D37" s="406">
        <v>340</v>
      </c>
      <c r="E37" s="406">
        <v>375</v>
      </c>
      <c r="F37" s="406">
        <v>400</v>
      </c>
      <c r="G37" s="406">
        <v>480</v>
      </c>
      <c r="H37" s="406">
        <v>584</v>
      </c>
      <c r="I37" s="406">
        <v>715</v>
      </c>
      <c r="J37" s="406">
        <v>844</v>
      </c>
      <c r="K37" s="406">
        <v>995</v>
      </c>
      <c r="L37" s="406">
        <v>1184</v>
      </c>
      <c r="M37" s="406">
        <v>1476</v>
      </c>
      <c r="N37" s="407">
        <v>0.95909999999999995</v>
      </c>
    </row>
    <row r="38" spans="1:14">
      <c r="A38" s="400" t="s">
        <v>205</v>
      </c>
      <c r="B38" s="406">
        <v>302</v>
      </c>
      <c r="C38" s="406">
        <v>336</v>
      </c>
      <c r="D38" s="406">
        <v>363</v>
      </c>
      <c r="E38" s="406">
        <v>411</v>
      </c>
      <c r="F38" s="406">
        <v>486</v>
      </c>
      <c r="G38" s="406">
        <v>624</v>
      </c>
      <c r="H38" s="406">
        <v>730</v>
      </c>
      <c r="I38" s="406">
        <v>857</v>
      </c>
      <c r="J38" s="406">
        <v>986</v>
      </c>
      <c r="K38" s="406">
        <v>1089</v>
      </c>
      <c r="L38" s="406">
        <v>1104</v>
      </c>
      <c r="M38" s="406">
        <v>1168</v>
      </c>
      <c r="N38" s="407">
        <v>0.94120000000000004</v>
      </c>
    </row>
    <row r="39" spans="1:14">
      <c r="A39" s="400" t="s">
        <v>206</v>
      </c>
      <c r="B39" s="406">
        <v>174</v>
      </c>
      <c r="C39" s="406">
        <v>185</v>
      </c>
      <c r="D39" s="406">
        <v>210</v>
      </c>
      <c r="E39" s="406">
        <v>260</v>
      </c>
      <c r="F39" s="406">
        <v>296</v>
      </c>
      <c r="G39" s="406">
        <v>377</v>
      </c>
      <c r="H39" s="406">
        <v>492</v>
      </c>
      <c r="I39" s="406">
        <v>582</v>
      </c>
      <c r="J39" s="406">
        <v>677</v>
      </c>
      <c r="K39" s="406">
        <v>833</v>
      </c>
      <c r="L39" s="406">
        <v>1079</v>
      </c>
      <c r="M39" s="406">
        <v>1476</v>
      </c>
      <c r="N39" s="407">
        <v>0.97509999999999997</v>
      </c>
    </row>
    <row r="40" spans="1:14">
      <c r="A40" s="400"/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 t="s">
        <v>136</v>
      </c>
      <c r="N40" s="401"/>
    </row>
    <row r="41" spans="1:14">
      <c r="A41" s="400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8">
        <v>0.85</v>
      </c>
      <c r="N41" s="401"/>
    </row>
    <row r="43" spans="1:14">
      <c r="A43" s="400" t="s">
        <v>15</v>
      </c>
      <c r="B43" s="400">
        <v>10</v>
      </c>
      <c r="C43" s="400">
        <v>9</v>
      </c>
      <c r="D43" s="400">
        <v>8</v>
      </c>
      <c r="E43" s="400">
        <v>7</v>
      </c>
      <c r="F43" s="400">
        <v>6</v>
      </c>
      <c r="G43" s="400">
        <v>5</v>
      </c>
      <c r="H43" s="400">
        <v>4</v>
      </c>
      <c r="I43" s="400">
        <v>3</v>
      </c>
      <c r="J43" s="400">
        <v>2</v>
      </c>
      <c r="K43" s="400">
        <v>1</v>
      </c>
      <c r="L43" s="400">
        <v>0</v>
      </c>
      <c r="M43" s="400"/>
      <c r="N43" s="409"/>
    </row>
    <row r="44" spans="1:14" ht="86.25">
      <c r="A44" s="402" t="s">
        <v>192</v>
      </c>
      <c r="B44" s="403">
        <v>45201</v>
      </c>
      <c r="C44" s="403">
        <v>45208</v>
      </c>
      <c r="D44" s="403">
        <v>45215</v>
      </c>
      <c r="E44" s="403">
        <v>45222</v>
      </c>
      <c r="F44" s="403">
        <v>45229</v>
      </c>
      <c r="G44" s="403">
        <v>45236</v>
      </c>
      <c r="H44" s="403">
        <v>45243</v>
      </c>
      <c r="I44" s="403">
        <v>45250</v>
      </c>
      <c r="J44" s="403">
        <v>45988</v>
      </c>
      <c r="K44" s="403">
        <v>45995</v>
      </c>
      <c r="L44" s="403">
        <v>46002</v>
      </c>
      <c r="M44" s="404" t="s">
        <v>127</v>
      </c>
      <c r="N44" s="410" t="s">
        <v>169</v>
      </c>
    </row>
    <row r="45" spans="1:14">
      <c r="A45" s="400" t="s">
        <v>207</v>
      </c>
      <c r="B45" s="406">
        <v>279</v>
      </c>
      <c r="C45" s="406">
        <v>293</v>
      </c>
      <c r="D45" s="406">
        <v>309</v>
      </c>
      <c r="E45" s="406">
        <v>348</v>
      </c>
      <c r="F45" s="406">
        <v>410</v>
      </c>
      <c r="G45" s="406">
        <v>485</v>
      </c>
      <c r="H45" s="406">
        <v>540</v>
      </c>
      <c r="I45" s="406">
        <v>608</v>
      </c>
      <c r="J45" s="406">
        <v>674</v>
      </c>
      <c r="K45" s="406">
        <v>793</v>
      </c>
      <c r="L45" s="406">
        <v>912</v>
      </c>
      <c r="M45" s="406">
        <v>1446</v>
      </c>
      <c r="N45" s="413">
        <v>0.76270000000000004</v>
      </c>
    </row>
    <row r="46" spans="1:14">
      <c r="A46" s="400" t="s">
        <v>208</v>
      </c>
      <c r="B46" s="406">
        <v>288</v>
      </c>
      <c r="C46" s="406">
        <v>332</v>
      </c>
      <c r="D46" s="406">
        <v>391</v>
      </c>
      <c r="E46" s="406">
        <v>435</v>
      </c>
      <c r="F46" s="406">
        <v>536</v>
      </c>
      <c r="G46" s="406">
        <v>605</v>
      </c>
      <c r="H46" s="406">
        <v>744</v>
      </c>
      <c r="I46" s="406">
        <v>845</v>
      </c>
      <c r="J46" s="406">
        <v>942</v>
      </c>
      <c r="K46" s="406">
        <v>1068</v>
      </c>
      <c r="L46" s="406">
        <v>1230</v>
      </c>
      <c r="M46" s="406">
        <v>1446</v>
      </c>
      <c r="N46" s="407">
        <v>0.92730000000000001</v>
      </c>
    </row>
    <row r="47" spans="1:14">
      <c r="A47" s="400" t="s">
        <v>209</v>
      </c>
      <c r="B47" s="406">
        <v>506</v>
      </c>
      <c r="C47" s="406">
        <v>529</v>
      </c>
      <c r="D47" s="406">
        <v>575</v>
      </c>
      <c r="E47" s="406">
        <v>625</v>
      </c>
      <c r="F47" s="406">
        <v>741</v>
      </c>
      <c r="G47" s="406">
        <v>835</v>
      </c>
      <c r="H47" s="406">
        <v>972</v>
      </c>
      <c r="I47" s="406">
        <v>1097</v>
      </c>
      <c r="J47" s="406">
        <v>1175</v>
      </c>
      <c r="K47" s="406">
        <v>1315</v>
      </c>
      <c r="L47" s="406">
        <v>1382</v>
      </c>
      <c r="M47" s="406">
        <v>1446</v>
      </c>
      <c r="N47" s="407">
        <v>0.97230000000000005</v>
      </c>
    </row>
    <row r="48" spans="1:14">
      <c r="A48" s="400" t="s">
        <v>210</v>
      </c>
      <c r="B48" s="406">
        <v>396</v>
      </c>
      <c r="C48" s="406">
        <v>417</v>
      </c>
      <c r="D48" s="406">
        <v>462</v>
      </c>
      <c r="E48" s="406">
        <v>520</v>
      </c>
      <c r="F48" s="406">
        <v>554</v>
      </c>
      <c r="G48" s="406">
        <v>619</v>
      </c>
      <c r="H48" s="406">
        <v>806</v>
      </c>
      <c r="I48" s="406">
        <v>887</v>
      </c>
      <c r="J48" s="406">
        <v>965</v>
      </c>
      <c r="K48" s="406">
        <v>1139</v>
      </c>
      <c r="L48" s="406">
        <v>1312</v>
      </c>
      <c r="M48" s="406">
        <v>1446</v>
      </c>
      <c r="N48" s="407">
        <v>0.97640000000000005</v>
      </c>
    </row>
    <row r="49" spans="1:14">
      <c r="A49" s="400" t="s">
        <v>211</v>
      </c>
      <c r="B49" s="406">
        <v>442</v>
      </c>
      <c r="C49" s="406">
        <v>467</v>
      </c>
      <c r="D49" s="406">
        <v>499</v>
      </c>
      <c r="E49" s="406">
        <v>559</v>
      </c>
      <c r="F49" s="406">
        <v>648</v>
      </c>
      <c r="G49" s="406">
        <v>712</v>
      </c>
      <c r="H49" s="406">
        <v>800</v>
      </c>
      <c r="I49" s="406">
        <v>857</v>
      </c>
      <c r="J49" s="406">
        <v>866</v>
      </c>
      <c r="K49" s="406">
        <v>903</v>
      </c>
      <c r="L49" s="406">
        <v>925</v>
      </c>
      <c r="M49" s="406">
        <v>969</v>
      </c>
      <c r="N49" s="407">
        <v>0.99170000000000003</v>
      </c>
    </row>
    <row r="50" spans="1:14">
      <c r="A50" s="400" t="s">
        <v>212</v>
      </c>
      <c r="B50" s="406">
        <v>184</v>
      </c>
      <c r="C50" s="406">
        <v>231</v>
      </c>
      <c r="D50" s="406">
        <v>252</v>
      </c>
      <c r="E50" s="406">
        <v>268</v>
      </c>
      <c r="F50" s="406">
        <v>296</v>
      </c>
      <c r="G50" s="406">
        <v>342</v>
      </c>
      <c r="H50" s="406">
        <v>392</v>
      </c>
      <c r="I50" s="406">
        <v>479</v>
      </c>
      <c r="J50" s="406">
        <v>584</v>
      </c>
      <c r="K50" s="406">
        <v>729</v>
      </c>
      <c r="L50" s="406">
        <v>874</v>
      </c>
      <c r="M50" s="406">
        <v>1446</v>
      </c>
      <c r="N50" s="407">
        <v>0.97019999999999995</v>
      </c>
    </row>
  </sheetData>
  <mergeCells count="3">
    <mergeCell ref="D1:L1"/>
    <mergeCell ref="Q2:T2"/>
    <mergeCell ref="U2:AA2"/>
  </mergeCells>
  <conditionalFormatting sqref="N4:N9">
    <cfRule type="cellIs" dxfId="44" priority="1" stopIfTrue="1" operator="equal">
      <formula>""</formula>
    </cfRule>
    <cfRule type="cellIs" dxfId="43" priority="2" operator="equal">
      <formula>"Too early"</formula>
    </cfRule>
    <cfRule type="cellIs" dxfId="42" priority="3" operator="lessThanOrEqual">
      <formula>0.7</formula>
    </cfRule>
    <cfRule type="cellIs" dxfId="41" priority="4" operator="between">
      <formula>0.85</formula>
      <formula>0.7</formula>
    </cfRule>
    <cfRule type="cellIs" dxfId="4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workbookViewId="0">
      <selection activeCell="A11" sqref="A11"/>
    </sheetView>
  </sheetViews>
  <sheetFormatPr defaultColWidth="12.5703125" defaultRowHeight="15.75"/>
  <cols>
    <col min="1" max="2" width="12.5703125" style="82"/>
    <col min="3" max="3" width="12.28515625" style="82" customWidth="1"/>
    <col min="4" max="4" width="9.42578125" style="82" bestFit="1" customWidth="1"/>
    <col min="5" max="5" width="12.7109375" style="82" customWidth="1"/>
    <col min="6" max="6" width="12.28515625" style="82" customWidth="1"/>
    <col min="7" max="7" width="11.5703125" style="82" customWidth="1"/>
    <col min="8" max="8" width="15.28515625" style="82" customWidth="1"/>
    <col min="9" max="9" width="12.28515625" style="82" customWidth="1"/>
    <col min="10" max="10" width="9.42578125" style="82" bestFit="1" customWidth="1"/>
    <col min="11" max="11" width="12.7109375" style="82" customWidth="1"/>
    <col min="12" max="12" width="16" style="82" customWidth="1"/>
    <col min="13" max="13" width="3.28515625" style="82" customWidth="1"/>
    <col min="14" max="14" width="11.140625" style="82" customWidth="1"/>
    <col min="15" max="15" width="9.140625" style="82"/>
    <col min="16" max="16" width="12.85546875" style="82" customWidth="1"/>
    <col min="17" max="17" width="14.42578125" style="82" bestFit="1" customWidth="1"/>
    <col min="18" max="18" width="17.7109375" style="82" bestFit="1" customWidth="1"/>
    <col min="19" max="19" width="9.140625" style="82"/>
    <col min="20" max="20" width="15.5703125" style="82" bestFit="1" customWidth="1"/>
    <col min="21" max="21" width="12.28515625" style="82" customWidth="1"/>
    <col min="22" max="22" width="9.140625" style="82"/>
    <col min="23" max="23" width="14.85546875" style="82" bestFit="1" customWidth="1"/>
    <col min="24" max="16384" width="12.5703125" style="82"/>
  </cols>
  <sheetData>
    <row r="1" spans="1:23">
      <c r="B1" s="82" t="s">
        <v>213</v>
      </c>
      <c r="E1" s="83" t="s">
        <v>3</v>
      </c>
      <c r="F1" s="83"/>
      <c r="G1" s="83"/>
      <c r="J1" s="365" t="s">
        <v>214</v>
      </c>
      <c r="K1" s="365"/>
    </row>
    <row r="2" spans="1:23">
      <c r="B2" s="82" t="s">
        <v>215</v>
      </c>
      <c r="E2" s="84" t="s">
        <v>216</v>
      </c>
      <c r="F2" s="85"/>
      <c r="G2" s="85"/>
      <c r="J2" s="86" t="s">
        <v>217</v>
      </c>
      <c r="K2" s="86"/>
      <c r="N2" s="136" t="s">
        <v>64</v>
      </c>
      <c r="S2" s="547" t="s">
        <v>218</v>
      </c>
      <c r="T2" s="547"/>
    </row>
    <row r="3" spans="1:23">
      <c r="E3" s="87" t="s">
        <v>219</v>
      </c>
      <c r="F3" s="88"/>
      <c r="G3" s="88"/>
      <c r="J3" s="89" t="s">
        <v>220</v>
      </c>
      <c r="K3" s="89"/>
      <c r="N3" s="90">
        <v>0.72</v>
      </c>
      <c r="O3" s="82" t="s">
        <v>221</v>
      </c>
      <c r="S3" s="82" t="s">
        <v>222</v>
      </c>
      <c r="T3" s="82" t="s">
        <v>223</v>
      </c>
    </row>
    <row r="4" spans="1:23">
      <c r="O4" s="91">
        <f>O8/S8*S4</f>
        <v>190.76951550216057</v>
      </c>
      <c r="P4" s="92">
        <f>P8/O8*O4</f>
        <v>67934.778672760774</v>
      </c>
      <c r="Q4" s="91">
        <f>Q8/S8*S4</f>
        <v>2954.7347372317399</v>
      </c>
      <c r="R4" s="92">
        <f>R8/Q8*Q4</f>
        <v>1567065.2213272392</v>
      </c>
      <c r="S4" s="272">
        <f>T4/(T8/S8)</f>
        <v>3145.5042527339006</v>
      </c>
      <c r="T4" s="273">
        <v>1635000</v>
      </c>
      <c r="U4" s="274" t="s">
        <v>224</v>
      </c>
    </row>
    <row r="5" spans="1:23">
      <c r="B5" s="136" t="s">
        <v>225</v>
      </c>
      <c r="O5" s="91">
        <f>O9/S9*S5</f>
        <v>8.670865068310464</v>
      </c>
      <c r="P5" s="92">
        <f>P9/O9*O5</f>
        <v>2639.154412273163</v>
      </c>
      <c r="Q5" s="91">
        <f>Q9/S9*S5</f>
        <v>267.83338766558995</v>
      </c>
      <c r="R5" s="92">
        <f>R9/Q9*Q5</f>
        <v>147753.14647976376</v>
      </c>
      <c r="S5" s="91">
        <f>T5/(T8/S8)</f>
        <v>276.50425273390039</v>
      </c>
      <c r="T5" s="92">
        <f>T4-T8</f>
        <v>143724</v>
      </c>
      <c r="U5" s="82" t="s">
        <v>226</v>
      </c>
      <c r="W5" s="93"/>
    </row>
    <row r="6" spans="1:23">
      <c r="C6" s="548" t="s">
        <v>227</v>
      </c>
      <c r="D6" s="548"/>
      <c r="E6" s="548"/>
      <c r="F6" s="548" t="s">
        <v>228</v>
      </c>
      <c r="G6" s="548"/>
      <c r="H6" s="548"/>
      <c r="I6" s="548" t="s">
        <v>224</v>
      </c>
      <c r="J6" s="548"/>
      <c r="K6" s="548"/>
      <c r="N6" s="136" t="s">
        <v>229</v>
      </c>
      <c r="W6" s="93"/>
    </row>
    <row r="7" spans="1:23">
      <c r="A7" s="82" t="s">
        <v>230</v>
      </c>
      <c r="C7" s="94" t="s">
        <v>231</v>
      </c>
      <c r="D7" s="94" t="s">
        <v>232</v>
      </c>
      <c r="E7" s="94" t="s">
        <v>233</v>
      </c>
      <c r="F7" s="94" t="s">
        <v>231</v>
      </c>
      <c r="G7" s="94" t="s">
        <v>232</v>
      </c>
      <c r="H7" s="94" t="s">
        <v>233</v>
      </c>
      <c r="I7" s="94" t="s">
        <v>231</v>
      </c>
      <c r="J7" s="94" t="s">
        <v>232</v>
      </c>
      <c r="K7" s="94" t="s">
        <v>233</v>
      </c>
      <c r="L7" s="95" t="s">
        <v>234</v>
      </c>
      <c r="O7" s="82" t="s">
        <v>235</v>
      </c>
      <c r="P7" s="82" t="s">
        <v>236</v>
      </c>
      <c r="Q7" s="82" t="s">
        <v>237</v>
      </c>
      <c r="R7" s="82" t="s">
        <v>238</v>
      </c>
      <c r="S7" s="82" t="s">
        <v>239</v>
      </c>
      <c r="T7" s="82" t="s">
        <v>240</v>
      </c>
      <c r="U7" s="95" t="s">
        <v>241</v>
      </c>
    </row>
    <row r="8" spans="1:23" s="96" customFormat="1">
      <c r="A8" s="96" t="s">
        <v>242</v>
      </c>
      <c r="I8" s="97">
        <f>I16</f>
        <v>2456</v>
      </c>
      <c r="J8" s="97"/>
      <c r="K8" s="98">
        <f>K16</f>
        <v>1408430</v>
      </c>
      <c r="L8" s="99"/>
      <c r="N8" s="96" t="s">
        <v>243</v>
      </c>
      <c r="O8" s="100">
        <f>O21</f>
        <v>174</v>
      </c>
      <c r="P8" s="101">
        <f t="shared" ref="P8:T8" si="0">P21</f>
        <v>61963</v>
      </c>
      <c r="Q8" s="100">
        <f t="shared" si="0"/>
        <v>2695</v>
      </c>
      <c r="R8" s="101">
        <f t="shared" si="0"/>
        <v>1429313</v>
      </c>
      <c r="S8" s="100">
        <f t="shared" si="0"/>
        <v>2869</v>
      </c>
      <c r="T8" s="101">
        <f t="shared" si="0"/>
        <v>1491276</v>
      </c>
      <c r="U8" s="102"/>
      <c r="W8" s="97"/>
    </row>
    <row r="9" spans="1:23">
      <c r="A9" s="82">
        <v>1</v>
      </c>
      <c r="B9" s="103">
        <v>45747</v>
      </c>
      <c r="C9" s="104">
        <v>30</v>
      </c>
      <c r="D9" s="105">
        <f>C9/'Sales Pacing'!B3</f>
        <v>713.33333333333337</v>
      </c>
      <c r="E9" s="106">
        <v>16220</v>
      </c>
      <c r="F9" s="104">
        <v>898</v>
      </c>
      <c r="G9" s="105">
        <f>F9/'Sales Pacing'!E3</f>
        <v>3554.0218281036837</v>
      </c>
      <c r="H9" s="106">
        <v>527973</v>
      </c>
      <c r="I9" s="107">
        <f>C9+F9</f>
        <v>928</v>
      </c>
      <c r="J9" s="105">
        <f>D9+G9</f>
        <v>4267.3551614370172</v>
      </c>
      <c r="K9" s="108">
        <f>E9+H9</f>
        <v>544193</v>
      </c>
      <c r="L9" s="109"/>
      <c r="N9" s="103">
        <v>45383</v>
      </c>
      <c r="O9" s="107">
        <v>27</v>
      </c>
      <c r="P9" s="108">
        <v>8218</v>
      </c>
      <c r="Q9" s="107">
        <v>834</v>
      </c>
      <c r="R9" s="108">
        <v>460085</v>
      </c>
      <c r="S9" s="107">
        <f t="shared" ref="S9:T21" si="1">O9+Q9</f>
        <v>861</v>
      </c>
      <c r="T9" s="108">
        <f t="shared" si="1"/>
        <v>468303</v>
      </c>
      <c r="U9" s="95"/>
    </row>
    <row r="10" spans="1:23">
      <c r="A10" s="82">
        <v>2</v>
      </c>
      <c r="B10" s="103">
        <v>45754</v>
      </c>
      <c r="C10" s="104">
        <v>39</v>
      </c>
      <c r="D10" s="105">
        <f>C10/'Sales Pacing'!B4</f>
        <v>642</v>
      </c>
      <c r="E10" s="106">
        <v>21024</v>
      </c>
      <c r="F10" s="104">
        <v>1136</v>
      </c>
      <c r="G10" s="105">
        <f>F10/'Sales Pacing'!E4</f>
        <v>3593.8233369683753</v>
      </c>
      <c r="H10" s="106">
        <v>652031</v>
      </c>
      <c r="I10" s="107">
        <f t="shared" ref="I10:K21" si="2">C10+F10</f>
        <v>1175</v>
      </c>
      <c r="J10" s="105">
        <f t="shared" si="2"/>
        <v>4235.8233369683749</v>
      </c>
      <c r="K10" s="108">
        <f t="shared" si="2"/>
        <v>673055</v>
      </c>
      <c r="L10" s="109">
        <f t="shared" ref="L10:L15" si="3">IF(K10&gt;0,K10-K9,0)</f>
        <v>128862</v>
      </c>
      <c r="N10" s="103">
        <f t="shared" ref="N10:N20" si="4">N9+7</f>
        <v>45390</v>
      </c>
      <c r="O10" s="107">
        <v>32</v>
      </c>
      <c r="P10" s="108">
        <v>12068</v>
      </c>
      <c r="Q10" s="107">
        <v>1194</v>
      </c>
      <c r="R10" s="108">
        <v>655718</v>
      </c>
      <c r="S10" s="107">
        <f t="shared" si="1"/>
        <v>1226</v>
      </c>
      <c r="T10" s="108">
        <f t="shared" si="1"/>
        <v>667786</v>
      </c>
      <c r="U10" s="109">
        <f t="shared" ref="U10:U21" si="5">IF(T10&gt;0,T10-T9,0)</f>
        <v>199483</v>
      </c>
    </row>
    <row r="11" spans="1:23">
      <c r="A11" s="82">
        <v>3</v>
      </c>
      <c r="B11" s="103">
        <v>45761</v>
      </c>
      <c r="C11" s="104">
        <v>50</v>
      </c>
      <c r="D11" s="105">
        <f>C11/'Sales Pacing'!B5</f>
        <v>455.31914893617022</v>
      </c>
      <c r="E11" s="106">
        <v>27424</v>
      </c>
      <c r="F11" s="104">
        <v>1387</v>
      </c>
      <c r="G11" s="105">
        <f>F11/'Sales Pacing'!E5</f>
        <v>3529.5499999999997</v>
      </c>
      <c r="H11" s="106">
        <v>817109</v>
      </c>
      <c r="I11" s="107">
        <f t="shared" si="2"/>
        <v>1437</v>
      </c>
      <c r="J11" s="105">
        <f t="shared" si="2"/>
        <v>3984.8691489361699</v>
      </c>
      <c r="K11" s="108">
        <f t="shared" si="2"/>
        <v>844533</v>
      </c>
      <c r="L11" s="109">
        <f t="shared" si="3"/>
        <v>171478</v>
      </c>
      <c r="N11" s="103">
        <f t="shared" si="4"/>
        <v>45397</v>
      </c>
      <c r="O11" s="107">
        <v>36</v>
      </c>
      <c r="P11" s="108">
        <v>13657</v>
      </c>
      <c r="Q11" s="107">
        <v>1434</v>
      </c>
      <c r="R11" s="108">
        <v>789833</v>
      </c>
      <c r="S11" s="107">
        <f t="shared" si="1"/>
        <v>1470</v>
      </c>
      <c r="T11" s="108">
        <f t="shared" si="1"/>
        <v>803490</v>
      </c>
      <c r="U11" s="109">
        <f t="shared" si="5"/>
        <v>135704</v>
      </c>
      <c r="W11" s="110"/>
    </row>
    <row r="12" spans="1:23">
      <c r="A12" s="82">
        <v>4</v>
      </c>
      <c r="B12" s="103">
        <v>45768</v>
      </c>
      <c r="C12" s="104">
        <v>76</v>
      </c>
      <c r="D12" s="105">
        <f>C12/'Sales Pacing'!B6</f>
        <v>591.41818181818189</v>
      </c>
      <c r="E12" s="106">
        <v>40984</v>
      </c>
      <c r="F12" s="104">
        <v>1739</v>
      </c>
      <c r="G12" s="105">
        <f>F12/'Sales Pacing'!E6</f>
        <v>3653.0333091962348</v>
      </c>
      <c r="H12" s="106">
        <v>1005395</v>
      </c>
      <c r="I12" s="107">
        <f t="shared" si="2"/>
        <v>1815</v>
      </c>
      <c r="J12" s="105">
        <f t="shared" si="2"/>
        <v>4244.4514910144171</v>
      </c>
      <c r="K12" s="108">
        <f t="shared" si="2"/>
        <v>1046379</v>
      </c>
      <c r="L12" s="109">
        <f t="shared" si="3"/>
        <v>201846</v>
      </c>
      <c r="N12" s="103">
        <f t="shared" si="4"/>
        <v>45404</v>
      </c>
      <c r="O12" s="107">
        <v>45</v>
      </c>
      <c r="P12" s="108">
        <v>17584</v>
      </c>
      <c r="Q12" s="107">
        <v>1789</v>
      </c>
      <c r="R12" s="108">
        <v>976040</v>
      </c>
      <c r="S12" s="107">
        <f t="shared" si="1"/>
        <v>1834</v>
      </c>
      <c r="T12" s="108">
        <f t="shared" si="1"/>
        <v>993624</v>
      </c>
      <c r="U12" s="109">
        <f t="shared" si="5"/>
        <v>190134</v>
      </c>
    </row>
    <row r="13" spans="1:23">
      <c r="A13" s="85">
        <v>5</v>
      </c>
      <c r="B13" s="103">
        <f t="shared" ref="B13:B20" si="6">B12+7</f>
        <v>45775</v>
      </c>
      <c r="C13" s="104">
        <v>112</v>
      </c>
      <c r="D13" s="105">
        <f>C13/'Sales Pacing'!B7</f>
        <v>684.80000000000007</v>
      </c>
      <c r="E13" s="106">
        <v>54163</v>
      </c>
      <c r="F13" s="104">
        <v>2160</v>
      </c>
      <c r="G13" s="105">
        <f>F13/'Sales Pacing'!E7</f>
        <v>3788.4885126964932</v>
      </c>
      <c r="H13" s="106">
        <v>1232817</v>
      </c>
      <c r="I13" s="111">
        <f t="shared" si="2"/>
        <v>2272</v>
      </c>
      <c r="J13" s="105">
        <f t="shared" si="2"/>
        <v>4473.2885126964929</v>
      </c>
      <c r="K13" s="108">
        <f t="shared" si="2"/>
        <v>1286980</v>
      </c>
      <c r="L13" s="109">
        <f t="shared" si="3"/>
        <v>240601</v>
      </c>
      <c r="N13" s="103">
        <f t="shared" si="4"/>
        <v>45411</v>
      </c>
      <c r="O13" s="107">
        <v>47</v>
      </c>
      <c r="P13" s="108">
        <v>17987</v>
      </c>
      <c r="Q13" s="107">
        <v>2005</v>
      </c>
      <c r="R13" s="108">
        <v>1080463</v>
      </c>
      <c r="S13" s="107">
        <f t="shared" si="1"/>
        <v>2052</v>
      </c>
      <c r="T13" s="108">
        <f t="shared" si="1"/>
        <v>1098450</v>
      </c>
      <c r="U13" s="109">
        <f t="shared" si="5"/>
        <v>104826</v>
      </c>
    </row>
    <row r="14" spans="1:23">
      <c r="A14" s="82">
        <v>6</v>
      </c>
      <c r="B14" s="103">
        <f t="shared" si="6"/>
        <v>45782</v>
      </c>
      <c r="C14" s="104">
        <v>121</v>
      </c>
      <c r="D14" s="105">
        <f>C14/'Sales Pacing'!B8</f>
        <v>533.89690721649481</v>
      </c>
      <c r="E14" s="106">
        <v>58153</v>
      </c>
      <c r="F14" s="104">
        <v>2252</v>
      </c>
      <c r="G14" s="105">
        <f>F14/'Sales Pacing'!E8</f>
        <v>3121.3817486860971</v>
      </c>
      <c r="H14" s="106">
        <v>1294295</v>
      </c>
      <c r="I14" s="112">
        <f t="shared" si="2"/>
        <v>2373</v>
      </c>
      <c r="J14" s="105">
        <f t="shared" si="2"/>
        <v>3655.2786559025917</v>
      </c>
      <c r="K14" s="113">
        <f t="shared" si="2"/>
        <v>1352448</v>
      </c>
      <c r="L14" s="109">
        <f t="shared" si="3"/>
        <v>65468</v>
      </c>
      <c r="N14" s="103">
        <f t="shared" si="4"/>
        <v>45418</v>
      </c>
      <c r="O14" s="107">
        <v>70</v>
      </c>
      <c r="P14" s="108">
        <v>26832</v>
      </c>
      <c r="Q14" s="107">
        <v>2362</v>
      </c>
      <c r="R14" s="108">
        <v>1271615</v>
      </c>
      <c r="S14" s="107">
        <f t="shared" si="1"/>
        <v>2432</v>
      </c>
      <c r="T14" s="108">
        <f t="shared" si="1"/>
        <v>1298447</v>
      </c>
      <c r="U14" s="109">
        <f t="shared" si="5"/>
        <v>199997</v>
      </c>
    </row>
    <row r="15" spans="1:23">
      <c r="A15" s="82">
        <v>7</v>
      </c>
      <c r="B15" s="103">
        <f t="shared" si="6"/>
        <v>45789</v>
      </c>
      <c r="C15" s="104">
        <v>122</v>
      </c>
      <c r="D15" s="105">
        <f>C15/'Sales Pacing'!B9</f>
        <v>404.77519379844961</v>
      </c>
      <c r="E15" s="106">
        <v>59763</v>
      </c>
      <c r="F15" s="104">
        <v>2293</v>
      </c>
      <c r="G15" s="105">
        <f>F15/'Sales Pacing'!E9</f>
        <v>2534.0925714285713</v>
      </c>
      <c r="H15" s="106">
        <v>1322554</v>
      </c>
      <c r="I15" s="112">
        <f t="shared" si="2"/>
        <v>2415</v>
      </c>
      <c r="J15" s="105">
        <f t="shared" si="2"/>
        <v>2938.8677652270208</v>
      </c>
      <c r="K15" s="113">
        <f t="shared" si="2"/>
        <v>1382317</v>
      </c>
      <c r="L15" s="109">
        <f t="shared" si="3"/>
        <v>29869</v>
      </c>
      <c r="N15" s="103">
        <f t="shared" si="4"/>
        <v>45425</v>
      </c>
      <c r="O15" s="107">
        <v>76</v>
      </c>
      <c r="P15" s="108">
        <v>28802</v>
      </c>
      <c r="Q15" s="107">
        <v>2443</v>
      </c>
      <c r="R15" s="108">
        <v>1319275</v>
      </c>
      <c r="S15" s="107">
        <f t="shared" si="1"/>
        <v>2519</v>
      </c>
      <c r="T15" s="108">
        <f t="shared" si="1"/>
        <v>1348077</v>
      </c>
      <c r="U15" s="109">
        <f t="shared" si="5"/>
        <v>49630</v>
      </c>
    </row>
    <row r="16" spans="1:23">
      <c r="A16" s="82">
        <v>8</v>
      </c>
      <c r="B16" s="103">
        <f t="shared" si="6"/>
        <v>45796</v>
      </c>
      <c r="C16" s="83">
        <v>134</v>
      </c>
      <c r="D16" s="105">
        <f>C16/'Sales Pacing'!B10</f>
        <v>382.34666666666669</v>
      </c>
      <c r="E16" s="114">
        <v>63528</v>
      </c>
      <c r="F16" s="115">
        <v>2322</v>
      </c>
      <c r="G16" s="105">
        <f>F16/'Sales Pacing'!E10</f>
        <v>2473.7869996327581</v>
      </c>
      <c r="H16" s="114">
        <v>1344902</v>
      </c>
      <c r="I16" s="112">
        <f t="shared" si="2"/>
        <v>2456</v>
      </c>
      <c r="J16" s="105">
        <f t="shared" si="2"/>
        <v>2856.1336662994249</v>
      </c>
      <c r="K16" s="113">
        <f t="shared" si="2"/>
        <v>1408430</v>
      </c>
      <c r="L16" s="109">
        <f>IF(K16&gt;0,K16-K15,0)</f>
        <v>26113</v>
      </c>
      <c r="N16" s="103">
        <f t="shared" si="4"/>
        <v>45432</v>
      </c>
      <c r="O16" s="107">
        <v>85</v>
      </c>
      <c r="P16" s="108">
        <v>30752</v>
      </c>
      <c r="Q16" s="107">
        <v>2473</v>
      </c>
      <c r="R16" s="108">
        <v>1329297</v>
      </c>
      <c r="S16" s="107">
        <f t="shared" si="1"/>
        <v>2558</v>
      </c>
      <c r="T16" s="108">
        <f t="shared" si="1"/>
        <v>1360049</v>
      </c>
      <c r="U16" s="109">
        <f t="shared" si="5"/>
        <v>11972</v>
      </c>
      <c r="W16" s="91"/>
    </row>
    <row r="17" spans="1:23">
      <c r="A17" s="82">
        <v>9</v>
      </c>
      <c r="B17" s="103">
        <f t="shared" si="6"/>
        <v>45803</v>
      </c>
      <c r="C17" s="83">
        <v>146</v>
      </c>
      <c r="D17" s="105">
        <f>C17/'Sales Pacing'!B11</f>
        <v>369.75147928994079</v>
      </c>
      <c r="E17" s="114">
        <v>67946</v>
      </c>
      <c r="F17" s="115">
        <v>2345</v>
      </c>
      <c r="G17" s="105">
        <f>F17/'Sales Pacing'!E11</f>
        <v>2468.3762699564586</v>
      </c>
      <c r="H17" s="114">
        <v>1357272</v>
      </c>
      <c r="I17" s="112">
        <f t="shared" si="2"/>
        <v>2491</v>
      </c>
      <c r="J17" s="105">
        <f t="shared" si="2"/>
        <v>2838.1277492463996</v>
      </c>
      <c r="K17" s="113">
        <f t="shared" si="2"/>
        <v>1425218</v>
      </c>
      <c r="L17" s="109">
        <f t="shared" ref="L17:L20" si="7">IF(K17&gt;0,K17-K16,0)</f>
        <v>16788</v>
      </c>
      <c r="N17" s="103">
        <f t="shared" si="4"/>
        <v>45439</v>
      </c>
      <c r="O17" s="107">
        <v>91</v>
      </c>
      <c r="P17" s="108">
        <v>32154</v>
      </c>
      <c r="Q17" s="107">
        <v>2513</v>
      </c>
      <c r="R17" s="108">
        <v>1344658</v>
      </c>
      <c r="S17" s="107">
        <f t="shared" si="1"/>
        <v>2604</v>
      </c>
      <c r="T17" s="108">
        <f t="shared" si="1"/>
        <v>1376812</v>
      </c>
      <c r="U17" s="109">
        <f t="shared" si="5"/>
        <v>16763</v>
      </c>
      <c r="W17" s="91"/>
    </row>
    <row r="18" spans="1:23">
      <c r="A18" s="82">
        <v>10</v>
      </c>
      <c r="B18" s="103">
        <f t="shared" si="6"/>
        <v>45810</v>
      </c>
      <c r="C18" s="83">
        <v>165</v>
      </c>
      <c r="D18" s="105">
        <f>C18/'Sales Pacing'!B12</f>
        <v>377.64705882352939</v>
      </c>
      <c r="E18" s="114">
        <v>75744</v>
      </c>
      <c r="F18" s="115">
        <v>2369</v>
      </c>
      <c r="G18" s="105">
        <f>F18/'Sales Pacing'!E12</f>
        <v>2461.4860315186247</v>
      </c>
      <c r="H18" s="114">
        <v>1380368</v>
      </c>
      <c r="I18" s="112">
        <f t="shared" si="2"/>
        <v>2534</v>
      </c>
      <c r="J18" s="105">
        <f t="shared" si="2"/>
        <v>2839.133090342154</v>
      </c>
      <c r="K18" s="113">
        <f t="shared" si="2"/>
        <v>1456112</v>
      </c>
      <c r="L18" s="109">
        <f t="shared" si="7"/>
        <v>30894</v>
      </c>
      <c r="N18" s="103">
        <f t="shared" si="4"/>
        <v>45446</v>
      </c>
      <c r="O18" s="107">
        <v>94</v>
      </c>
      <c r="P18" s="108">
        <v>32854</v>
      </c>
      <c r="Q18" s="107">
        <v>2608</v>
      </c>
      <c r="R18" s="108">
        <v>1391277</v>
      </c>
      <c r="S18" s="107">
        <f t="shared" si="1"/>
        <v>2702</v>
      </c>
      <c r="T18" s="108">
        <f t="shared" si="1"/>
        <v>1424131</v>
      </c>
      <c r="U18" s="109">
        <f t="shared" si="5"/>
        <v>47319</v>
      </c>
      <c r="W18" s="91"/>
    </row>
    <row r="19" spans="1:23">
      <c r="A19" s="88">
        <v>11</v>
      </c>
      <c r="B19" s="103">
        <f t="shared" si="6"/>
        <v>45817</v>
      </c>
      <c r="C19" s="83">
        <v>186</v>
      </c>
      <c r="D19" s="105">
        <f>C19/'Sales Pacing'!B13</f>
        <v>396.05970149253727</v>
      </c>
      <c r="E19" s="114">
        <v>89633</v>
      </c>
      <c r="F19" s="115">
        <v>2384</v>
      </c>
      <c r="G19" s="105">
        <f>F19/'Sales Pacing'!E13</f>
        <v>2469.1124598357728</v>
      </c>
      <c r="H19" s="114">
        <v>1390065</v>
      </c>
      <c r="I19" s="116">
        <f t="shared" si="2"/>
        <v>2570</v>
      </c>
      <c r="J19" s="105">
        <f t="shared" si="2"/>
        <v>2865.1721613283103</v>
      </c>
      <c r="K19" s="113">
        <f t="shared" si="2"/>
        <v>1479698</v>
      </c>
      <c r="L19" s="109">
        <f t="shared" si="7"/>
        <v>23586</v>
      </c>
      <c r="N19" s="103">
        <f t="shared" si="4"/>
        <v>45453</v>
      </c>
      <c r="O19" s="107">
        <v>95</v>
      </c>
      <c r="P19" s="108">
        <v>33169</v>
      </c>
      <c r="Q19" s="107">
        <v>2628</v>
      </c>
      <c r="R19" s="108">
        <v>1398365</v>
      </c>
      <c r="S19" s="107">
        <f t="shared" si="1"/>
        <v>2723</v>
      </c>
      <c r="T19" s="108">
        <f t="shared" si="1"/>
        <v>1431534</v>
      </c>
      <c r="U19" s="109">
        <f t="shared" si="5"/>
        <v>7403</v>
      </c>
      <c r="W19" s="91"/>
    </row>
    <row r="20" spans="1:23">
      <c r="A20" s="82">
        <v>12</v>
      </c>
      <c r="B20" s="103">
        <f t="shared" si="6"/>
        <v>45824</v>
      </c>
      <c r="C20" s="83">
        <v>205</v>
      </c>
      <c r="D20" s="105">
        <f>C20/'Sales Pacing'!B14</f>
        <v>404.33179723502309</v>
      </c>
      <c r="E20" s="114">
        <v>94753</v>
      </c>
      <c r="F20" s="115">
        <v>2413</v>
      </c>
      <c r="G20" s="105">
        <f>F20/'Sales Pacing'!E14</f>
        <v>2491.1434163701065</v>
      </c>
      <c r="H20" s="114">
        <v>1408181</v>
      </c>
      <c r="I20" s="112">
        <f t="shared" si="2"/>
        <v>2618</v>
      </c>
      <c r="J20" s="105">
        <f t="shared" si="2"/>
        <v>2895.4752136051297</v>
      </c>
      <c r="K20" s="113">
        <f t="shared" si="2"/>
        <v>1502934</v>
      </c>
      <c r="L20" s="109">
        <f t="shared" si="7"/>
        <v>23236</v>
      </c>
      <c r="N20" s="103">
        <f t="shared" si="4"/>
        <v>45460</v>
      </c>
      <c r="O20" s="107">
        <v>103</v>
      </c>
      <c r="P20" s="108">
        <v>35745</v>
      </c>
      <c r="Q20" s="107">
        <v>2655</v>
      </c>
      <c r="R20" s="108">
        <v>1411925</v>
      </c>
      <c r="S20" s="107">
        <f t="shared" si="1"/>
        <v>2758</v>
      </c>
      <c r="T20" s="108">
        <f t="shared" si="1"/>
        <v>1447670</v>
      </c>
      <c r="U20" s="109">
        <f t="shared" si="5"/>
        <v>16136</v>
      </c>
      <c r="W20" s="91"/>
    </row>
    <row r="21" spans="1:23">
      <c r="A21" s="117" t="s">
        <v>244</v>
      </c>
      <c r="B21" s="362">
        <v>45922</v>
      </c>
      <c r="C21" s="83">
        <v>320</v>
      </c>
      <c r="D21" s="105">
        <f>C21/'Sales Pacing'!B15</f>
        <v>320</v>
      </c>
      <c r="E21" s="114">
        <v>141042</v>
      </c>
      <c r="F21" s="115">
        <v>2427</v>
      </c>
      <c r="G21" s="105">
        <f>F21/'Sales Pacing'!E15</f>
        <v>2427</v>
      </c>
      <c r="H21" s="114">
        <v>1411610</v>
      </c>
      <c r="I21" s="112">
        <f t="shared" si="2"/>
        <v>2747</v>
      </c>
      <c r="J21" s="105">
        <f t="shared" si="2"/>
        <v>2747</v>
      </c>
      <c r="K21" s="364">
        <f t="shared" si="2"/>
        <v>1552652</v>
      </c>
      <c r="L21" s="109">
        <f>IF(K21&gt;0,K21-K20,0)</f>
        <v>49718</v>
      </c>
      <c r="N21" s="118" t="s">
        <v>245</v>
      </c>
      <c r="O21" s="107">
        <v>174</v>
      </c>
      <c r="P21" s="108">
        <v>61963</v>
      </c>
      <c r="Q21" s="107">
        <v>2695</v>
      </c>
      <c r="R21" s="108">
        <v>1429313</v>
      </c>
      <c r="S21" s="107">
        <f t="shared" si="1"/>
        <v>2869</v>
      </c>
      <c r="T21" s="108">
        <f t="shared" si="1"/>
        <v>1491276</v>
      </c>
      <c r="U21" s="109">
        <f t="shared" si="5"/>
        <v>43606</v>
      </c>
      <c r="W21" s="91"/>
    </row>
    <row r="22" spans="1:23">
      <c r="C22" s="107"/>
      <c r="D22" s="107"/>
      <c r="E22" s="108"/>
      <c r="F22" s="107"/>
      <c r="G22" s="107"/>
      <c r="H22" s="108"/>
      <c r="I22" s="107" t="s">
        <v>246</v>
      </c>
      <c r="J22" s="361">
        <f>J21/$S$4</f>
        <v>0.8733098985997102</v>
      </c>
      <c r="K22" s="239">
        <f>K21/$T$4</f>
        <v>0.94963425076452601</v>
      </c>
      <c r="L22" s="108"/>
      <c r="N22" s="103"/>
      <c r="T22" s="108"/>
    </row>
    <row r="23" spans="1:23">
      <c r="B23" s="82" t="s">
        <v>247</v>
      </c>
      <c r="C23" s="491" t="s">
        <v>248</v>
      </c>
      <c r="D23" s="107"/>
      <c r="E23" s="108"/>
      <c r="F23" s="107"/>
      <c r="G23" s="107"/>
      <c r="H23" s="108"/>
      <c r="I23" s="107"/>
      <c r="J23" s="107"/>
      <c r="K23" s="108"/>
      <c r="L23" s="108"/>
    </row>
    <row r="24" spans="1:23">
      <c r="B24" s="119">
        <f>(1-F21/S8)</f>
        <v>0.15406064830951549</v>
      </c>
      <c r="C24" s="107">
        <f>S8-F21</f>
        <v>442</v>
      </c>
      <c r="D24" s="107"/>
      <c r="E24" s="108" t="s">
        <v>249</v>
      </c>
      <c r="F24" s="107"/>
      <c r="G24" s="107"/>
      <c r="H24" s="108"/>
      <c r="I24" s="107"/>
      <c r="J24" s="107"/>
      <c r="K24" s="239"/>
      <c r="L24" s="108"/>
      <c r="N24" s="136" t="s">
        <v>59</v>
      </c>
      <c r="S24" s="547" t="s">
        <v>250</v>
      </c>
      <c r="T24" s="547"/>
    </row>
    <row r="25" spans="1:23">
      <c r="C25" s="107"/>
      <c r="D25" s="107"/>
      <c r="E25" s="108"/>
      <c r="F25" s="107"/>
      <c r="G25" s="107"/>
      <c r="H25" s="108"/>
      <c r="I25" s="107"/>
      <c r="J25" s="107"/>
      <c r="K25" s="108"/>
      <c r="L25" s="108"/>
      <c r="N25" s="90">
        <v>0.26</v>
      </c>
      <c r="O25" s="82" t="s">
        <v>221</v>
      </c>
      <c r="S25" s="82" t="s">
        <v>222</v>
      </c>
      <c r="T25" s="82" t="s">
        <v>223</v>
      </c>
    </row>
    <row r="26" spans="1:23">
      <c r="C26" s="107"/>
      <c r="D26" s="107"/>
      <c r="E26" s="108"/>
      <c r="F26" s="107"/>
      <c r="G26" s="107"/>
      <c r="H26" s="108"/>
      <c r="I26" s="107"/>
      <c r="J26" s="107"/>
      <c r="K26" s="108"/>
      <c r="L26" s="108"/>
      <c r="O26" s="91">
        <f>O30/S30*S26</f>
        <v>240.07343118412092</v>
      </c>
      <c r="P26" s="92">
        <f>P30/O30*O26</f>
        <v>69318.269023589324</v>
      </c>
      <c r="Q26" s="91">
        <f>Q30/S30*S26</f>
        <v>1547.1398898532236</v>
      </c>
      <c r="R26" s="92">
        <f>R30/Q30*Q26</f>
        <v>549681.73097641056</v>
      </c>
      <c r="S26" s="272">
        <f>T26/(T30/S30)</f>
        <v>1787.2133210373447</v>
      </c>
      <c r="T26" s="273">
        <v>619000</v>
      </c>
      <c r="U26" s="274" t="s">
        <v>224</v>
      </c>
    </row>
    <row r="27" spans="1:23">
      <c r="B27" s="136" t="s">
        <v>251</v>
      </c>
      <c r="O27" s="91">
        <f>O31/S31*S27</f>
        <v>3.2060948867812784</v>
      </c>
      <c r="P27" s="92">
        <f>P31/O31*O27</f>
        <v>1038.7747433171342</v>
      </c>
      <c r="Q27" s="91">
        <f>Q31/S31*S27</f>
        <v>109.00722615056347</v>
      </c>
      <c r="R27" s="92">
        <f>R31/Q31*Q27</f>
        <v>44362.73494839255</v>
      </c>
      <c r="S27" s="91">
        <f>T27/(T30/S30)</f>
        <v>112.21332103734474</v>
      </c>
      <c r="T27" s="92">
        <f>T26-T30</f>
        <v>38865</v>
      </c>
      <c r="U27" s="82" t="s">
        <v>226</v>
      </c>
      <c r="W27" s="93"/>
    </row>
    <row r="28" spans="1:23">
      <c r="C28" s="548" t="s">
        <v>227</v>
      </c>
      <c r="D28" s="548"/>
      <c r="E28" s="548"/>
      <c r="F28" s="548" t="s">
        <v>228</v>
      </c>
      <c r="G28" s="548"/>
      <c r="H28" s="548"/>
      <c r="I28" s="548" t="s">
        <v>224</v>
      </c>
      <c r="J28" s="548"/>
      <c r="K28" s="548"/>
      <c r="N28" s="136" t="s">
        <v>252</v>
      </c>
    </row>
    <row r="29" spans="1:23">
      <c r="C29" s="94" t="s">
        <v>231</v>
      </c>
      <c r="D29" s="94" t="s">
        <v>232</v>
      </c>
      <c r="E29" s="94" t="s">
        <v>233</v>
      </c>
      <c r="F29" s="94" t="s">
        <v>231</v>
      </c>
      <c r="G29" s="94" t="s">
        <v>232</v>
      </c>
      <c r="H29" s="94" t="s">
        <v>233</v>
      </c>
      <c r="I29" s="94" t="s">
        <v>231</v>
      </c>
      <c r="J29" s="94" t="s">
        <v>232</v>
      </c>
      <c r="K29" s="94" t="s">
        <v>233</v>
      </c>
      <c r="L29" s="95" t="s">
        <v>234</v>
      </c>
      <c r="O29" s="82" t="s">
        <v>235</v>
      </c>
      <c r="P29" s="82" t="s">
        <v>236</v>
      </c>
      <c r="Q29" s="82" t="s">
        <v>237</v>
      </c>
      <c r="R29" s="82" t="s">
        <v>238</v>
      </c>
      <c r="S29" s="82" t="s">
        <v>239</v>
      </c>
      <c r="T29" s="82" t="s">
        <v>240</v>
      </c>
      <c r="U29" s="95" t="s">
        <v>241</v>
      </c>
    </row>
    <row r="30" spans="1:23" s="96" customFormat="1">
      <c r="A30" s="96" t="s">
        <v>242</v>
      </c>
      <c r="I30" s="97">
        <f>I38</f>
        <v>1561</v>
      </c>
      <c r="J30" s="97"/>
      <c r="K30" s="98">
        <f>K38</f>
        <v>591188</v>
      </c>
      <c r="L30" s="99"/>
      <c r="N30" s="96" t="s">
        <v>243</v>
      </c>
      <c r="O30" s="100">
        <f>O43</f>
        <v>225</v>
      </c>
      <c r="P30" s="100">
        <f t="shared" ref="P30:T30" si="8">P43</f>
        <v>64966</v>
      </c>
      <c r="Q30" s="100">
        <f t="shared" si="8"/>
        <v>1450</v>
      </c>
      <c r="R30" s="100">
        <f t="shared" si="8"/>
        <v>515169</v>
      </c>
      <c r="S30" s="100">
        <f t="shared" si="8"/>
        <v>1675</v>
      </c>
      <c r="T30" s="100">
        <f t="shared" si="8"/>
        <v>580135</v>
      </c>
      <c r="U30" s="99"/>
    </row>
    <row r="31" spans="1:23">
      <c r="A31" s="82">
        <v>1</v>
      </c>
      <c r="B31" s="103">
        <v>45747</v>
      </c>
      <c r="C31" s="104">
        <v>38</v>
      </c>
      <c r="D31" s="105">
        <f>C31/'Sales Pacing'!C3</f>
        <v>1048.1666666666665</v>
      </c>
      <c r="E31" s="106">
        <v>13163</v>
      </c>
      <c r="F31" s="104">
        <v>636</v>
      </c>
      <c r="G31" s="105">
        <f>F31/'Sales Pacing'!F3</f>
        <v>5546.3926541320507</v>
      </c>
      <c r="H31" s="106">
        <v>258782</v>
      </c>
      <c r="I31" s="107">
        <f t="shared" ref="I31:K43" si="9">C31+F31</f>
        <v>674</v>
      </c>
      <c r="J31" s="105">
        <f t="shared" si="9"/>
        <v>6594.5593207987167</v>
      </c>
      <c r="K31" s="108">
        <f t="shared" si="9"/>
        <v>271945</v>
      </c>
      <c r="L31" s="109"/>
      <c r="N31" s="103">
        <v>45383</v>
      </c>
      <c r="O31" s="107">
        <v>2</v>
      </c>
      <c r="P31" s="108">
        <v>648</v>
      </c>
      <c r="Q31" s="107">
        <v>68</v>
      </c>
      <c r="R31" s="108">
        <v>27674</v>
      </c>
      <c r="S31" s="107">
        <f t="shared" ref="S31:T43" si="10">O31+Q31</f>
        <v>70</v>
      </c>
      <c r="T31" s="108">
        <f t="shared" si="10"/>
        <v>28322</v>
      </c>
      <c r="U31" s="95"/>
    </row>
    <row r="32" spans="1:23">
      <c r="A32" s="82">
        <v>2</v>
      </c>
      <c r="B32" s="103">
        <v>45754</v>
      </c>
      <c r="C32" s="104">
        <v>44</v>
      </c>
      <c r="D32" s="105">
        <f>C32/'Sales Pacing'!C4</f>
        <v>606.83333333333326</v>
      </c>
      <c r="E32" s="106">
        <v>14651</v>
      </c>
      <c r="F32" s="104">
        <v>785</v>
      </c>
      <c r="G32" s="105">
        <f>F32/'Sales Pacing'!F4</f>
        <v>3783.5788739330269</v>
      </c>
      <c r="H32" s="106">
        <v>312531</v>
      </c>
      <c r="I32" s="107">
        <f t="shared" si="9"/>
        <v>829</v>
      </c>
      <c r="J32" s="105">
        <f t="shared" si="9"/>
        <v>4390.4122072663604</v>
      </c>
      <c r="K32" s="108">
        <f t="shared" si="9"/>
        <v>327182</v>
      </c>
      <c r="L32" s="109">
        <f t="shared" ref="L32:L43" si="11">IF(K32&gt;0,K32-K31,0)</f>
        <v>55237</v>
      </c>
      <c r="N32" s="103">
        <f t="shared" ref="N32:N42" si="12">N31+7</f>
        <v>45390</v>
      </c>
      <c r="O32" s="107">
        <v>54</v>
      </c>
      <c r="P32" s="108">
        <v>17576</v>
      </c>
      <c r="Q32" s="107">
        <v>181</v>
      </c>
      <c r="R32" s="108">
        <v>68648</v>
      </c>
      <c r="S32" s="107">
        <f t="shared" si="10"/>
        <v>235</v>
      </c>
      <c r="T32" s="108">
        <f t="shared" si="10"/>
        <v>86224</v>
      </c>
      <c r="U32" s="109">
        <f t="shared" ref="U32:U43" si="13">IF(T32&gt;0,T32-T31,0)</f>
        <v>57902</v>
      </c>
    </row>
    <row r="33" spans="1:23">
      <c r="A33" s="82">
        <v>3</v>
      </c>
      <c r="B33" s="103">
        <v>45761</v>
      </c>
      <c r="C33" s="104">
        <v>54</v>
      </c>
      <c r="D33" s="105">
        <f>C33/'Sales Pacing'!C5</f>
        <v>616.34482758620686</v>
      </c>
      <c r="E33" s="106">
        <v>19061</v>
      </c>
      <c r="F33" s="104">
        <v>893</v>
      </c>
      <c r="G33" s="105">
        <f>F33/'Sales Pacing'!F5</f>
        <v>3135.2144042168406</v>
      </c>
      <c r="H33" s="106">
        <v>353304</v>
      </c>
      <c r="I33" s="107">
        <f t="shared" si="9"/>
        <v>947</v>
      </c>
      <c r="J33" s="105">
        <f t="shared" si="9"/>
        <v>3751.5592318030476</v>
      </c>
      <c r="K33" s="108">
        <f t="shared" si="9"/>
        <v>372365</v>
      </c>
      <c r="L33" s="109">
        <f t="shared" si="11"/>
        <v>45183</v>
      </c>
      <c r="N33" s="103">
        <f t="shared" si="12"/>
        <v>45397</v>
      </c>
      <c r="O33" s="107">
        <v>66</v>
      </c>
      <c r="P33" s="108">
        <v>20302</v>
      </c>
      <c r="Q33" s="107">
        <v>283</v>
      </c>
      <c r="R33" s="108">
        <v>105425</v>
      </c>
      <c r="S33" s="107">
        <f t="shared" si="10"/>
        <v>349</v>
      </c>
      <c r="T33" s="108">
        <f t="shared" si="10"/>
        <v>125727</v>
      </c>
      <c r="U33" s="109">
        <f t="shared" si="13"/>
        <v>39503</v>
      </c>
    </row>
    <row r="34" spans="1:23">
      <c r="A34" s="82">
        <v>4</v>
      </c>
      <c r="B34" s="103">
        <v>45768</v>
      </c>
      <c r="C34" s="104">
        <v>60</v>
      </c>
      <c r="D34" s="105">
        <f>C34/'Sales Pacing'!C6</f>
        <v>484.39024390243907</v>
      </c>
      <c r="E34" s="106">
        <v>20782</v>
      </c>
      <c r="F34" s="104">
        <v>1067</v>
      </c>
      <c r="G34" s="105">
        <f>F34/'Sales Pacing'!F6</f>
        <v>2921.0750410175192</v>
      </c>
      <c r="H34" s="106">
        <v>417996</v>
      </c>
      <c r="I34" s="107">
        <f t="shared" si="9"/>
        <v>1127</v>
      </c>
      <c r="J34" s="105">
        <f t="shared" si="9"/>
        <v>3405.4652849199583</v>
      </c>
      <c r="K34" s="108">
        <f t="shared" si="9"/>
        <v>438778</v>
      </c>
      <c r="L34" s="109">
        <f t="shared" si="11"/>
        <v>66413</v>
      </c>
      <c r="N34" s="103">
        <f t="shared" si="12"/>
        <v>45404</v>
      </c>
      <c r="O34" s="107">
        <v>86</v>
      </c>
      <c r="P34" s="108">
        <v>26557</v>
      </c>
      <c r="Q34" s="107">
        <v>389</v>
      </c>
      <c r="R34" s="108">
        <v>146108</v>
      </c>
      <c r="S34" s="107">
        <f t="shared" si="10"/>
        <v>475</v>
      </c>
      <c r="T34" s="108">
        <f t="shared" si="10"/>
        <v>172665</v>
      </c>
      <c r="U34" s="109">
        <f t="shared" si="13"/>
        <v>46938</v>
      </c>
    </row>
    <row r="35" spans="1:23">
      <c r="A35" s="85">
        <v>5</v>
      </c>
      <c r="B35" s="103">
        <f t="shared" ref="B35:B42" si="14">B34+7</f>
        <v>45775</v>
      </c>
      <c r="C35" s="104">
        <v>118</v>
      </c>
      <c r="D35" s="105">
        <f>C35/'Sales Pacing'!C7</f>
        <v>566.05797101449275</v>
      </c>
      <c r="E35" s="106">
        <v>38918</v>
      </c>
      <c r="F35" s="104">
        <v>1300</v>
      </c>
      <c r="G35" s="105">
        <f>F35/'Sales Pacing'!F7</f>
        <v>2887.9508729012855</v>
      </c>
      <c r="H35" s="106">
        <v>502867</v>
      </c>
      <c r="I35" s="111">
        <f t="shared" si="9"/>
        <v>1418</v>
      </c>
      <c r="J35" s="105">
        <f t="shared" si="9"/>
        <v>3454.008843915778</v>
      </c>
      <c r="K35" s="108">
        <f t="shared" si="9"/>
        <v>541785</v>
      </c>
      <c r="L35" s="109">
        <f t="shared" si="11"/>
        <v>103007</v>
      </c>
      <c r="N35" s="103">
        <f t="shared" si="12"/>
        <v>45411</v>
      </c>
      <c r="O35" s="107">
        <v>86</v>
      </c>
      <c r="P35" s="108">
        <v>26557</v>
      </c>
      <c r="Q35" s="107">
        <v>476</v>
      </c>
      <c r="R35" s="108">
        <v>178054</v>
      </c>
      <c r="S35" s="107">
        <f t="shared" si="10"/>
        <v>562</v>
      </c>
      <c r="T35" s="108">
        <f t="shared" si="10"/>
        <v>204611</v>
      </c>
      <c r="U35" s="109">
        <f t="shared" si="13"/>
        <v>31946</v>
      </c>
    </row>
    <row r="36" spans="1:23">
      <c r="A36" s="82">
        <v>6</v>
      </c>
      <c r="B36" s="103">
        <f t="shared" si="14"/>
        <v>45782</v>
      </c>
      <c r="C36" s="104">
        <v>157</v>
      </c>
      <c r="D36" s="105">
        <f>C36/'Sales Pacing'!C8</f>
        <v>683.77631578947364</v>
      </c>
      <c r="E36" s="106">
        <v>51765</v>
      </c>
      <c r="F36" s="104">
        <v>1358</v>
      </c>
      <c r="G36" s="105">
        <f>F36/'Sales Pacing'!F8</f>
        <v>2121.6397891180291</v>
      </c>
      <c r="H36" s="106">
        <v>522161</v>
      </c>
      <c r="I36" s="107">
        <f t="shared" si="9"/>
        <v>1515</v>
      </c>
      <c r="J36" s="105">
        <f t="shared" si="9"/>
        <v>2805.4161049075028</v>
      </c>
      <c r="K36" s="113">
        <f t="shared" si="9"/>
        <v>573926</v>
      </c>
      <c r="L36" s="109">
        <f t="shared" si="11"/>
        <v>32141</v>
      </c>
      <c r="N36" s="103">
        <f t="shared" si="12"/>
        <v>45418</v>
      </c>
      <c r="O36" s="107">
        <v>98</v>
      </c>
      <c r="P36" s="108">
        <v>31472</v>
      </c>
      <c r="Q36" s="107">
        <v>806</v>
      </c>
      <c r="R36" s="108">
        <v>294720</v>
      </c>
      <c r="S36" s="107">
        <f t="shared" si="10"/>
        <v>904</v>
      </c>
      <c r="T36" s="108">
        <f t="shared" si="10"/>
        <v>326192</v>
      </c>
      <c r="U36" s="109">
        <f t="shared" si="13"/>
        <v>121581</v>
      </c>
    </row>
    <row r="37" spans="1:23">
      <c r="A37" s="82">
        <v>7</v>
      </c>
      <c r="B37" s="103">
        <f t="shared" si="14"/>
        <v>45789</v>
      </c>
      <c r="C37" s="104">
        <v>165</v>
      </c>
      <c r="D37" s="105">
        <f>C37/'Sales Pacing'!C9</f>
        <v>593.64130434782601</v>
      </c>
      <c r="E37" s="106">
        <v>54301</v>
      </c>
      <c r="F37" s="104">
        <v>1365</v>
      </c>
      <c r="G37" s="105">
        <f>F37/'Sales Pacing'!F9</f>
        <v>1717.3750419561941</v>
      </c>
      <c r="H37" s="106">
        <v>525805</v>
      </c>
      <c r="I37" s="107">
        <f t="shared" si="9"/>
        <v>1530</v>
      </c>
      <c r="J37" s="105">
        <f t="shared" si="9"/>
        <v>2311.0163463040199</v>
      </c>
      <c r="K37" s="113">
        <f t="shared" si="9"/>
        <v>580106</v>
      </c>
      <c r="L37" s="109">
        <f t="shared" si="11"/>
        <v>6180</v>
      </c>
      <c r="N37" s="103">
        <f t="shared" si="12"/>
        <v>45425</v>
      </c>
      <c r="O37" s="82">
        <v>113</v>
      </c>
      <c r="P37" s="120">
        <v>36672</v>
      </c>
      <c r="Q37" s="121">
        <v>1031</v>
      </c>
      <c r="R37" s="120">
        <v>372369</v>
      </c>
      <c r="S37" s="107">
        <f t="shared" si="10"/>
        <v>1144</v>
      </c>
      <c r="T37" s="108">
        <f t="shared" si="10"/>
        <v>409041</v>
      </c>
      <c r="U37" s="109">
        <f t="shared" si="13"/>
        <v>82849</v>
      </c>
    </row>
    <row r="38" spans="1:23">
      <c r="A38" s="82">
        <v>8</v>
      </c>
      <c r="B38" s="103">
        <f t="shared" si="14"/>
        <v>45796</v>
      </c>
      <c r="C38" s="115">
        <v>199</v>
      </c>
      <c r="D38" s="105">
        <f>C38/'Sales Pacing'!C10</f>
        <v>639.504854368932</v>
      </c>
      <c r="E38" s="114">
        <v>65018</v>
      </c>
      <c r="F38" s="115">
        <v>1362</v>
      </c>
      <c r="G38" s="105">
        <f>F38/'Sales Pacing'!F10</f>
        <v>1532.8470860296795</v>
      </c>
      <c r="H38" s="114">
        <v>526170</v>
      </c>
      <c r="I38" s="112">
        <f t="shared" si="9"/>
        <v>1561</v>
      </c>
      <c r="J38" s="105">
        <f t="shared" si="9"/>
        <v>2172.3519403986115</v>
      </c>
      <c r="K38" s="113">
        <f t="shared" si="9"/>
        <v>591188</v>
      </c>
      <c r="L38" s="109">
        <f t="shared" si="11"/>
        <v>11082</v>
      </c>
      <c r="N38" s="103">
        <f t="shared" si="12"/>
        <v>45432</v>
      </c>
      <c r="O38" s="107">
        <v>127</v>
      </c>
      <c r="P38" s="120">
        <v>40518</v>
      </c>
      <c r="Q38" s="121">
        <v>1267</v>
      </c>
      <c r="R38" s="120">
        <v>452816</v>
      </c>
      <c r="S38" s="107">
        <f t="shared" si="10"/>
        <v>1394</v>
      </c>
      <c r="T38" s="108">
        <f t="shared" si="10"/>
        <v>493334</v>
      </c>
      <c r="U38" s="109">
        <f t="shared" si="13"/>
        <v>84293</v>
      </c>
      <c r="W38" s="91"/>
    </row>
    <row r="39" spans="1:23">
      <c r="A39" s="82">
        <v>9</v>
      </c>
      <c r="B39" s="103">
        <f t="shared" si="14"/>
        <v>45803</v>
      </c>
      <c r="C39" s="115">
        <v>220</v>
      </c>
      <c r="D39" s="105">
        <f>C39/'Sales Pacing'!C11</f>
        <v>568.90625</v>
      </c>
      <c r="E39" s="114">
        <v>73218</v>
      </c>
      <c r="F39" s="115">
        <v>1368</v>
      </c>
      <c r="G39" s="105">
        <f>F39/'Sales Pacing'!F11</f>
        <v>1451.7935022689851</v>
      </c>
      <c r="H39" s="114">
        <v>531352</v>
      </c>
      <c r="I39" s="107">
        <f t="shared" si="9"/>
        <v>1588</v>
      </c>
      <c r="J39" s="105">
        <f t="shared" si="9"/>
        <v>2020.6997522689851</v>
      </c>
      <c r="K39" s="113">
        <f t="shared" si="9"/>
        <v>604570</v>
      </c>
      <c r="L39" s="109">
        <f t="shared" si="11"/>
        <v>13382</v>
      </c>
      <c r="N39" s="103">
        <f t="shared" si="12"/>
        <v>45439</v>
      </c>
      <c r="O39" s="107">
        <v>160</v>
      </c>
      <c r="P39" s="120">
        <v>48485</v>
      </c>
      <c r="Q39" s="121">
        <v>1395</v>
      </c>
      <c r="R39" s="120">
        <v>497335</v>
      </c>
      <c r="S39" s="107">
        <f t="shared" si="10"/>
        <v>1555</v>
      </c>
      <c r="T39" s="108">
        <f t="shared" si="10"/>
        <v>545820</v>
      </c>
      <c r="U39" s="109">
        <f t="shared" si="13"/>
        <v>52486</v>
      </c>
      <c r="W39" s="91"/>
    </row>
    <row r="40" spans="1:23">
      <c r="A40" s="88">
        <v>10</v>
      </c>
      <c r="B40" s="103">
        <f t="shared" si="14"/>
        <v>45810</v>
      </c>
      <c r="C40" s="115">
        <v>239</v>
      </c>
      <c r="D40" s="105">
        <f>C40/'Sales Pacing'!C12</f>
        <v>557.1056338028169</v>
      </c>
      <c r="E40" s="114">
        <v>80035</v>
      </c>
      <c r="F40" s="115">
        <v>1374</v>
      </c>
      <c r="G40" s="105">
        <f>F40/'Sales Pacing'!F12</f>
        <v>1439.257790435646</v>
      </c>
      <c r="H40" s="114">
        <v>536728</v>
      </c>
      <c r="I40" s="116">
        <f t="shared" si="9"/>
        <v>1613</v>
      </c>
      <c r="J40" s="105">
        <f t="shared" si="9"/>
        <v>1996.3634242384628</v>
      </c>
      <c r="K40" s="113">
        <f t="shared" si="9"/>
        <v>616763</v>
      </c>
      <c r="L40" s="109">
        <f t="shared" si="11"/>
        <v>12193</v>
      </c>
      <c r="N40" s="103">
        <f t="shared" si="12"/>
        <v>45446</v>
      </c>
      <c r="O40" s="121">
        <v>172</v>
      </c>
      <c r="P40" s="108">
        <v>51234</v>
      </c>
      <c r="Q40" s="107">
        <v>1411</v>
      </c>
      <c r="R40" s="108">
        <v>502695</v>
      </c>
      <c r="S40" s="107">
        <f t="shared" si="10"/>
        <v>1583</v>
      </c>
      <c r="T40" s="108">
        <f t="shared" si="10"/>
        <v>553929</v>
      </c>
      <c r="U40" s="109">
        <f t="shared" si="13"/>
        <v>8109</v>
      </c>
    </row>
    <row r="41" spans="1:23">
      <c r="A41" s="82">
        <v>11</v>
      </c>
      <c r="B41" s="103">
        <f t="shared" si="14"/>
        <v>45817</v>
      </c>
      <c r="C41" s="115">
        <v>255</v>
      </c>
      <c r="D41" s="105">
        <f>C41/'Sales Pacing'!C13</f>
        <v>530.84905660377353</v>
      </c>
      <c r="E41" s="114">
        <v>89633</v>
      </c>
      <c r="F41" s="115">
        <v>1407</v>
      </c>
      <c r="G41" s="105">
        <f>F41/'Sales Pacing'!F13</f>
        <v>1457.5734767710057</v>
      </c>
      <c r="H41" s="114">
        <v>540393</v>
      </c>
      <c r="I41" s="107">
        <f t="shared" si="9"/>
        <v>1662</v>
      </c>
      <c r="J41" s="105">
        <f t="shared" si="9"/>
        <v>1988.4225333747793</v>
      </c>
      <c r="K41" s="113">
        <f t="shared" si="9"/>
        <v>630026</v>
      </c>
      <c r="L41" s="109">
        <f t="shared" si="11"/>
        <v>13263</v>
      </c>
      <c r="N41" s="103">
        <f t="shared" si="12"/>
        <v>45453</v>
      </c>
      <c r="O41" s="121">
        <v>187</v>
      </c>
      <c r="P41" s="108">
        <v>55826</v>
      </c>
      <c r="Q41" s="107">
        <v>1418</v>
      </c>
      <c r="R41" s="108">
        <v>505550</v>
      </c>
      <c r="S41" s="107">
        <f t="shared" si="10"/>
        <v>1605</v>
      </c>
      <c r="T41" s="108">
        <f t="shared" si="10"/>
        <v>561376</v>
      </c>
      <c r="U41" s="109">
        <f t="shared" si="13"/>
        <v>7447</v>
      </c>
    </row>
    <row r="42" spans="1:23">
      <c r="A42" s="82">
        <v>12</v>
      </c>
      <c r="B42" s="103">
        <f t="shared" si="14"/>
        <v>45824</v>
      </c>
      <c r="C42" s="115">
        <v>270</v>
      </c>
      <c r="D42" s="105">
        <f>C42/'Sales Pacing'!C14</f>
        <v>470.36842105263156</v>
      </c>
      <c r="E42" s="114">
        <v>90711</v>
      </c>
      <c r="F42" s="115">
        <v>1383</v>
      </c>
      <c r="G42" s="105">
        <f>F42/'Sales Pacing'!F14</f>
        <v>1420.0539987644104</v>
      </c>
      <c r="H42" s="114">
        <v>543160</v>
      </c>
      <c r="I42" s="107">
        <f t="shared" si="9"/>
        <v>1653</v>
      </c>
      <c r="J42" s="105">
        <f t="shared" si="9"/>
        <v>1890.4224198170418</v>
      </c>
      <c r="K42" s="113">
        <f t="shared" si="9"/>
        <v>633871</v>
      </c>
      <c r="L42" s="109">
        <f t="shared" si="11"/>
        <v>3845</v>
      </c>
      <c r="N42" s="103">
        <f t="shared" si="12"/>
        <v>45460</v>
      </c>
      <c r="O42" s="121">
        <v>193</v>
      </c>
      <c r="P42" s="122">
        <v>57355</v>
      </c>
      <c r="Q42" s="123">
        <v>1434</v>
      </c>
      <c r="R42" s="122">
        <v>510568</v>
      </c>
      <c r="S42" s="107">
        <f t="shared" si="10"/>
        <v>1627</v>
      </c>
      <c r="T42" s="108">
        <f t="shared" si="10"/>
        <v>567923</v>
      </c>
      <c r="U42" s="109">
        <f t="shared" si="13"/>
        <v>6547</v>
      </c>
    </row>
    <row r="43" spans="1:23">
      <c r="A43" s="117" t="s">
        <v>244</v>
      </c>
      <c r="B43" s="362">
        <v>45922</v>
      </c>
      <c r="C43" s="115">
        <v>377</v>
      </c>
      <c r="D43" s="105">
        <f>C43/'Sales Pacing'!C15</f>
        <v>377</v>
      </c>
      <c r="E43" s="114">
        <v>117930</v>
      </c>
      <c r="F43" s="115">
        <v>1409</v>
      </c>
      <c r="G43" s="105">
        <f>F43/'Sales Pacing'!F15</f>
        <v>1409</v>
      </c>
      <c r="H43" s="114">
        <v>544870</v>
      </c>
      <c r="I43" s="107">
        <f t="shared" si="9"/>
        <v>1786</v>
      </c>
      <c r="J43" s="105">
        <f t="shared" si="9"/>
        <v>1786</v>
      </c>
      <c r="K43" s="366">
        <f t="shared" si="9"/>
        <v>662800</v>
      </c>
      <c r="L43" s="109">
        <f t="shared" si="11"/>
        <v>28929</v>
      </c>
      <c r="N43" s="118" t="s">
        <v>245</v>
      </c>
      <c r="O43" s="121">
        <v>225</v>
      </c>
      <c r="P43" s="108">
        <v>64966</v>
      </c>
      <c r="Q43" s="107">
        <v>1450</v>
      </c>
      <c r="R43" s="108">
        <v>515169</v>
      </c>
      <c r="S43" s="107">
        <f t="shared" si="10"/>
        <v>1675</v>
      </c>
      <c r="T43" s="108">
        <f t="shared" si="10"/>
        <v>580135</v>
      </c>
      <c r="U43" s="109">
        <f t="shared" si="13"/>
        <v>12212</v>
      </c>
    </row>
    <row r="44" spans="1:23">
      <c r="C44" s="107"/>
      <c r="D44" s="107"/>
      <c r="E44" s="108"/>
      <c r="F44" s="107"/>
      <c r="G44" s="107"/>
      <c r="H44" s="108"/>
      <c r="I44" s="107" t="s">
        <v>246</v>
      </c>
      <c r="J44" s="361">
        <f>J43/$S$26</f>
        <v>0.99932111011983704</v>
      </c>
      <c r="K44" s="239">
        <f>K43/$T$26</f>
        <v>1.0707592891760904</v>
      </c>
      <c r="L44" s="108"/>
    </row>
    <row r="45" spans="1:23">
      <c r="B45" s="82" t="s">
        <v>247</v>
      </c>
      <c r="C45" s="491" t="s">
        <v>248</v>
      </c>
      <c r="D45" s="107"/>
      <c r="F45" s="107"/>
      <c r="G45" s="107"/>
      <c r="I45" s="107"/>
      <c r="J45" s="107"/>
    </row>
    <row r="46" spans="1:23">
      <c r="B46" s="119">
        <f>(1-F43/S30)</f>
        <v>0.15880597014925368</v>
      </c>
      <c r="C46" s="107">
        <f>S30-F43</f>
        <v>266</v>
      </c>
      <c r="I46" s="107"/>
      <c r="J46" s="107"/>
      <c r="K46" s="93"/>
      <c r="L46" s="93"/>
    </row>
    <row r="47" spans="1:23">
      <c r="B47" s="119"/>
      <c r="I47" s="107"/>
      <c r="J47" s="107"/>
    </row>
    <row r="48" spans="1:23">
      <c r="A48" s="24" t="s">
        <v>118</v>
      </c>
      <c r="K48" s="93"/>
    </row>
    <row r="49" spans="1:11">
      <c r="A49" s="26" t="s">
        <v>253</v>
      </c>
      <c r="K49" s="93"/>
    </row>
    <row r="50" spans="1:11">
      <c r="A50" s="82" t="s">
        <v>254</v>
      </c>
    </row>
    <row r="51" spans="1:11">
      <c r="A51" s="82" t="s">
        <v>255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5"/>
  <cols>
    <col min="6" max="6" width="13.7109375" customWidth="1"/>
    <col min="7" max="8" width="10.28515625" bestFit="1" customWidth="1"/>
    <col min="10" max="11" width="14" bestFit="1" customWidth="1"/>
  </cols>
  <sheetData>
    <row r="2" spans="2:12" ht="60">
      <c r="B2" s="26" t="s">
        <v>256</v>
      </c>
      <c r="G2" s="12" t="s">
        <v>257</v>
      </c>
      <c r="H2" s="13" t="s">
        <v>258</v>
      </c>
      <c r="I2" s="13" t="s">
        <v>259</v>
      </c>
      <c r="J2" s="137" t="s">
        <v>240</v>
      </c>
      <c r="K2" s="138" t="s">
        <v>43</v>
      </c>
      <c r="L2" s="137" t="s">
        <v>260</v>
      </c>
    </row>
    <row r="3" spans="2:12" s="63" customFormat="1" ht="12.75" customHeight="1">
      <c r="B3" s="64" t="s">
        <v>117</v>
      </c>
      <c r="C3" s="65"/>
      <c r="D3" s="65"/>
      <c r="E3" s="65"/>
      <c r="F3" s="65"/>
      <c r="G3" s="66">
        <f>'Performances by Week'!I126</f>
        <v>0</v>
      </c>
      <c r="H3" s="66">
        <f>'Performances by Week'!J126</f>
        <v>0</v>
      </c>
      <c r="I3" s="66">
        <f>'Performances by Week'!K126</f>
        <v>0</v>
      </c>
      <c r="J3" s="66">
        <f>'Performances by Week'!M126</f>
        <v>0</v>
      </c>
      <c r="K3" s="66">
        <f>'Performances by Week'!O126</f>
        <v>6268640</v>
      </c>
      <c r="L3" s="66" t="str">
        <f>'Performances by Week'!Q126</f>
        <v/>
      </c>
    </row>
    <row r="5" spans="2:12" ht="56.25" customHeight="1">
      <c r="B5" s="26" t="s">
        <v>261</v>
      </c>
      <c r="G5" s="12" t="s">
        <v>257</v>
      </c>
      <c r="H5" s="13" t="s">
        <v>258</v>
      </c>
      <c r="I5" s="13"/>
      <c r="J5" s="137" t="s">
        <v>240</v>
      </c>
      <c r="K5" s="138" t="s">
        <v>43</v>
      </c>
      <c r="L5" s="137" t="s">
        <v>260</v>
      </c>
    </row>
    <row r="6" spans="2:12">
      <c r="B6" s="26" t="s">
        <v>262</v>
      </c>
      <c r="G6" s="139">
        <f>'Performances by Week'!AA126</f>
        <v>0</v>
      </c>
      <c r="H6" s="139"/>
      <c r="I6" s="140"/>
      <c r="J6" s="141">
        <f>'Performances by Week'!AB126</f>
        <v>0</v>
      </c>
      <c r="K6" s="141">
        <f>'Performances by Week'!AC126</f>
        <v>2169893</v>
      </c>
      <c r="L6" s="141" t="str">
        <f>'Performances by Week'!AD126</f>
        <v/>
      </c>
    </row>
    <row r="7" spans="2:12">
      <c r="B7" s="26" t="s">
        <v>263</v>
      </c>
      <c r="G7" s="139" t="e">
        <f>'Performances by Week'!#REF!</f>
        <v>#REF!</v>
      </c>
      <c r="H7" s="139" t="e">
        <f>'Performances by Week'!U126</f>
        <v>#REF!</v>
      </c>
      <c r="I7" s="140"/>
      <c r="J7" s="141">
        <f>'Performances by Week'!W126</f>
        <v>0</v>
      </c>
      <c r="K7" s="141">
        <f>'Performances by Week'!X126</f>
        <v>3973690</v>
      </c>
      <c r="L7" s="141" t="str">
        <f>'Performances by Week'!Z126</f>
        <v/>
      </c>
    </row>
    <row r="9" spans="2:12" ht="60">
      <c r="B9" s="26" t="s">
        <v>264</v>
      </c>
      <c r="G9" s="12" t="s">
        <v>257</v>
      </c>
      <c r="H9" s="13" t="s">
        <v>258</v>
      </c>
      <c r="I9" s="13" t="s">
        <v>259</v>
      </c>
      <c r="J9" s="137" t="s">
        <v>240</v>
      </c>
      <c r="K9" s="138" t="s">
        <v>43</v>
      </c>
      <c r="L9" s="137" t="s">
        <v>260</v>
      </c>
    </row>
    <row r="10" spans="2:12" s="1" customFormat="1" ht="12.75">
      <c r="B10" s="39" t="s">
        <v>265</v>
      </c>
      <c r="C10" s="40"/>
      <c r="D10" s="40"/>
      <c r="E10" s="40"/>
      <c r="F10" s="40"/>
      <c r="G10" s="41">
        <f>'Performances by Week'!I119</f>
        <v>0</v>
      </c>
      <c r="H10" s="41">
        <f>'Performances by Week'!J119</f>
        <v>0</v>
      </c>
      <c r="I10" s="41">
        <f>'Performances by Week'!K119</f>
        <v>0</v>
      </c>
      <c r="J10" s="41">
        <f>'Performances by Week'!M119</f>
        <v>0</v>
      </c>
      <c r="K10" s="41">
        <f>'Performances by Week'!O119</f>
        <v>2139000</v>
      </c>
      <c r="L10" s="41" t="str">
        <f>'Performances by Week'!Q119</f>
        <v/>
      </c>
    </row>
    <row r="11" spans="2:12" s="1" customFormat="1" ht="12.75">
      <c r="B11" s="39" t="s">
        <v>266</v>
      </c>
      <c r="C11" s="40"/>
      <c r="D11" s="40"/>
      <c r="E11" s="40"/>
      <c r="F11" s="40"/>
      <c r="G11" s="41">
        <f>'Performances by Week'!I120</f>
        <v>0</v>
      </c>
      <c r="H11" s="41">
        <f>'Performances by Week'!J120</f>
        <v>0</v>
      </c>
      <c r="I11" s="41">
        <f>'Performances by Week'!K120</f>
        <v>0</v>
      </c>
      <c r="J11" s="41">
        <f>'Performances by Week'!M120</f>
        <v>0</v>
      </c>
      <c r="K11" s="41">
        <f>'Performances by Week'!O120</f>
        <v>363000</v>
      </c>
      <c r="L11" s="41" t="str">
        <f>'Performances by Week'!Q120</f>
        <v/>
      </c>
    </row>
    <row r="12" spans="2:12" s="1" customFormat="1" ht="12.75">
      <c r="B12" s="39" t="s">
        <v>267</v>
      </c>
      <c r="C12" s="40"/>
      <c r="D12" s="40"/>
      <c r="E12" s="40"/>
      <c r="F12" s="40"/>
      <c r="G12" s="41">
        <f>'Performances by Week'!I121</f>
        <v>0</v>
      </c>
      <c r="H12" s="41">
        <f>'Performances by Week'!J121</f>
        <v>0</v>
      </c>
      <c r="I12" s="41">
        <f>'Performances by Week'!K121</f>
        <v>0</v>
      </c>
      <c r="J12" s="41">
        <f>'Performances by Week'!M121</f>
        <v>0</v>
      </c>
      <c r="K12" s="41">
        <f>'Performances by Week'!O121</f>
        <v>1457000</v>
      </c>
      <c r="L12" s="41" t="str">
        <f>'Performances by Week'!Q121</f>
        <v/>
      </c>
    </row>
    <row r="13" spans="2:12" s="1" customFormat="1" ht="12.75">
      <c r="B13" s="39" t="s">
        <v>268</v>
      </c>
      <c r="C13" s="40"/>
      <c r="D13" s="40"/>
      <c r="E13" s="40"/>
      <c r="F13" s="40"/>
      <c r="G13" s="41">
        <f>'Performances by Week'!I122</f>
        <v>0</v>
      </c>
      <c r="H13" s="41">
        <f>'Performances by Week'!J122</f>
        <v>0</v>
      </c>
      <c r="I13" s="41">
        <f>'Performances by Week'!K122</f>
        <v>0</v>
      </c>
      <c r="J13" s="41">
        <f>'Performances by Week'!M122</f>
        <v>0</v>
      </c>
      <c r="K13" s="41">
        <f>'Performances by Week'!O122</f>
        <v>525950</v>
      </c>
      <c r="L13" s="41" t="str">
        <f>'Performances by Week'!Q122</f>
        <v/>
      </c>
    </row>
    <row r="14" spans="2:12" s="1" customFormat="1" ht="12.75">
      <c r="B14" s="53" t="s">
        <v>269</v>
      </c>
      <c r="C14" s="54"/>
      <c r="D14" s="54"/>
      <c r="E14" s="54"/>
      <c r="F14" s="54"/>
      <c r="G14" s="41">
        <f>'Performances by Week'!I123</f>
        <v>0</v>
      </c>
      <c r="H14" s="41">
        <f>'Performances by Week'!J123</f>
        <v>0</v>
      </c>
      <c r="I14" s="41">
        <f>'Performances by Week'!K123</f>
        <v>0</v>
      </c>
      <c r="J14" s="41">
        <f>'Performances by Week'!M123</f>
        <v>0</v>
      </c>
      <c r="K14" s="41">
        <f>'Performances by Week'!O123</f>
        <v>1745490</v>
      </c>
      <c r="L14" s="41" t="str">
        <f>'Performances by Week'!Q123</f>
        <v/>
      </c>
    </row>
    <row r="15" spans="2:12" s="1" customFormat="1" ht="12.75">
      <c r="B15" s="53" t="s">
        <v>270</v>
      </c>
      <c r="C15" s="54"/>
      <c r="D15" s="54"/>
      <c r="E15" s="54"/>
      <c r="F15" s="54"/>
      <c r="G15" s="41">
        <f>'Performances by Week'!I124</f>
        <v>0</v>
      </c>
      <c r="H15" s="41">
        <f>'Performances by Week'!J124</f>
        <v>0</v>
      </c>
      <c r="I15" s="41">
        <f>'Performances by Week'!K124</f>
        <v>0</v>
      </c>
      <c r="J15" s="41">
        <f>'Performances by Week'!M124</f>
        <v>0</v>
      </c>
      <c r="K15" s="41">
        <f>'Performances by Week'!O124</f>
        <v>38200</v>
      </c>
      <c r="L15" s="41" t="str">
        <f>'Performances by Week'!Q124</f>
        <v/>
      </c>
    </row>
    <row r="16" spans="2:12" s="1" customFormat="1" ht="12.75" customHeight="1">
      <c r="B16" s="39" t="s">
        <v>271</v>
      </c>
      <c r="C16" s="61"/>
      <c r="D16" s="61"/>
      <c r="E16" s="61"/>
      <c r="F16" s="61"/>
      <c r="G16" s="41">
        <f>'Performances by Week'!I125</f>
        <v>0</v>
      </c>
      <c r="H16" s="41">
        <f>'Performances by Week'!J125</f>
        <v>0</v>
      </c>
      <c r="I16" s="41">
        <f>'Performances by Week'!K125</f>
        <v>0</v>
      </c>
      <c r="J16" s="41">
        <f>'Performances by Week'!M125</f>
        <v>0</v>
      </c>
      <c r="K16" s="41">
        <f>'Performances by Week'!O125</f>
        <v>0</v>
      </c>
      <c r="L16" s="41" t="str">
        <f>'Performances by Week'!Q125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RowHeight="15"/>
  <sheetData>
    <row r="16" spans="1:2">
      <c r="A16" s="26" t="s">
        <v>272</v>
      </c>
      <c r="B16" s="26" t="s">
        <v>273</v>
      </c>
    </row>
    <row r="17" spans="2:11">
      <c r="B17" s="26" t="s">
        <v>274</v>
      </c>
    </row>
    <row r="18" spans="2:11">
      <c r="B18" s="26" t="s">
        <v>275</v>
      </c>
    </row>
    <row r="19" spans="2:11">
      <c r="B19" s="26" t="s">
        <v>276</v>
      </c>
    </row>
    <row r="20" spans="2:11">
      <c r="B20" s="26" t="s">
        <v>277</v>
      </c>
    </row>
    <row r="21" spans="2:11">
      <c r="B21" s="26"/>
    </row>
    <row r="22" spans="2:11">
      <c r="B22" s="26"/>
    </row>
    <row r="23" spans="2:11">
      <c r="B23" s="26"/>
    </row>
    <row r="24" spans="2:11">
      <c r="B24" s="26"/>
    </row>
    <row r="27" spans="2:11">
      <c r="J27" s="26" t="s">
        <v>272</v>
      </c>
      <c r="K27" s="26" t="s">
        <v>273</v>
      </c>
    </row>
    <row r="28" spans="2:11">
      <c r="K28" s="26" t="s">
        <v>278</v>
      </c>
    </row>
    <row r="29" spans="2:11">
      <c r="K29" s="26" t="s">
        <v>279</v>
      </c>
    </row>
    <row r="30" spans="2:11">
      <c r="K30" s="26" t="s">
        <v>280</v>
      </c>
    </row>
    <row r="31" spans="2:11">
      <c r="K31" s="26" t="s">
        <v>281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5"/>
  <cols>
    <col min="1" max="1" width="37" customWidth="1"/>
    <col min="2" max="11" width="13.28515625" customWidth="1"/>
  </cols>
  <sheetData>
    <row r="1" spans="1:11">
      <c r="A1" s="175" t="s">
        <v>282</v>
      </c>
    </row>
    <row r="2" spans="1:11" ht="14.45" customHeight="1">
      <c r="A2" s="149" t="s">
        <v>283</v>
      </c>
      <c r="B2" s="549" t="s">
        <v>284</v>
      </c>
      <c r="C2" s="550"/>
      <c r="D2" s="550"/>
      <c r="E2" s="550"/>
      <c r="F2" s="551"/>
      <c r="G2" s="150" t="s">
        <v>283</v>
      </c>
      <c r="H2" s="549" t="s">
        <v>285</v>
      </c>
      <c r="I2" s="550"/>
      <c r="J2" s="551"/>
      <c r="K2" s="151" t="s">
        <v>283</v>
      </c>
    </row>
    <row r="3" spans="1:11" ht="31.5">
      <c r="A3" s="152" t="s">
        <v>286</v>
      </c>
      <c r="B3" s="153" t="s">
        <v>287</v>
      </c>
      <c r="C3" s="154" t="s">
        <v>288</v>
      </c>
      <c r="D3" s="154" t="s">
        <v>289</v>
      </c>
      <c r="E3" s="153" t="s">
        <v>290</v>
      </c>
      <c r="F3" s="153" t="s">
        <v>291</v>
      </c>
      <c r="G3" s="154" t="s">
        <v>292</v>
      </c>
      <c r="H3" s="154" t="s">
        <v>293</v>
      </c>
      <c r="I3" s="153" t="s">
        <v>294</v>
      </c>
      <c r="J3" s="153" t="s">
        <v>287</v>
      </c>
      <c r="K3" s="155" t="s">
        <v>295</v>
      </c>
    </row>
    <row r="4" spans="1:11" ht="15.75">
      <c r="A4" s="156"/>
      <c r="B4" s="157" t="s">
        <v>296</v>
      </c>
      <c r="C4" s="158"/>
      <c r="D4" s="158"/>
      <c r="E4" s="157" t="s">
        <v>297</v>
      </c>
      <c r="F4" s="157" t="s">
        <v>298</v>
      </c>
      <c r="G4" s="158"/>
      <c r="H4" s="158"/>
      <c r="I4" s="157" t="s">
        <v>299</v>
      </c>
      <c r="J4" s="157" t="s">
        <v>300</v>
      </c>
      <c r="K4" s="159"/>
    </row>
    <row r="5" spans="1:11" ht="15.75">
      <c r="A5" s="160" t="s">
        <v>301</v>
      </c>
      <c r="B5" s="154" t="s">
        <v>283</v>
      </c>
      <c r="C5" s="154" t="s">
        <v>283</v>
      </c>
      <c r="D5" s="154" t="s">
        <v>302</v>
      </c>
      <c r="E5" s="154" t="s">
        <v>283</v>
      </c>
      <c r="F5" s="154" t="s">
        <v>283</v>
      </c>
      <c r="G5" s="154" t="s">
        <v>283</v>
      </c>
      <c r="H5" s="154" t="s">
        <v>283</v>
      </c>
      <c r="I5" s="154" t="s">
        <v>283</v>
      </c>
      <c r="J5" s="154" t="s">
        <v>283</v>
      </c>
      <c r="K5" s="155" t="s">
        <v>283</v>
      </c>
    </row>
    <row r="6" spans="1:11" ht="15.75">
      <c r="A6" s="161" t="s">
        <v>303</v>
      </c>
      <c r="B6" s="158"/>
      <c r="C6" s="158"/>
      <c r="D6" s="158"/>
      <c r="E6" s="158"/>
      <c r="F6" s="158"/>
      <c r="G6" s="158"/>
      <c r="H6" s="158"/>
      <c r="I6" s="158"/>
      <c r="J6" s="158"/>
      <c r="K6" s="159"/>
    </row>
    <row r="7" spans="1:11" ht="15.75">
      <c r="A7" s="160" t="s">
        <v>304</v>
      </c>
      <c r="B7" s="154" t="s">
        <v>283</v>
      </c>
      <c r="C7" s="154" t="s">
        <v>283</v>
      </c>
      <c r="D7" s="154" t="s">
        <v>305</v>
      </c>
      <c r="E7" s="154" t="s">
        <v>283</v>
      </c>
      <c r="F7" s="154" t="s">
        <v>283</v>
      </c>
      <c r="G7" s="154" t="s">
        <v>283</v>
      </c>
      <c r="H7" s="154" t="s">
        <v>283</v>
      </c>
      <c r="I7" s="154" t="s">
        <v>283</v>
      </c>
      <c r="J7" s="154" t="s">
        <v>283</v>
      </c>
      <c r="K7" s="155" t="s">
        <v>283</v>
      </c>
    </row>
    <row r="8" spans="1:11" ht="15.75">
      <c r="A8" s="161" t="s">
        <v>306</v>
      </c>
      <c r="B8" s="158"/>
      <c r="C8" s="158"/>
      <c r="D8" s="158"/>
      <c r="E8" s="158"/>
      <c r="F8" s="158"/>
      <c r="G8" s="158"/>
      <c r="H8" s="158"/>
      <c r="I8" s="158"/>
      <c r="J8" s="158"/>
      <c r="K8" s="159"/>
    </row>
    <row r="9" spans="1:11" ht="15.75">
      <c r="A9" s="162" t="s">
        <v>307</v>
      </c>
      <c r="B9" s="163" t="s">
        <v>283</v>
      </c>
      <c r="C9" s="163" t="s">
        <v>283</v>
      </c>
      <c r="D9" s="163" t="s">
        <v>308</v>
      </c>
      <c r="E9" s="163" t="s">
        <v>283</v>
      </c>
      <c r="F9" s="163" t="s">
        <v>283</v>
      </c>
      <c r="G9" s="163" t="s">
        <v>283</v>
      </c>
      <c r="H9" s="163" t="s">
        <v>283</v>
      </c>
      <c r="I9" s="163" t="s">
        <v>283</v>
      </c>
      <c r="J9" s="163" t="s">
        <v>283</v>
      </c>
      <c r="K9" s="164" t="s">
        <v>283</v>
      </c>
    </row>
    <row r="10" spans="1:11" ht="15.75">
      <c r="A10" s="160" t="s">
        <v>309</v>
      </c>
      <c r="B10" s="154" t="s">
        <v>283</v>
      </c>
      <c r="C10" s="154" t="s">
        <v>283</v>
      </c>
      <c r="D10" s="154" t="s">
        <v>310</v>
      </c>
      <c r="E10" s="154" t="s">
        <v>283</v>
      </c>
      <c r="F10" s="154" t="s">
        <v>283</v>
      </c>
      <c r="G10" s="154" t="s">
        <v>283</v>
      </c>
      <c r="H10" s="154" t="s">
        <v>283</v>
      </c>
      <c r="I10" s="154" t="s">
        <v>283</v>
      </c>
      <c r="J10" s="154" t="s">
        <v>283</v>
      </c>
      <c r="K10" s="155" t="s">
        <v>283</v>
      </c>
    </row>
    <row r="11" spans="1:11" ht="15.75">
      <c r="A11" s="161" t="s">
        <v>311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9"/>
    </row>
    <row r="12" spans="1:11" ht="15.75">
      <c r="A12" s="162" t="s">
        <v>312</v>
      </c>
      <c r="B12" s="163" t="s">
        <v>283</v>
      </c>
      <c r="C12" s="163" t="s">
        <v>283</v>
      </c>
      <c r="D12" s="163" t="s">
        <v>313</v>
      </c>
      <c r="E12" s="163" t="s">
        <v>283</v>
      </c>
      <c r="F12" s="163" t="s">
        <v>283</v>
      </c>
      <c r="G12" s="163" t="s">
        <v>283</v>
      </c>
      <c r="H12" s="163" t="s">
        <v>283</v>
      </c>
      <c r="I12" s="163" t="s">
        <v>283</v>
      </c>
      <c r="J12" s="163" t="s">
        <v>283</v>
      </c>
      <c r="K12" s="164" t="s">
        <v>283</v>
      </c>
    </row>
    <row r="13" spans="1:11" ht="15.75">
      <c r="A13" s="162" t="s">
        <v>314</v>
      </c>
      <c r="B13" s="163" t="s">
        <v>283</v>
      </c>
      <c r="C13" s="163" t="s">
        <v>283</v>
      </c>
      <c r="D13" s="163" t="s">
        <v>283</v>
      </c>
      <c r="E13" s="163" t="s">
        <v>283</v>
      </c>
      <c r="F13" s="163" t="s">
        <v>283</v>
      </c>
      <c r="G13" s="163" t="s">
        <v>283</v>
      </c>
      <c r="H13" s="163" t="s">
        <v>283</v>
      </c>
      <c r="I13" s="163" t="s">
        <v>283</v>
      </c>
      <c r="J13" s="163" t="s">
        <v>283</v>
      </c>
      <c r="K13" s="164" t="s">
        <v>283</v>
      </c>
    </row>
    <row r="14" spans="1:11" ht="15.75">
      <c r="A14" s="165" t="s">
        <v>283</v>
      </c>
      <c r="B14" s="166" t="s">
        <v>283</v>
      </c>
      <c r="C14" s="166" t="s">
        <v>283</v>
      </c>
      <c r="D14" s="166" t="s">
        <v>283</v>
      </c>
      <c r="E14" s="166" t="s">
        <v>283</v>
      </c>
      <c r="F14" s="166" t="s">
        <v>283</v>
      </c>
      <c r="G14" s="166" t="s">
        <v>283</v>
      </c>
      <c r="H14" s="166" t="s">
        <v>283</v>
      </c>
      <c r="I14" s="166" t="s">
        <v>283</v>
      </c>
      <c r="J14" s="166" t="s">
        <v>283</v>
      </c>
      <c r="K14" s="167" t="s">
        <v>283</v>
      </c>
    </row>
    <row r="15" spans="1:11" ht="15.75">
      <c r="A15" s="162" t="s">
        <v>315</v>
      </c>
      <c r="B15" s="163" t="s">
        <v>283</v>
      </c>
      <c r="C15" s="163" t="s">
        <v>283</v>
      </c>
      <c r="D15" s="163" t="s">
        <v>283</v>
      </c>
      <c r="E15" s="163" t="s">
        <v>283</v>
      </c>
      <c r="F15" s="163" t="s">
        <v>283</v>
      </c>
      <c r="G15" s="163" t="s">
        <v>283</v>
      </c>
      <c r="H15" s="163" t="s">
        <v>283</v>
      </c>
      <c r="I15" s="163" t="s">
        <v>283</v>
      </c>
      <c r="J15" s="163" t="s">
        <v>283</v>
      </c>
      <c r="K15" s="164" t="s">
        <v>283</v>
      </c>
    </row>
    <row r="16" spans="1:11" ht="15.75">
      <c r="A16" s="162" t="s">
        <v>316</v>
      </c>
      <c r="B16" s="163" t="s">
        <v>283</v>
      </c>
      <c r="C16" s="163" t="s">
        <v>283</v>
      </c>
      <c r="D16" s="163" t="s">
        <v>283</v>
      </c>
      <c r="E16" s="163" t="s">
        <v>283</v>
      </c>
      <c r="F16" s="163" t="s">
        <v>283</v>
      </c>
      <c r="G16" s="163" t="s">
        <v>283</v>
      </c>
      <c r="H16" s="163" t="s">
        <v>283</v>
      </c>
      <c r="I16" s="163" t="s">
        <v>283</v>
      </c>
      <c r="J16" s="163" t="s">
        <v>283</v>
      </c>
      <c r="K16" s="164" t="s">
        <v>283</v>
      </c>
    </row>
    <row r="17" spans="1:11" ht="15.75">
      <c r="A17" s="162" t="s">
        <v>317</v>
      </c>
      <c r="B17" s="163" t="s">
        <v>283</v>
      </c>
      <c r="C17" s="163" t="s">
        <v>283</v>
      </c>
      <c r="D17" s="163" t="s">
        <v>283</v>
      </c>
      <c r="E17" s="163" t="s">
        <v>283</v>
      </c>
      <c r="F17" s="163" t="s">
        <v>283</v>
      </c>
      <c r="G17" s="163" t="s">
        <v>283</v>
      </c>
      <c r="H17" s="163" t="s">
        <v>283</v>
      </c>
      <c r="I17" s="163" t="s">
        <v>283</v>
      </c>
      <c r="J17" s="163" t="s">
        <v>318</v>
      </c>
      <c r="K17" s="164" t="s">
        <v>283</v>
      </c>
    </row>
    <row r="18" spans="1:11" ht="15.75">
      <c r="A18" s="168" t="s">
        <v>319</v>
      </c>
      <c r="B18" s="169" t="s">
        <v>283</v>
      </c>
      <c r="C18" s="169" t="s">
        <v>283</v>
      </c>
      <c r="D18" s="169" t="s">
        <v>283</v>
      </c>
      <c r="E18" s="169" t="s">
        <v>283</v>
      </c>
      <c r="F18" s="169" t="s">
        <v>283</v>
      </c>
      <c r="G18" s="169" t="s">
        <v>283</v>
      </c>
      <c r="H18" s="169" t="s">
        <v>283</v>
      </c>
      <c r="I18" s="169" t="s">
        <v>283</v>
      </c>
      <c r="J18" s="169" t="s">
        <v>283</v>
      </c>
      <c r="K18" s="170" t="s">
        <v>283</v>
      </c>
    </row>
    <row r="20" spans="1:11">
      <c r="A20" s="175" t="s">
        <v>320</v>
      </c>
    </row>
    <row r="21" spans="1:11" ht="31.5">
      <c r="A21" s="171" t="s">
        <v>286</v>
      </c>
      <c r="B21" s="172" t="s">
        <v>287</v>
      </c>
      <c r="C21" s="173" t="s">
        <v>321</v>
      </c>
      <c r="D21" s="173" t="s">
        <v>322</v>
      </c>
      <c r="E21" s="174" t="s">
        <v>295</v>
      </c>
    </row>
    <row r="22" spans="1:11" ht="15.75">
      <c r="A22" s="156"/>
      <c r="B22" s="157" t="s">
        <v>296</v>
      </c>
      <c r="C22" s="158"/>
      <c r="D22" s="158"/>
      <c r="E22" s="159"/>
    </row>
    <row r="23" spans="1:11" ht="15.75">
      <c r="A23" s="160" t="s">
        <v>323</v>
      </c>
      <c r="B23" s="154" t="s">
        <v>283</v>
      </c>
      <c r="C23" s="154" t="s">
        <v>324</v>
      </c>
      <c r="D23" s="154" t="s">
        <v>283</v>
      </c>
      <c r="E23" s="155" t="s">
        <v>283</v>
      </c>
    </row>
    <row r="24" spans="1:11" ht="15.75">
      <c r="A24" s="161" t="s">
        <v>325</v>
      </c>
      <c r="B24" s="158"/>
      <c r="C24" s="158"/>
      <c r="D24" s="158"/>
      <c r="E24" s="159"/>
    </row>
    <row r="25" spans="1:11" ht="15.75">
      <c r="A25" s="162" t="s">
        <v>326</v>
      </c>
      <c r="B25" s="163" t="s">
        <v>283</v>
      </c>
      <c r="C25" s="163" t="s">
        <v>283</v>
      </c>
      <c r="D25" s="163" t="s">
        <v>283</v>
      </c>
      <c r="E25" s="164" t="s">
        <v>283</v>
      </c>
    </row>
    <row r="26" spans="1:11" ht="15.75">
      <c r="A26" s="162" t="s">
        <v>327</v>
      </c>
      <c r="B26" s="163" t="s">
        <v>283</v>
      </c>
      <c r="C26" s="163" t="s">
        <v>328</v>
      </c>
      <c r="D26" s="163" t="s">
        <v>283</v>
      </c>
      <c r="E26" s="164" t="s">
        <v>283</v>
      </c>
    </row>
    <row r="27" spans="1:11" ht="15.75">
      <c r="A27" s="162" t="s">
        <v>329</v>
      </c>
      <c r="B27" s="163" t="s">
        <v>283</v>
      </c>
      <c r="C27" s="163" t="s">
        <v>330</v>
      </c>
      <c r="D27" s="163" t="s">
        <v>283</v>
      </c>
      <c r="E27" s="164" t="s">
        <v>283</v>
      </c>
    </row>
    <row r="28" spans="1:11" ht="15.75">
      <c r="A28" s="162" t="s">
        <v>331</v>
      </c>
      <c r="B28" s="163" t="s">
        <v>283</v>
      </c>
      <c r="C28" s="163" t="s">
        <v>283</v>
      </c>
      <c r="D28" s="163" t="s">
        <v>332</v>
      </c>
      <c r="E28" s="164" t="s">
        <v>283</v>
      </c>
    </row>
    <row r="29" spans="1:11" ht="15.75">
      <c r="A29" s="162" t="s">
        <v>333</v>
      </c>
      <c r="B29" s="163" t="s">
        <v>334</v>
      </c>
      <c r="C29" s="163" t="s">
        <v>335</v>
      </c>
      <c r="D29" s="163" t="s">
        <v>283</v>
      </c>
      <c r="E29" s="164" t="s">
        <v>283</v>
      </c>
    </row>
    <row r="30" spans="1:11" ht="15.75">
      <c r="A30" s="165" t="s">
        <v>283</v>
      </c>
      <c r="B30" s="166" t="s">
        <v>283</v>
      </c>
      <c r="C30" s="166" t="s">
        <v>283</v>
      </c>
      <c r="D30" s="166" t="s">
        <v>283</v>
      </c>
      <c r="E30" s="167" t="s">
        <v>283</v>
      </c>
    </row>
    <row r="31" spans="1:11" ht="15.75">
      <c r="A31" s="162" t="s">
        <v>315</v>
      </c>
      <c r="B31" s="163" t="s">
        <v>283</v>
      </c>
      <c r="C31" s="163" t="s">
        <v>283</v>
      </c>
      <c r="D31" s="163" t="s">
        <v>283</v>
      </c>
      <c r="E31" s="164" t="s">
        <v>283</v>
      </c>
    </row>
    <row r="32" spans="1:11" ht="15.75">
      <c r="A32" s="162" t="s">
        <v>336</v>
      </c>
      <c r="B32" s="163" t="s">
        <v>283</v>
      </c>
      <c r="C32" s="163" t="s">
        <v>283</v>
      </c>
      <c r="D32" s="163" t="s">
        <v>283</v>
      </c>
      <c r="E32" s="164" t="s">
        <v>283</v>
      </c>
    </row>
    <row r="33" spans="1:5" ht="15.75">
      <c r="A33" s="162" t="s">
        <v>317</v>
      </c>
      <c r="B33" s="163" t="s">
        <v>283</v>
      </c>
      <c r="C33" s="163" t="s">
        <v>283</v>
      </c>
      <c r="D33" s="163" t="s">
        <v>283</v>
      </c>
      <c r="E33" s="164" t="s">
        <v>283</v>
      </c>
    </row>
    <row r="34" spans="1:5" ht="15.75">
      <c r="A34" s="168" t="s">
        <v>319</v>
      </c>
      <c r="B34" s="169" t="s">
        <v>283</v>
      </c>
      <c r="C34" s="169" t="s">
        <v>283</v>
      </c>
      <c r="D34" s="169" t="s">
        <v>283</v>
      </c>
      <c r="E34" s="170" t="s">
        <v>283</v>
      </c>
    </row>
    <row r="36" spans="1:5">
      <c r="A36" s="175" t="s">
        <v>337</v>
      </c>
    </row>
    <row r="37" spans="1:5" ht="15.75">
      <c r="A37" s="149" t="s">
        <v>283</v>
      </c>
      <c r="B37" s="151" t="s">
        <v>295</v>
      </c>
    </row>
    <row r="38" spans="1:5" ht="15.75">
      <c r="A38" s="162" t="s">
        <v>338</v>
      </c>
      <c r="B38" s="164" t="s">
        <v>283</v>
      </c>
    </row>
    <row r="39" spans="1:5" ht="15.75">
      <c r="A39" s="160" t="s">
        <v>339</v>
      </c>
      <c r="B39" s="155" t="s">
        <v>283</v>
      </c>
    </row>
    <row r="40" spans="1:5" ht="15.75">
      <c r="A40" s="161" t="s">
        <v>340</v>
      </c>
      <c r="B40" s="159"/>
    </row>
    <row r="41" spans="1:5" ht="15.75">
      <c r="A41" s="160" t="s">
        <v>341</v>
      </c>
      <c r="B41" s="155" t="s">
        <v>283</v>
      </c>
    </row>
    <row r="42" spans="1:5" ht="15.75">
      <c r="A42" s="161" t="s">
        <v>342</v>
      </c>
      <c r="B42" s="159"/>
    </row>
    <row r="43" spans="1:5" ht="15.75">
      <c r="A43" s="165" t="s">
        <v>283</v>
      </c>
      <c r="B43" s="167" t="s">
        <v>283</v>
      </c>
    </row>
    <row r="44" spans="1:5" ht="15.75">
      <c r="A44" s="162" t="s">
        <v>343</v>
      </c>
      <c r="B44" s="164" t="s">
        <v>283</v>
      </c>
    </row>
    <row r="45" spans="1:5" ht="15.75">
      <c r="A45" s="162" t="s">
        <v>344</v>
      </c>
      <c r="B45" s="164" t="s">
        <v>283</v>
      </c>
    </row>
    <row r="46" spans="1:5" ht="15.75">
      <c r="A46" s="162" t="s">
        <v>345</v>
      </c>
      <c r="B46" s="164" t="s">
        <v>283</v>
      </c>
    </row>
    <row r="47" spans="1:5" ht="15.75">
      <c r="A47" s="168" t="s">
        <v>346</v>
      </c>
      <c r="B47" s="170" t="s">
        <v>283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20" workbookViewId="0">
      <selection activeCell="A30" sqref="A30"/>
    </sheetView>
  </sheetViews>
  <sheetFormatPr defaultRowHeight="15"/>
  <cols>
    <col min="1" max="1" width="13.140625" customWidth="1"/>
    <col min="2" max="2" width="11.42578125" customWidth="1"/>
  </cols>
  <sheetData>
    <row r="1" spans="1:6">
      <c r="B1" s="552" t="s">
        <v>347</v>
      </c>
      <c r="C1" s="553"/>
      <c r="D1" s="124"/>
      <c r="E1" s="554" t="s">
        <v>348</v>
      </c>
      <c r="F1" s="543"/>
    </row>
    <row r="2" spans="1:6" ht="26.25">
      <c r="A2" s="28" t="s">
        <v>349</v>
      </c>
      <c r="B2" s="125" t="s">
        <v>64</v>
      </c>
      <c r="C2" s="126" t="s">
        <v>59</v>
      </c>
      <c r="D2" s="124"/>
      <c r="E2" s="126" t="s">
        <v>64</v>
      </c>
      <c r="F2" s="126" t="s">
        <v>59</v>
      </c>
    </row>
    <row r="3" spans="1:6">
      <c r="A3">
        <v>1</v>
      </c>
      <c r="B3" s="119">
        <v>4.2056074766355138E-2</v>
      </c>
      <c r="C3" s="119">
        <v>3.6253776435045321E-2</v>
      </c>
      <c r="E3" s="119">
        <v>0.25267149258876248</v>
      </c>
      <c r="F3" s="127">
        <v>0.1146691263421787</v>
      </c>
    </row>
    <row r="4" spans="1:6">
      <c r="A4">
        <v>2</v>
      </c>
      <c r="B4" s="119">
        <v>6.0747663551401869E-2</v>
      </c>
      <c r="C4" s="119">
        <v>7.2507552870090641E-2</v>
      </c>
      <c r="E4" s="119">
        <v>0.3160978972768011</v>
      </c>
      <c r="F4" s="127">
        <v>0.20747552149851001</v>
      </c>
    </row>
    <row r="5" spans="1:6">
      <c r="A5">
        <v>3</v>
      </c>
      <c r="B5" s="119">
        <v>0.10981308411214953</v>
      </c>
      <c r="C5" s="119">
        <v>8.7613293051359523E-2</v>
      </c>
      <c r="E5" s="119">
        <v>0.39296794208893487</v>
      </c>
      <c r="F5" s="127">
        <v>0.28482900525046118</v>
      </c>
    </row>
    <row r="6" spans="1:6">
      <c r="A6" s="28">
        <v>4</v>
      </c>
      <c r="B6" s="119">
        <v>0.12850467289719625</v>
      </c>
      <c r="C6" s="119">
        <v>0.12386706948640483</v>
      </c>
      <c r="E6" s="128">
        <v>0.47604274388142021</v>
      </c>
      <c r="F6" s="127">
        <v>0.36527647698784355</v>
      </c>
    </row>
    <row r="7" spans="1:6">
      <c r="A7" s="26">
        <v>5</v>
      </c>
      <c r="B7" s="119">
        <v>0.16355140186915887</v>
      </c>
      <c r="C7" s="119">
        <v>0.20845921450151059</v>
      </c>
      <c r="D7" s="127"/>
      <c r="E7" s="119">
        <v>0.5701482247500862</v>
      </c>
      <c r="F7" s="129">
        <v>0.45014616148715764</v>
      </c>
    </row>
    <row r="8" spans="1:6">
      <c r="A8" s="26">
        <v>6</v>
      </c>
      <c r="B8" s="119">
        <v>0.22663551401869159</v>
      </c>
      <c r="C8" s="119">
        <v>0.22960725075528701</v>
      </c>
      <c r="E8" s="119">
        <v>0.72147535332643897</v>
      </c>
      <c r="F8" s="127">
        <v>0.64007095217823196</v>
      </c>
    </row>
    <row r="9" spans="1:6">
      <c r="A9" s="26">
        <v>7</v>
      </c>
      <c r="B9" s="119">
        <v>0.30140186915887851</v>
      </c>
      <c r="C9" s="119">
        <v>0.27794561933534745</v>
      </c>
      <c r="E9" s="130">
        <v>0.90486039296794207</v>
      </c>
      <c r="F9" s="127">
        <v>0.79481765290194417</v>
      </c>
    </row>
    <row r="10" spans="1:6">
      <c r="A10" s="26">
        <v>8</v>
      </c>
      <c r="B10" s="119">
        <v>0.35046728971962615</v>
      </c>
      <c r="C10" s="119">
        <v>0.31117824773413899</v>
      </c>
      <c r="E10" s="119">
        <v>0.93864184763874525</v>
      </c>
      <c r="F10" s="131">
        <v>0.88854264225911739</v>
      </c>
    </row>
    <row r="11" spans="1:6">
      <c r="A11" s="26">
        <v>9</v>
      </c>
      <c r="B11" s="119">
        <v>0.39485981308411217</v>
      </c>
      <c r="C11" s="119">
        <v>0.38670694864048338</v>
      </c>
      <c r="E11" s="119">
        <v>0.95001723543605654</v>
      </c>
      <c r="F11" s="127">
        <v>0.9422827680809801</v>
      </c>
    </row>
    <row r="12" spans="1:6">
      <c r="A12" s="26">
        <v>10</v>
      </c>
      <c r="B12" s="119">
        <v>0.43691588785046731</v>
      </c>
      <c r="C12" s="119">
        <v>0.42900302114803623</v>
      </c>
      <c r="E12" s="119">
        <v>0.96242674939675976</v>
      </c>
      <c r="F12" s="127">
        <v>0.95465872002270469</v>
      </c>
    </row>
    <row r="13" spans="1:6">
      <c r="A13" s="26">
        <v>11</v>
      </c>
      <c r="B13" s="128">
        <v>0.46962616822429909</v>
      </c>
      <c r="C13" s="128">
        <v>0.48036253776435045</v>
      </c>
      <c r="E13" s="119">
        <v>0.96552912788693557</v>
      </c>
      <c r="F13" s="127">
        <v>0.96530296580105013</v>
      </c>
    </row>
    <row r="14" spans="1:6">
      <c r="A14" s="26">
        <v>12</v>
      </c>
      <c r="B14" s="119">
        <v>0.5070093457943925</v>
      </c>
      <c r="C14" s="119">
        <v>0.57401812688821752</v>
      </c>
      <c r="E14" s="119">
        <v>0.96863150637711137</v>
      </c>
      <c r="F14" s="127">
        <v>0.97390662693344687</v>
      </c>
    </row>
    <row r="15" spans="1:6">
      <c r="A15" s="29" t="s">
        <v>244</v>
      </c>
      <c r="B15" s="119">
        <v>1</v>
      </c>
      <c r="C15" s="119">
        <v>1</v>
      </c>
      <c r="E15" s="119">
        <v>1</v>
      </c>
      <c r="F15" s="127">
        <v>1</v>
      </c>
    </row>
    <row r="21" spans="1:5">
      <c r="B21" s="544" t="s">
        <v>15</v>
      </c>
      <c r="C21" s="545"/>
      <c r="D21" s="545"/>
      <c r="E21" s="555"/>
    </row>
    <row r="22" spans="1:5" ht="26.25">
      <c r="A22" s="28" t="s">
        <v>129</v>
      </c>
      <c r="B22" s="27" t="s">
        <v>64</v>
      </c>
      <c r="C22" s="132" t="s">
        <v>59</v>
      </c>
      <c r="D22" s="27" t="s">
        <v>54</v>
      </c>
      <c r="E22" s="125" t="s">
        <v>134</v>
      </c>
    </row>
    <row r="23" spans="1:5">
      <c r="A23" s="28">
        <v>0</v>
      </c>
      <c r="B23" s="133">
        <v>1</v>
      </c>
      <c r="C23" s="133">
        <v>1</v>
      </c>
      <c r="D23" s="133">
        <v>1</v>
      </c>
      <c r="E23" s="133">
        <v>1</v>
      </c>
    </row>
    <row r="24" spans="1:5">
      <c r="A24">
        <v>1</v>
      </c>
      <c r="B24" s="133">
        <v>0.59</v>
      </c>
      <c r="C24" s="133">
        <v>0.59</v>
      </c>
      <c r="D24" s="133">
        <v>0.59</v>
      </c>
      <c r="E24" s="133">
        <v>0.59</v>
      </c>
    </row>
    <row r="25" spans="1:5">
      <c r="A25">
        <v>2</v>
      </c>
      <c r="B25" s="134">
        <v>0.46</v>
      </c>
      <c r="C25" s="134">
        <v>0.46</v>
      </c>
      <c r="D25" s="134">
        <v>0.46</v>
      </c>
      <c r="E25" s="134">
        <v>0.46</v>
      </c>
    </row>
    <row r="26" spans="1:5">
      <c r="A26">
        <v>3</v>
      </c>
      <c r="B26" s="133">
        <v>0.39</v>
      </c>
      <c r="C26" s="133">
        <v>0.39</v>
      </c>
      <c r="D26" s="133">
        <v>0.39</v>
      </c>
      <c r="E26" s="133">
        <v>0.39</v>
      </c>
    </row>
    <row r="27" spans="1:5">
      <c r="A27" s="28">
        <v>4</v>
      </c>
      <c r="B27" s="135">
        <v>0.33</v>
      </c>
      <c r="C27" s="135">
        <v>0.33</v>
      </c>
      <c r="D27" s="135">
        <v>0.33</v>
      </c>
      <c r="E27" s="135">
        <v>0.33</v>
      </c>
    </row>
    <row r="28" spans="1:5">
      <c r="A28" s="26">
        <v>5</v>
      </c>
      <c r="B28" s="135">
        <v>0.3</v>
      </c>
      <c r="C28" s="135">
        <v>0.3</v>
      </c>
      <c r="D28" s="135">
        <v>0.3</v>
      </c>
      <c r="E28" s="135">
        <v>0.3</v>
      </c>
    </row>
    <row r="29" spans="1:5">
      <c r="A29" s="26">
        <v>6</v>
      </c>
      <c r="B29" s="135">
        <v>0.27</v>
      </c>
      <c r="C29" s="135">
        <v>0.27</v>
      </c>
      <c r="D29" s="135">
        <v>0.27</v>
      </c>
      <c r="E29" s="135">
        <v>0.27</v>
      </c>
    </row>
    <row r="30" spans="1:5">
      <c r="A30" s="26">
        <v>7</v>
      </c>
      <c r="B30" s="127">
        <v>0.24</v>
      </c>
      <c r="C30" s="127">
        <v>0.24</v>
      </c>
      <c r="D30" s="127">
        <v>0.24</v>
      </c>
      <c r="E30" s="127">
        <v>0.24</v>
      </c>
    </row>
    <row r="31" spans="1:5">
      <c r="A31" s="26">
        <v>8</v>
      </c>
      <c r="B31" s="127">
        <v>0.21</v>
      </c>
      <c r="C31" s="127">
        <v>0.21</v>
      </c>
      <c r="D31" s="127">
        <v>0.21</v>
      </c>
      <c r="E31" s="127">
        <v>0.21</v>
      </c>
    </row>
    <row r="32" spans="1:5">
      <c r="A32" s="26">
        <v>9</v>
      </c>
      <c r="B32" s="127">
        <v>0.18</v>
      </c>
      <c r="C32" s="127">
        <v>0.18</v>
      </c>
      <c r="D32" s="127">
        <v>0.18</v>
      </c>
      <c r="E32" s="127">
        <v>0.18</v>
      </c>
    </row>
    <row r="33" spans="1:5">
      <c r="A33" s="26">
        <v>10</v>
      </c>
      <c r="B33" s="127">
        <v>0.15</v>
      </c>
      <c r="C33" s="127">
        <v>0.15</v>
      </c>
      <c r="D33" s="127">
        <v>0.15</v>
      </c>
      <c r="E33" s="127">
        <v>0.15</v>
      </c>
    </row>
    <row r="34" spans="1:5">
      <c r="A34" s="26">
        <v>11</v>
      </c>
    </row>
    <row r="35" spans="1:5">
      <c r="A35" s="26">
        <v>12</v>
      </c>
    </row>
    <row r="36" spans="1:5">
      <c r="A36" s="29" t="s">
        <v>244</v>
      </c>
    </row>
    <row r="38" spans="1:5">
      <c r="A38" s="24" t="s">
        <v>118</v>
      </c>
    </row>
    <row r="39" spans="1:5">
      <c r="A39" s="26" t="s">
        <v>350</v>
      </c>
    </row>
    <row r="40" spans="1:5">
      <c r="A40" s="26" t="s">
        <v>351</v>
      </c>
    </row>
    <row r="41" spans="1:5">
      <c r="A41" s="26" t="s">
        <v>352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defaultRowHeight="15"/>
  <cols>
    <col min="1" max="1" width="45.85546875" customWidth="1"/>
    <col min="2" max="2" width="16.140625" customWidth="1"/>
    <col min="3" max="3" width="19.85546875" customWidth="1"/>
    <col min="4" max="4" width="34.28515625" customWidth="1"/>
    <col min="5" max="5" width="64.5703125" customWidth="1"/>
    <col min="6" max="9" width="9.140625" bestFit="1" customWidth="1"/>
    <col min="10" max="10" width="25.140625" customWidth="1"/>
    <col min="11" max="11" width="11.7109375" customWidth="1"/>
  </cols>
  <sheetData>
    <row r="1" spans="1:11" ht="23.25" customHeight="1">
      <c r="A1" s="393" t="s">
        <v>353</v>
      </c>
      <c r="B1" s="275" t="s">
        <v>354</v>
      </c>
      <c r="C1" s="290" t="s">
        <v>355</v>
      </c>
      <c r="D1" s="275" t="s">
        <v>356</v>
      </c>
    </row>
    <row r="2" spans="1:11" ht="72" customHeight="1">
      <c r="A2" s="370" t="s">
        <v>357</v>
      </c>
      <c r="B2" s="276">
        <v>348</v>
      </c>
      <c r="C2" s="391" t="s">
        <v>358</v>
      </c>
      <c r="D2" s="392" t="s">
        <v>359</v>
      </c>
      <c r="E2" s="368"/>
      <c r="J2" s="252" t="s">
        <v>360</v>
      </c>
      <c r="K2" s="253">
        <v>0.37</v>
      </c>
    </row>
    <row r="3" spans="1:11" ht="72" customHeight="1">
      <c r="A3" s="370" t="s">
        <v>361</v>
      </c>
      <c r="B3" s="276">
        <v>398</v>
      </c>
      <c r="C3" s="391" t="s">
        <v>362</v>
      </c>
      <c r="D3" s="392" t="s">
        <v>363</v>
      </c>
      <c r="E3" s="368"/>
      <c r="J3" s="252" t="s">
        <v>364</v>
      </c>
      <c r="K3" s="253">
        <v>0.02</v>
      </c>
    </row>
    <row r="4" spans="1:11" ht="72" customHeight="1">
      <c r="A4" s="370" t="s">
        <v>365</v>
      </c>
      <c r="B4" s="276">
        <v>417</v>
      </c>
      <c r="C4" s="391" t="s">
        <v>366</v>
      </c>
      <c r="D4" s="392" t="s">
        <v>367</v>
      </c>
      <c r="E4" s="368"/>
    </row>
    <row r="5" spans="1:11" ht="72" customHeight="1">
      <c r="A5" s="370" t="s">
        <v>368</v>
      </c>
      <c r="B5" s="276">
        <v>95170</v>
      </c>
      <c r="C5" s="496" t="s">
        <v>369</v>
      </c>
      <c r="D5" s="284" t="s">
        <v>370</v>
      </c>
      <c r="E5" s="368"/>
    </row>
    <row r="6" spans="1:11" ht="72" customHeight="1">
      <c r="A6" s="370" t="s">
        <v>371</v>
      </c>
      <c r="B6" s="276">
        <v>93715</v>
      </c>
      <c r="C6" s="391" t="s">
        <v>372</v>
      </c>
      <c r="D6" s="284" t="s">
        <v>373</v>
      </c>
      <c r="E6" s="368"/>
    </row>
    <row r="7" spans="1:11" ht="72" customHeight="1">
      <c r="A7" s="370" t="s">
        <v>374</v>
      </c>
      <c r="B7" s="276">
        <v>93796</v>
      </c>
      <c r="C7" s="391" t="s">
        <v>375</v>
      </c>
      <c r="D7" s="284" t="s">
        <v>376</v>
      </c>
      <c r="E7" s="368"/>
    </row>
    <row r="8" spans="1:11" ht="72" customHeight="1">
      <c r="A8" s="370" t="s">
        <v>377</v>
      </c>
      <c r="B8" s="276">
        <v>95517</v>
      </c>
      <c r="C8" s="391" t="s">
        <v>378</v>
      </c>
      <c r="D8" s="284" t="s">
        <v>379</v>
      </c>
      <c r="E8" s="368"/>
    </row>
    <row r="9" spans="1:11" ht="72" customHeight="1">
      <c r="A9" s="370" t="s">
        <v>380</v>
      </c>
      <c r="B9" s="276">
        <v>93965</v>
      </c>
      <c r="C9" s="391" t="s">
        <v>381</v>
      </c>
      <c r="D9" s="399" t="s">
        <v>382</v>
      </c>
      <c r="E9" s="368"/>
    </row>
    <row r="10" spans="1:11" ht="72" customHeight="1">
      <c r="A10" s="370" t="s">
        <v>383</v>
      </c>
      <c r="B10" s="276">
        <v>4488</v>
      </c>
      <c r="C10" s="391" t="s">
        <v>384</v>
      </c>
      <c r="D10" s="392" t="s">
        <v>385</v>
      </c>
      <c r="E10" s="368"/>
    </row>
    <row r="11" spans="1:11" ht="72" customHeight="1">
      <c r="A11" s="370" t="s">
        <v>386</v>
      </c>
      <c r="B11" s="276">
        <v>1008</v>
      </c>
      <c r="C11" s="391" t="s">
        <v>387</v>
      </c>
      <c r="D11" s="392" t="s">
        <v>388</v>
      </c>
      <c r="E11" s="368"/>
    </row>
    <row r="12" spans="1:11" ht="72" customHeight="1">
      <c r="A12" s="370" t="s">
        <v>389</v>
      </c>
      <c r="B12" s="276">
        <v>95604</v>
      </c>
      <c r="C12" s="391" t="s">
        <v>390</v>
      </c>
      <c r="D12" s="394" t="s">
        <v>391</v>
      </c>
      <c r="E12" s="368"/>
    </row>
    <row r="13" spans="1:11" ht="72" customHeight="1">
      <c r="A13" s="370" t="s">
        <v>392</v>
      </c>
      <c r="B13" s="276">
        <v>2721</v>
      </c>
      <c r="C13" s="391" t="s">
        <v>393</v>
      </c>
      <c r="D13" s="392" t="s">
        <v>394</v>
      </c>
      <c r="E13" s="368"/>
    </row>
    <row r="14" spans="1:11" ht="72" customHeight="1">
      <c r="A14" s="370" t="s">
        <v>395</v>
      </c>
      <c r="B14" s="276">
        <v>376</v>
      </c>
      <c r="C14" s="391" t="s">
        <v>396</v>
      </c>
      <c r="D14" s="392" t="s">
        <v>397</v>
      </c>
      <c r="E14" s="368"/>
    </row>
    <row r="15" spans="1:11" ht="72" customHeight="1">
      <c r="A15" s="370" t="s">
        <v>398</v>
      </c>
      <c r="B15" s="276">
        <v>426</v>
      </c>
      <c r="C15" s="391" t="s">
        <v>399</v>
      </c>
      <c r="D15" s="392" t="s">
        <v>400</v>
      </c>
      <c r="E15" s="368"/>
    </row>
    <row r="16" spans="1:11" ht="72" customHeight="1">
      <c r="A16" s="370" t="s">
        <v>401</v>
      </c>
      <c r="B16" s="276">
        <v>250</v>
      </c>
      <c r="C16" s="391" t="s">
        <v>402</v>
      </c>
      <c r="D16" s="392" t="s">
        <v>403</v>
      </c>
      <c r="E16" s="368"/>
    </row>
    <row r="17" spans="1:11" ht="72" customHeight="1">
      <c r="A17" s="370" t="s">
        <v>404</v>
      </c>
      <c r="B17" s="276">
        <v>93688</v>
      </c>
      <c r="C17" s="371" t="s">
        <v>405</v>
      </c>
      <c r="D17" s="284" t="s">
        <v>406</v>
      </c>
      <c r="E17" s="368"/>
    </row>
    <row r="18" spans="1:11" ht="72" customHeight="1">
      <c r="A18" s="370" t="s">
        <v>407</v>
      </c>
      <c r="B18" s="257">
        <v>95473</v>
      </c>
      <c r="C18" s="302" t="s">
        <v>408</v>
      </c>
      <c r="D18" s="284" t="s">
        <v>409</v>
      </c>
      <c r="E18" s="368"/>
    </row>
    <row r="19" spans="1:11" ht="72" customHeight="1">
      <c r="A19" s="367" t="s">
        <v>410</v>
      </c>
      <c r="B19" s="332">
        <v>94241</v>
      </c>
      <c r="C19" s="331" t="s">
        <v>411</v>
      </c>
      <c r="D19" s="284" t="s">
        <v>412</v>
      </c>
      <c r="E19" s="368" t="s">
        <v>413</v>
      </c>
    </row>
    <row r="20" spans="1:11" ht="72" customHeight="1">
      <c r="A20" s="267" t="s">
        <v>414</v>
      </c>
      <c r="B20" s="332">
        <v>94322</v>
      </c>
      <c r="C20" s="331" t="s">
        <v>415</v>
      </c>
      <c r="D20" s="284" t="s">
        <v>416</v>
      </c>
      <c r="E20" s="368" t="s">
        <v>417</v>
      </c>
    </row>
    <row r="21" spans="1:11" ht="72" customHeight="1">
      <c r="A21" s="267" t="s">
        <v>418</v>
      </c>
      <c r="B21" s="308">
        <v>95893</v>
      </c>
      <c r="C21" s="309" t="s">
        <v>419</v>
      </c>
      <c r="D21" s="284" t="s">
        <v>420</v>
      </c>
      <c r="E21" s="266"/>
    </row>
    <row r="22" spans="1:11" ht="72" customHeight="1">
      <c r="A22" s="267" t="s">
        <v>421</v>
      </c>
      <c r="B22" s="332">
        <v>96012</v>
      </c>
      <c r="C22" s="331" t="s">
        <v>422</v>
      </c>
      <c r="D22" s="284" t="s">
        <v>423</v>
      </c>
      <c r="E22" s="266"/>
    </row>
    <row r="23" spans="1:11" ht="72" customHeight="1">
      <c r="A23" s="267" t="s">
        <v>424</v>
      </c>
      <c r="B23" s="276">
        <v>95831</v>
      </c>
      <c r="C23" s="302" t="s">
        <v>425</v>
      </c>
      <c r="D23" s="305" t="s">
        <v>426</v>
      </c>
      <c r="E23" s="266"/>
    </row>
    <row r="24" spans="1:11" ht="72" customHeight="1">
      <c r="A24" s="267" t="s">
        <v>427</v>
      </c>
      <c r="B24" s="276">
        <v>94927</v>
      </c>
      <c r="C24" s="302" t="s">
        <v>428</v>
      </c>
      <c r="D24" s="284" t="s">
        <v>429</v>
      </c>
      <c r="E24" s="266"/>
    </row>
    <row r="25" spans="1:11" ht="72" customHeight="1">
      <c r="A25" s="267" t="s">
        <v>430</v>
      </c>
      <c r="B25" s="276">
        <v>95059</v>
      </c>
      <c r="C25" s="282" t="s">
        <v>431</v>
      </c>
      <c r="D25" s="284" t="s">
        <v>432</v>
      </c>
      <c r="E25" s="266" t="s">
        <v>433</v>
      </c>
    </row>
    <row r="26" spans="1:11" ht="72" customHeight="1">
      <c r="A26" s="242" t="s">
        <v>434</v>
      </c>
      <c r="B26" s="268">
        <v>95219</v>
      </c>
      <c r="C26" s="278" t="s">
        <v>435</v>
      </c>
      <c r="D26" s="280" t="s">
        <v>436</v>
      </c>
      <c r="E26" s="266" t="s">
        <v>437</v>
      </c>
    </row>
    <row r="27" spans="1:11" ht="72" customHeight="1">
      <c r="A27" s="267" t="s">
        <v>438</v>
      </c>
      <c r="B27" s="254">
        <v>104371</v>
      </c>
      <c r="C27" s="279" t="s">
        <v>439</v>
      </c>
      <c r="D27" s="281" t="s">
        <v>440</v>
      </c>
      <c r="E27" s="266"/>
    </row>
    <row r="28" spans="1:11" ht="15" customHeight="1">
      <c r="A28" s="267" t="s">
        <v>441</v>
      </c>
      <c r="B28" s="269" t="s">
        <v>442</v>
      </c>
      <c r="C28" s="277" t="s">
        <v>443</v>
      </c>
      <c r="D28" s="241" t="s">
        <v>444</v>
      </c>
    </row>
    <row r="29" spans="1:11" ht="15" customHeight="1">
      <c r="A29" s="242" t="s">
        <v>445</v>
      </c>
      <c r="B29" s="243">
        <v>174</v>
      </c>
      <c r="C29" s="244" t="s">
        <v>446</v>
      </c>
      <c r="D29" s="243">
        <v>0</v>
      </c>
    </row>
    <row r="30" spans="1:11" ht="15" customHeight="1">
      <c r="A30" s="245" t="s">
        <v>445</v>
      </c>
      <c r="B30" s="243">
        <v>174</v>
      </c>
      <c r="C30" s="246" t="s">
        <v>446</v>
      </c>
      <c r="D30" s="247">
        <v>0</v>
      </c>
    </row>
    <row r="31" spans="1:11" ht="15" customHeight="1">
      <c r="A31" s="248" t="s">
        <v>447</v>
      </c>
      <c r="B31" s="249">
        <v>80</v>
      </c>
      <c r="C31" s="250" t="s">
        <v>448</v>
      </c>
      <c r="D31" s="251">
        <v>1</v>
      </c>
      <c r="J31" s="494"/>
      <c r="K31" s="495"/>
    </row>
    <row r="32" spans="1:11" ht="15" customHeight="1">
      <c r="A32" s="248" t="s">
        <v>449</v>
      </c>
      <c r="B32" s="254">
        <v>4954</v>
      </c>
      <c r="C32" s="250" t="s">
        <v>450</v>
      </c>
      <c r="D32" s="255" t="s">
        <v>451</v>
      </c>
    </row>
    <row r="33" spans="1:11" ht="15" customHeight="1">
      <c r="A33" s="248" t="s">
        <v>452</v>
      </c>
      <c r="B33" s="254">
        <v>2185</v>
      </c>
      <c r="C33" s="250" t="s">
        <v>453</v>
      </c>
      <c r="D33" s="256" t="s">
        <v>454</v>
      </c>
      <c r="J33" s="494"/>
      <c r="K33" s="495"/>
    </row>
    <row r="34" spans="1:11" ht="15" customHeight="1">
      <c r="A34" s="242" t="s">
        <v>455</v>
      </c>
      <c r="B34" s="257">
        <v>96846</v>
      </c>
      <c r="C34" s="258" t="s">
        <v>456</v>
      </c>
      <c r="D34" s="283" t="s">
        <v>457</v>
      </c>
    </row>
    <row r="35" spans="1:11" ht="15" customHeight="1">
      <c r="A35" s="259"/>
      <c r="B35" s="260"/>
    </row>
    <row r="36" spans="1:11" ht="15" customHeight="1">
      <c r="A36" s="259"/>
      <c r="B36" s="260"/>
      <c r="C36" s="260"/>
      <c r="D36" s="260"/>
    </row>
    <row r="37" spans="1:11" ht="15" customHeight="1">
      <c r="A37" s="259"/>
      <c r="B37" s="260"/>
      <c r="C37" s="260"/>
      <c r="D37" s="260"/>
    </row>
    <row r="38" spans="1:11" ht="15" customHeight="1">
      <c r="A38" s="259"/>
      <c r="B38" s="260"/>
      <c r="C38" s="260"/>
      <c r="D38" s="260"/>
    </row>
    <row r="39" spans="1:11" ht="15" customHeight="1">
      <c r="A39" s="259"/>
      <c r="B39" s="261"/>
      <c r="C39" s="260"/>
      <c r="D39" s="260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defaultRowHeight="15"/>
  <cols>
    <col min="1" max="1" width="11.5703125" customWidth="1"/>
    <col min="2" max="2" width="35" customWidth="1"/>
    <col min="3" max="3" width="32" customWidth="1"/>
    <col min="4" max="4" width="46.28515625" customWidth="1"/>
    <col min="5" max="6" width="9.140625" bestFit="1" customWidth="1"/>
    <col min="7" max="7" width="29.28515625" customWidth="1"/>
  </cols>
  <sheetData>
    <row r="1" spans="1:7" ht="15" customHeight="1">
      <c r="A1" s="390" t="s">
        <v>458</v>
      </c>
      <c r="B1" s="390" t="s">
        <v>459</v>
      </c>
      <c r="C1" s="390" t="s">
        <v>460</v>
      </c>
      <c r="D1" s="389" t="s">
        <v>461</v>
      </c>
      <c r="G1" s="262"/>
    </row>
    <row r="2" spans="1:7" ht="15" customHeight="1">
      <c r="A2" s="263">
        <v>45919</v>
      </c>
      <c r="B2" s="264" t="s">
        <v>462</v>
      </c>
      <c r="C2" s="270" t="s">
        <v>463</v>
      </c>
      <c r="D2" t="s">
        <v>464</v>
      </c>
    </row>
    <row r="3" spans="1:7" ht="15" customHeight="1">
      <c r="A3" s="263">
        <v>45919</v>
      </c>
      <c r="B3" s="264" t="s">
        <v>465</v>
      </c>
      <c r="C3" s="270" t="s">
        <v>466</v>
      </c>
      <c r="D3" t="s">
        <v>464</v>
      </c>
    </row>
    <row r="4" spans="1:7" ht="15" customHeight="1">
      <c r="A4" s="263">
        <v>45918</v>
      </c>
      <c r="B4" s="264" t="s">
        <v>467</v>
      </c>
      <c r="C4" s="270" t="s">
        <v>468</v>
      </c>
      <c r="D4" t="s">
        <v>469</v>
      </c>
    </row>
    <row r="5" spans="1:7" ht="15" customHeight="1">
      <c r="A5" s="263">
        <v>45918</v>
      </c>
      <c r="B5" s="264" t="s">
        <v>470</v>
      </c>
      <c r="C5" s="270" t="s">
        <v>471</v>
      </c>
      <c r="D5" t="s">
        <v>472</v>
      </c>
    </row>
    <row r="6" spans="1:7" ht="15" customHeight="1">
      <c r="A6" s="263">
        <v>45917</v>
      </c>
      <c r="B6" s="264" t="s">
        <v>473</v>
      </c>
      <c r="C6" s="270" t="s">
        <v>474</v>
      </c>
      <c r="D6" t="s">
        <v>469</v>
      </c>
    </row>
    <row r="7" spans="1:7" ht="15" customHeight="1">
      <c r="A7" s="263">
        <v>45917</v>
      </c>
      <c r="B7" s="264" t="s">
        <v>475</v>
      </c>
      <c r="C7" s="270" t="s">
        <v>476</v>
      </c>
      <c r="D7" t="s">
        <v>477</v>
      </c>
    </row>
    <row r="8" spans="1:7" ht="15" customHeight="1">
      <c r="A8" s="263">
        <v>45916</v>
      </c>
      <c r="B8" s="264" t="s">
        <v>478</v>
      </c>
      <c r="C8" s="270" t="s">
        <v>479</v>
      </c>
      <c r="D8" t="s">
        <v>480</v>
      </c>
    </row>
    <row r="9" spans="1:7" ht="15" customHeight="1">
      <c r="A9" s="263">
        <v>45916</v>
      </c>
      <c r="B9" s="264" t="s">
        <v>481</v>
      </c>
      <c r="C9" s="270" t="s">
        <v>482</v>
      </c>
      <c r="D9" t="s">
        <v>483</v>
      </c>
    </row>
    <row r="10" spans="1:7" ht="15" customHeight="1">
      <c r="A10" s="263">
        <v>45915</v>
      </c>
      <c r="B10" s="264" t="s">
        <v>484</v>
      </c>
      <c r="C10" s="270" t="s">
        <v>485</v>
      </c>
      <c r="D10" t="s">
        <v>486</v>
      </c>
    </row>
    <row r="11" spans="1:7" ht="15" customHeight="1">
      <c r="A11" s="263">
        <v>45915</v>
      </c>
      <c r="B11" s="264" t="s">
        <v>487</v>
      </c>
      <c r="C11" s="270" t="s">
        <v>488</v>
      </c>
      <c r="D11" t="s">
        <v>489</v>
      </c>
    </row>
    <row r="12" spans="1:7" ht="15" customHeight="1">
      <c r="A12" s="263">
        <v>45913</v>
      </c>
      <c r="B12" s="264" t="s">
        <v>490</v>
      </c>
      <c r="C12" s="270" t="s">
        <v>491</v>
      </c>
      <c r="D12" t="s">
        <v>492</v>
      </c>
    </row>
    <row r="13" spans="1:7" ht="15" customHeight="1">
      <c r="A13" s="263">
        <v>45913</v>
      </c>
      <c r="B13" s="264" t="s">
        <v>493</v>
      </c>
      <c r="C13" s="270" t="s">
        <v>468</v>
      </c>
      <c r="D13" t="s">
        <v>494</v>
      </c>
    </row>
    <row r="14" spans="1:7" ht="15" customHeight="1">
      <c r="A14" s="263">
        <v>45912</v>
      </c>
      <c r="B14" s="264" t="s">
        <v>495</v>
      </c>
      <c r="C14" s="270" t="s">
        <v>496</v>
      </c>
      <c r="D14" t="s">
        <v>497</v>
      </c>
    </row>
    <row r="15" spans="1:7" ht="15" customHeight="1">
      <c r="A15" s="263">
        <v>45912</v>
      </c>
      <c r="B15" s="264" t="s">
        <v>498</v>
      </c>
      <c r="C15" s="270" t="s">
        <v>499</v>
      </c>
      <c r="D15" t="s">
        <v>500</v>
      </c>
    </row>
    <row r="16" spans="1:7" ht="15" customHeight="1">
      <c r="A16" s="263">
        <v>45911</v>
      </c>
      <c r="B16" s="264" t="s">
        <v>501</v>
      </c>
      <c r="C16" s="270" t="s">
        <v>502</v>
      </c>
      <c r="D16" t="s">
        <v>503</v>
      </c>
    </row>
    <row r="17" spans="1:4" ht="15" customHeight="1">
      <c r="A17" s="263">
        <v>45909</v>
      </c>
      <c r="B17" s="264" t="s">
        <v>504</v>
      </c>
      <c r="C17" s="270" t="s">
        <v>505</v>
      </c>
      <c r="D17" t="s">
        <v>506</v>
      </c>
    </row>
    <row r="18" spans="1:4" ht="15" customHeight="1">
      <c r="A18" s="263">
        <v>45909</v>
      </c>
      <c r="B18" t="s">
        <v>507</v>
      </c>
      <c r="C18" s="270" t="s">
        <v>468</v>
      </c>
      <c r="D18" t="s">
        <v>508</v>
      </c>
    </row>
    <row r="19" spans="1:4" ht="15" customHeight="1">
      <c r="A19" s="263">
        <v>45908</v>
      </c>
      <c r="B19" s="264" t="s">
        <v>509</v>
      </c>
      <c r="C19" s="270" t="s">
        <v>510</v>
      </c>
      <c r="D19" t="s">
        <v>511</v>
      </c>
    </row>
    <row r="20" spans="1:4" ht="15" customHeight="1">
      <c r="A20" s="263">
        <v>45908</v>
      </c>
      <c r="B20" s="264" t="s">
        <v>512</v>
      </c>
      <c r="C20" s="270" t="s">
        <v>513</v>
      </c>
      <c r="D20" t="s">
        <v>514</v>
      </c>
    </row>
    <row r="21" spans="1:4" ht="15" customHeight="1">
      <c r="A21" s="263">
        <v>45904</v>
      </c>
      <c r="B21" s="264" t="s">
        <v>515</v>
      </c>
      <c r="C21" s="270" t="s">
        <v>516</v>
      </c>
      <c r="D21" t="s">
        <v>517</v>
      </c>
    </row>
    <row r="22" spans="1:4" ht="15" customHeight="1">
      <c r="A22" s="263">
        <v>45904</v>
      </c>
      <c r="B22" s="264" t="s">
        <v>518</v>
      </c>
      <c r="C22" s="270" t="s">
        <v>519</v>
      </c>
      <c r="D22" t="s">
        <v>520</v>
      </c>
    </row>
    <row r="23" spans="1:4" ht="15" customHeight="1">
      <c r="A23" s="263">
        <v>45903</v>
      </c>
      <c r="B23" s="264" t="s">
        <v>521</v>
      </c>
      <c r="C23" s="270" t="s">
        <v>522</v>
      </c>
      <c r="D23" t="s">
        <v>523</v>
      </c>
    </row>
    <row r="24" spans="1:4" ht="15" customHeight="1">
      <c r="A24" s="263">
        <v>45903</v>
      </c>
      <c r="B24" s="264" t="s">
        <v>524</v>
      </c>
      <c r="C24" s="270" t="s">
        <v>502</v>
      </c>
      <c r="D24" t="s">
        <v>525</v>
      </c>
    </row>
    <row r="25" spans="1:4" ht="15" customHeight="1">
      <c r="A25" s="263">
        <v>45902</v>
      </c>
      <c r="B25" s="264" t="s">
        <v>526</v>
      </c>
      <c r="C25" s="270" t="s">
        <v>474</v>
      </c>
      <c r="D25" t="s">
        <v>527</v>
      </c>
    </row>
    <row r="26" spans="1:4" ht="15" customHeight="1">
      <c r="A26" s="263"/>
      <c r="B26" s="264"/>
      <c r="C26" s="270"/>
    </row>
    <row r="27" spans="1:4" ht="15" customHeight="1">
      <c r="A27" s="386" t="s">
        <v>458</v>
      </c>
      <c r="B27" s="385" t="s">
        <v>528</v>
      </c>
      <c r="C27" s="387" t="s">
        <v>460</v>
      </c>
      <c r="D27" s="388" t="s">
        <v>461</v>
      </c>
    </row>
    <row r="28" spans="1:4" ht="15" customHeight="1">
      <c r="A28" s="263" t="s">
        <v>529</v>
      </c>
      <c r="B28" s="264" t="s">
        <v>530</v>
      </c>
      <c r="C28" s="270" t="s">
        <v>531</v>
      </c>
      <c r="D28" t="s">
        <v>532</v>
      </c>
    </row>
    <row r="29" spans="1:4" ht="15" customHeight="1">
      <c r="A29" s="263" t="s">
        <v>533</v>
      </c>
      <c r="B29" s="264" t="s">
        <v>534</v>
      </c>
      <c r="C29" s="270" t="s">
        <v>535</v>
      </c>
      <c r="D29" s="270" t="s">
        <v>536</v>
      </c>
    </row>
    <row r="30" spans="1:4" ht="15" customHeight="1">
      <c r="A30" s="263" t="s">
        <v>537</v>
      </c>
      <c r="B30" s="265" t="s">
        <v>538</v>
      </c>
      <c r="C30" s="270" t="s">
        <v>539</v>
      </c>
      <c r="D30" t="s">
        <v>540</v>
      </c>
    </row>
    <row r="31" spans="1:4" ht="17.25" customHeight="1">
      <c r="A31" s="263"/>
      <c r="B31" s="264"/>
      <c r="C31" s="270"/>
      <c r="D31" s="270"/>
    </row>
    <row r="32" spans="1:4" ht="17.25" customHeight="1">
      <c r="A32" s="263"/>
      <c r="B32" s="265"/>
      <c r="C32" s="270"/>
    </row>
    <row r="33" spans="1:4" ht="17.25" customHeight="1">
      <c r="A33" s="263"/>
      <c r="B33" s="265"/>
      <c r="C33" s="270"/>
    </row>
    <row r="34" spans="1:4" ht="17.25" customHeight="1">
      <c r="A34" s="263"/>
      <c r="B34" s="264"/>
      <c r="C34" s="270"/>
    </row>
    <row r="35" spans="1:4" ht="17.25" customHeight="1">
      <c r="A35" s="263"/>
      <c r="B35" s="264"/>
      <c r="C35" s="270"/>
      <c r="D35" s="270"/>
    </row>
    <row r="36" spans="1:4" ht="17.25" customHeight="1">
      <c r="A36" s="263"/>
      <c r="B36" s="265"/>
      <c r="C36" s="270"/>
    </row>
    <row r="37" spans="1:4" ht="17.25" customHeight="1">
      <c r="A37" s="263"/>
      <c r="B37" s="265"/>
      <c r="C37" s="270"/>
    </row>
    <row r="38" spans="1:4" ht="17.25" customHeight="1">
      <c r="A38" s="263"/>
      <c r="B38" s="265"/>
      <c r="C38" s="270"/>
    </row>
    <row r="39" spans="1:4" ht="19.5" customHeight="1">
      <c r="A39" s="303"/>
      <c r="C39" s="270"/>
    </row>
    <row r="40" spans="1:4" ht="19.5" customHeight="1">
      <c r="A40" s="263">
        <v>45898</v>
      </c>
      <c r="B40" s="264" t="s">
        <v>541</v>
      </c>
      <c r="C40" s="270" t="s">
        <v>496</v>
      </c>
      <c r="D40" t="s">
        <v>542</v>
      </c>
    </row>
    <row r="41" spans="1:4" ht="19.5" customHeight="1">
      <c r="A41" s="263">
        <v>45898</v>
      </c>
      <c r="B41" s="264" t="s">
        <v>543</v>
      </c>
      <c r="C41" s="270" t="s">
        <v>488</v>
      </c>
      <c r="D41" t="s">
        <v>544</v>
      </c>
    </row>
    <row r="42" spans="1:4" ht="19.5" customHeight="1">
      <c r="A42" s="263">
        <v>45897</v>
      </c>
      <c r="B42" s="264" t="s">
        <v>545</v>
      </c>
      <c r="C42" s="270" t="s">
        <v>546</v>
      </c>
      <c r="D42" t="s">
        <v>547</v>
      </c>
    </row>
    <row r="43" spans="1:4" ht="19.5" customHeight="1">
      <c r="A43" s="263">
        <v>45897</v>
      </c>
      <c r="B43" s="264" t="s">
        <v>548</v>
      </c>
      <c r="C43" s="270" t="s">
        <v>549</v>
      </c>
      <c r="D43" t="s">
        <v>550</v>
      </c>
    </row>
    <row r="44" spans="1:4" ht="19.5" customHeight="1">
      <c r="A44" s="263">
        <v>45896</v>
      </c>
      <c r="B44" s="264" t="s">
        <v>551</v>
      </c>
      <c r="C44" s="270" t="s">
        <v>549</v>
      </c>
      <c r="D44" t="s">
        <v>469</v>
      </c>
    </row>
    <row r="45" spans="1:4" ht="19.5" customHeight="1">
      <c r="A45" s="263">
        <v>45896</v>
      </c>
      <c r="B45" s="264" t="s">
        <v>552</v>
      </c>
      <c r="C45" s="270" t="s">
        <v>488</v>
      </c>
      <c r="D45" t="s">
        <v>553</v>
      </c>
    </row>
    <row r="46" spans="1:4" ht="19.5" customHeight="1">
      <c r="A46" s="263">
        <v>45895</v>
      </c>
      <c r="B46" s="264" t="s">
        <v>554</v>
      </c>
      <c r="C46" s="270" t="s">
        <v>555</v>
      </c>
      <c r="D46" t="s">
        <v>556</v>
      </c>
    </row>
    <row r="47" spans="1:4" ht="19.5" customHeight="1">
      <c r="A47" s="263">
        <v>45895</v>
      </c>
      <c r="B47" s="264" t="s">
        <v>557</v>
      </c>
      <c r="C47" s="270" t="s">
        <v>558</v>
      </c>
      <c r="D47" t="s">
        <v>559</v>
      </c>
    </row>
    <row r="48" spans="1:4" ht="19.5" customHeight="1">
      <c r="A48" s="263">
        <v>45891</v>
      </c>
      <c r="B48" s="264" t="s">
        <v>560</v>
      </c>
      <c r="C48" s="270">
        <v>1625</v>
      </c>
      <c r="D48" t="s">
        <v>561</v>
      </c>
    </row>
    <row r="49" spans="1:4" ht="19.5" customHeight="1">
      <c r="A49" s="263">
        <v>45891</v>
      </c>
      <c r="B49" s="264" t="s">
        <v>562</v>
      </c>
      <c r="C49" s="270">
        <v>2570</v>
      </c>
      <c r="D49" t="s">
        <v>563</v>
      </c>
    </row>
    <row r="50" spans="1:4" ht="19.5" customHeight="1">
      <c r="A50" s="263">
        <v>45890</v>
      </c>
      <c r="B50" s="264" t="s">
        <v>564</v>
      </c>
      <c r="C50" s="270">
        <v>1005</v>
      </c>
      <c r="D50" t="s">
        <v>469</v>
      </c>
    </row>
    <row r="51" spans="1:4" ht="19.5" customHeight="1">
      <c r="A51" s="263">
        <v>45890</v>
      </c>
      <c r="B51" s="264" t="s">
        <v>565</v>
      </c>
      <c r="C51" s="270">
        <v>813</v>
      </c>
      <c r="D51" t="s">
        <v>483</v>
      </c>
    </row>
    <row r="52" spans="1:4" ht="19.5" customHeight="1">
      <c r="A52" s="263">
        <v>45883</v>
      </c>
      <c r="B52" s="264" t="s">
        <v>566</v>
      </c>
      <c r="C52" s="270">
        <v>966</v>
      </c>
      <c r="D52" t="s">
        <v>553</v>
      </c>
    </row>
    <row r="53" spans="1:4" ht="19.5" customHeight="1">
      <c r="A53" s="263">
        <v>45883</v>
      </c>
      <c r="B53" s="264" t="s">
        <v>567</v>
      </c>
      <c r="C53" s="270">
        <v>1895</v>
      </c>
      <c r="D53" t="s">
        <v>568</v>
      </c>
    </row>
    <row r="54" spans="1:4" ht="19.5" customHeight="1">
      <c r="A54" s="263">
        <v>45881</v>
      </c>
      <c r="B54" s="264" t="s">
        <v>569</v>
      </c>
      <c r="C54" s="270">
        <v>3290</v>
      </c>
      <c r="D54" t="s">
        <v>527</v>
      </c>
    </row>
    <row r="55" spans="1:4" ht="19.5" customHeight="1">
      <c r="A55" s="263">
        <v>45881</v>
      </c>
      <c r="B55" s="264" t="s">
        <v>570</v>
      </c>
      <c r="C55" s="270">
        <v>1785</v>
      </c>
      <c r="D55" t="s">
        <v>527</v>
      </c>
    </row>
    <row r="56" spans="1:4" ht="19.5" customHeight="1">
      <c r="A56" s="263">
        <v>45876</v>
      </c>
      <c r="B56" s="264" t="s">
        <v>571</v>
      </c>
      <c r="C56" s="270">
        <v>2394</v>
      </c>
      <c r="D56" t="s">
        <v>572</v>
      </c>
    </row>
    <row r="57" spans="1:4" ht="19.5" customHeight="1">
      <c r="A57" s="263">
        <v>45876</v>
      </c>
      <c r="B57" s="264" t="s">
        <v>573</v>
      </c>
      <c r="C57" s="270">
        <v>1879</v>
      </c>
      <c r="D57" t="s">
        <v>574</v>
      </c>
    </row>
    <row r="58" spans="1:4" ht="19.5" customHeight="1">
      <c r="A58" s="263">
        <v>45876</v>
      </c>
      <c r="B58" s="264" t="s">
        <v>575</v>
      </c>
      <c r="C58" s="270">
        <v>2731</v>
      </c>
      <c r="D58" t="s">
        <v>576</v>
      </c>
    </row>
    <row r="59" spans="1:4" ht="19.5" customHeight="1">
      <c r="A59" s="263">
        <v>45875</v>
      </c>
      <c r="B59" s="264" t="s">
        <v>577</v>
      </c>
      <c r="C59" s="270">
        <v>3331</v>
      </c>
      <c r="D59" t="s">
        <v>508</v>
      </c>
    </row>
    <row r="60" spans="1:4" ht="19.5" customHeight="1">
      <c r="A60" s="263">
        <v>45875</v>
      </c>
      <c r="B60" s="264" t="s">
        <v>578</v>
      </c>
      <c r="C60" s="270">
        <v>1564</v>
      </c>
      <c r="D60" t="s">
        <v>472</v>
      </c>
    </row>
    <row r="61" spans="1:4" ht="19.5" customHeight="1">
      <c r="A61" s="263">
        <v>45874</v>
      </c>
      <c r="B61" s="264" t="s">
        <v>579</v>
      </c>
      <c r="C61" s="270">
        <v>1589</v>
      </c>
      <c r="D61" t="s">
        <v>580</v>
      </c>
    </row>
    <row r="62" spans="1:4" ht="19.5" customHeight="1">
      <c r="A62" s="263">
        <v>45874</v>
      </c>
      <c r="B62" s="264" t="s">
        <v>581</v>
      </c>
      <c r="C62" s="270">
        <v>4997</v>
      </c>
      <c r="D62" t="s">
        <v>582</v>
      </c>
    </row>
    <row r="63" spans="1:4" ht="19.5" customHeight="1">
      <c r="A63" s="263">
        <v>45870</v>
      </c>
      <c r="B63" s="264" t="s">
        <v>583</v>
      </c>
      <c r="C63" s="270">
        <v>953</v>
      </c>
      <c r="D63" t="s">
        <v>584</v>
      </c>
    </row>
    <row r="64" spans="1:4" ht="19.5" customHeight="1">
      <c r="A64" s="263">
        <v>45870</v>
      </c>
      <c r="B64" s="264" t="s">
        <v>585</v>
      </c>
      <c r="C64" s="270">
        <v>1105</v>
      </c>
      <c r="D64" t="s">
        <v>586</v>
      </c>
    </row>
    <row r="65" spans="1:4">
      <c r="A65" s="263">
        <v>45860</v>
      </c>
      <c r="B65" s="264" t="s">
        <v>587</v>
      </c>
      <c r="C65" s="270">
        <v>3465</v>
      </c>
      <c r="D65" t="s">
        <v>588</v>
      </c>
    </row>
    <row r="66" spans="1:4">
      <c r="A66" s="263">
        <v>45860</v>
      </c>
      <c r="B66" s="264" t="s">
        <v>589</v>
      </c>
      <c r="C66" s="270">
        <v>1537</v>
      </c>
      <c r="D66" t="s">
        <v>590</v>
      </c>
    </row>
    <row r="67" spans="1:4">
      <c r="A67" s="263">
        <v>45865</v>
      </c>
      <c r="B67" s="264" t="s">
        <v>591</v>
      </c>
      <c r="C67" s="270">
        <v>563</v>
      </c>
      <c r="D67" t="s">
        <v>464</v>
      </c>
    </row>
    <row r="68" spans="1:4">
      <c r="A68" s="263">
        <v>45865</v>
      </c>
      <c r="B68" s="264" t="s">
        <v>592</v>
      </c>
      <c r="C68" s="270">
        <v>1735</v>
      </c>
      <c r="D68" t="s">
        <v>511</v>
      </c>
    </row>
    <row r="69" spans="1:4">
      <c r="A69" s="263">
        <v>45865</v>
      </c>
      <c r="B69" s="264" t="s">
        <v>593</v>
      </c>
      <c r="C69" s="270">
        <v>256</v>
      </c>
      <c r="D69" t="s">
        <v>469</v>
      </c>
    </row>
    <row r="70" spans="1:4">
      <c r="A70" s="263">
        <v>45853</v>
      </c>
      <c r="B70" s="264" t="s">
        <v>594</v>
      </c>
      <c r="C70" s="270">
        <v>1641</v>
      </c>
      <c r="D70" t="s">
        <v>477</v>
      </c>
    </row>
    <row r="71" spans="1:4">
      <c r="A71" s="263">
        <v>45853</v>
      </c>
      <c r="B71" s="264" t="s">
        <v>595</v>
      </c>
      <c r="C71" s="270">
        <v>4321</v>
      </c>
      <c r="D71" t="s">
        <v>596</v>
      </c>
    </row>
    <row r="72" spans="1:4">
      <c r="A72" s="263">
        <v>45853</v>
      </c>
      <c r="B72" s="264" t="s">
        <v>597</v>
      </c>
      <c r="C72" s="270">
        <v>1013</v>
      </c>
      <c r="D72" t="s">
        <v>598</v>
      </c>
    </row>
    <row r="73" spans="1:4">
      <c r="A73" s="263">
        <v>45853</v>
      </c>
      <c r="B73" s="264" t="s">
        <v>599</v>
      </c>
      <c r="C73" s="270">
        <v>1115</v>
      </c>
      <c r="D73" t="s">
        <v>469</v>
      </c>
    </row>
    <row r="74" spans="1:4">
      <c r="A74" s="263">
        <v>45854</v>
      </c>
      <c r="B74" s="265" t="s">
        <v>600</v>
      </c>
      <c r="C74" s="270">
        <v>3157</v>
      </c>
      <c r="D74" t="s">
        <v>601</v>
      </c>
    </row>
    <row r="75" spans="1:4">
      <c r="A75" s="263">
        <v>45854</v>
      </c>
      <c r="B75" s="265" t="s">
        <v>602</v>
      </c>
      <c r="C75" s="270">
        <v>1489</v>
      </c>
      <c r="D75" t="s">
        <v>603</v>
      </c>
    </row>
    <row r="76" spans="1:4">
      <c r="A76" s="263">
        <v>45854</v>
      </c>
      <c r="B76" s="265" t="s">
        <v>604</v>
      </c>
      <c r="C76" s="270">
        <v>8022</v>
      </c>
      <c r="D76" t="s">
        <v>605</v>
      </c>
    </row>
    <row r="77" spans="1:4">
      <c r="A77" s="303">
        <v>45855</v>
      </c>
      <c r="B77" t="s">
        <v>606</v>
      </c>
      <c r="C77" s="270">
        <v>1203</v>
      </c>
      <c r="D77" t="s">
        <v>477</v>
      </c>
    </row>
    <row r="78" spans="1:4">
      <c r="A78" s="303">
        <v>45855</v>
      </c>
      <c r="B78" t="s">
        <v>607</v>
      </c>
      <c r="C78" s="270">
        <v>1101</v>
      </c>
      <c r="D78" t="s">
        <v>608</v>
      </c>
    </row>
    <row r="79" spans="1:4">
      <c r="A79" s="303">
        <v>45855</v>
      </c>
      <c r="B79" t="s">
        <v>609</v>
      </c>
      <c r="C79" s="304">
        <v>3569</v>
      </c>
      <c r="D79" t="s">
        <v>517</v>
      </c>
    </row>
    <row r="80" spans="1:4">
      <c r="A80" s="303">
        <v>45855</v>
      </c>
      <c r="B80" t="s">
        <v>610</v>
      </c>
      <c r="C80">
        <v>136</v>
      </c>
      <c r="D80" t="s">
        <v>611</v>
      </c>
    </row>
    <row r="81" spans="1:4">
      <c r="A81" s="303">
        <v>45856</v>
      </c>
      <c r="B81" t="s">
        <v>612</v>
      </c>
      <c r="C81" s="270">
        <v>1000</v>
      </c>
      <c r="D81" t="s">
        <v>613</v>
      </c>
    </row>
    <row r="82" spans="1:4">
      <c r="A82" s="303">
        <v>45856</v>
      </c>
      <c r="B82" t="s">
        <v>614</v>
      </c>
      <c r="C82" s="270">
        <v>2072</v>
      </c>
      <c r="D82" t="s">
        <v>615</v>
      </c>
    </row>
    <row r="83" spans="1:4">
      <c r="A83" s="303">
        <v>45856</v>
      </c>
      <c r="B83" t="s">
        <v>616</v>
      </c>
      <c r="C83">
        <v>947</v>
      </c>
      <c r="D83" t="s">
        <v>494</v>
      </c>
    </row>
    <row r="84" spans="1:4">
      <c r="A84" s="303">
        <v>45856</v>
      </c>
      <c r="B84" t="s">
        <v>617</v>
      </c>
      <c r="C84">
        <v>32</v>
      </c>
      <c r="D84" t="s">
        <v>611</v>
      </c>
    </row>
    <row r="85" spans="1:4">
      <c r="A85" s="303"/>
    </row>
    <row r="86" spans="1:4">
      <c r="B86" s="292" t="s">
        <v>528</v>
      </c>
    </row>
    <row r="87" spans="1:4">
      <c r="A87" s="263">
        <v>45832</v>
      </c>
      <c r="B87" s="265" t="s">
        <v>618</v>
      </c>
      <c r="C87" s="270" t="s">
        <v>619</v>
      </c>
      <c r="D87" t="s">
        <v>620</v>
      </c>
    </row>
    <row r="88" spans="1:4">
      <c r="A88" s="263">
        <v>45838</v>
      </c>
      <c r="B88" s="264" t="s">
        <v>621</v>
      </c>
      <c r="C88" t="s">
        <v>622</v>
      </c>
      <c r="D88" t="s">
        <v>623</v>
      </c>
    </row>
    <row r="89" spans="1:4">
      <c r="A89" s="263">
        <v>45841</v>
      </c>
      <c r="B89" s="264" t="s">
        <v>624</v>
      </c>
      <c r="C89" t="s">
        <v>625</v>
      </c>
      <c r="D89" t="s">
        <v>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5"/>
  <cols>
    <col min="1" max="1" width="35" customWidth="1"/>
    <col min="2" max="2" width="37.140625" customWidth="1"/>
    <col min="3" max="3" width="22" customWidth="1"/>
    <col min="4" max="5" width="9.140625" bestFit="1" customWidth="1"/>
    <col min="6" max="6" width="29.28515625" customWidth="1"/>
  </cols>
  <sheetData>
    <row r="1" spans="1:3">
      <c r="A1" s="558" t="s">
        <v>627</v>
      </c>
      <c r="B1" s="559"/>
      <c r="C1" s="559"/>
    </row>
    <row r="2" spans="1:3">
      <c r="A2" s="286" t="s">
        <v>628</v>
      </c>
      <c r="B2" s="275" t="s">
        <v>629</v>
      </c>
      <c r="C2" s="275" t="s">
        <v>630</v>
      </c>
    </row>
    <row r="3" spans="1:3">
      <c r="A3" t="s">
        <v>631</v>
      </c>
      <c r="B3" s="369">
        <v>18052</v>
      </c>
      <c r="C3">
        <v>164</v>
      </c>
    </row>
    <row r="4" spans="1:3">
      <c r="A4" t="s">
        <v>632</v>
      </c>
      <c r="B4" s="270">
        <v>8322</v>
      </c>
      <c r="C4">
        <v>66</v>
      </c>
    </row>
    <row r="5" spans="1:3">
      <c r="A5" t="s">
        <v>633</v>
      </c>
      <c r="B5" s="270">
        <v>7065</v>
      </c>
      <c r="C5">
        <v>86</v>
      </c>
    </row>
    <row r="6" spans="1:3">
      <c r="A6" t="s">
        <v>634</v>
      </c>
      <c r="B6" s="270">
        <v>4084.5</v>
      </c>
      <c r="C6">
        <v>54</v>
      </c>
    </row>
    <row r="7" spans="1:3">
      <c r="A7" t="s">
        <v>635</v>
      </c>
      <c r="B7" s="270">
        <v>3441</v>
      </c>
      <c r="C7">
        <v>38</v>
      </c>
    </row>
    <row r="8" spans="1:3">
      <c r="A8" t="s">
        <v>160</v>
      </c>
      <c r="B8" s="270">
        <v>2892</v>
      </c>
      <c r="C8">
        <v>44</v>
      </c>
    </row>
    <row r="9" spans="1:3">
      <c r="A9" t="s">
        <v>636</v>
      </c>
      <c r="B9" s="270">
        <v>2521</v>
      </c>
      <c r="C9">
        <v>29</v>
      </c>
    </row>
    <row r="10" spans="1:3">
      <c r="A10" t="s">
        <v>637</v>
      </c>
      <c r="B10" s="270">
        <v>2454</v>
      </c>
      <c r="C10">
        <v>52</v>
      </c>
    </row>
    <row r="11" spans="1:3">
      <c r="B11" s="270"/>
    </row>
    <row r="12" spans="1:3">
      <c r="A12" s="558" t="s">
        <v>638</v>
      </c>
      <c r="B12" s="559"/>
      <c r="C12" s="559"/>
    </row>
    <row r="13" spans="1:3">
      <c r="A13" s="286" t="s">
        <v>639</v>
      </c>
      <c r="B13" s="275" t="s">
        <v>640</v>
      </c>
      <c r="C13" s="275" t="s">
        <v>630</v>
      </c>
    </row>
    <row r="14" spans="1:3">
      <c r="A14" t="s">
        <v>634</v>
      </c>
      <c r="B14" s="270">
        <v>17681</v>
      </c>
      <c r="C14">
        <v>161</v>
      </c>
    </row>
    <row r="15" spans="1:3">
      <c r="A15" t="s">
        <v>631</v>
      </c>
      <c r="B15" s="270">
        <v>7995</v>
      </c>
      <c r="C15">
        <v>64</v>
      </c>
    </row>
    <row r="16" spans="1:3">
      <c r="A16" t="s">
        <v>633</v>
      </c>
      <c r="B16" s="270">
        <v>5293</v>
      </c>
      <c r="C16">
        <v>64</v>
      </c>
    </row>
    <row r="17" spans="1:6">
      <c r="A17" t="s">
        <v>641</v>
      </c>
      <c r="B17" s="270">
        <v>4084</v>
      </c>
      <c r="C17">
        <v>54</v>
      </c>
    </row>
    <row r="18" spans="1:6">
      <c r="A18" t="s">
        <v>637</v>
      </c>
      <c r="B18" s="270">
        <v>2684</v>
      </c>
      <c r="C18">
        <v>31</v>
      </c>
    </row>
    <row r="19" spans="1:6">
      <c r="A19" t="s">
        <v>160</v>
      </c>
      <c r="B19" s="270">
        <v>2343</v>
      </c>
      <c r="C19">
        <v>26</v>
      </c>
    </row>
    <row r="20" spans="1:6">
      <c r="A20" t="s">
        <v>192</v>
      </c>
      <c r="B20" s="270">
        <v>2341</v>
      </c>
      <c r="C20">
        <v>38</v>
      </c>
    </row>
    <row r="21" spans="1:6">
      <c r="A21" t="s">
        <v>642</v>
      </c>
      <c r="B21" s="270">
        <v>2308</v>
      </c>
      <c r="C21">
        <v>49</v>
      </c>
    </row>
    <row r="22" spans="1:6">
      <c r="A22" t="s">
        <v>643</v>
      </c>
      <c r="B22" s="270">
        <v>2030</v>
      </c>
      <c r="C22">
        <v>26</v>
      </c>
    </row>
    <row r="23" spans="1:6">
      <c r="A23" t="s">
        <v>635</v>
      </c>
      <c r="B23" s="285">
        <v>2004</v>
      </c>
      <c r="C23">
        <v>26</v>
      </c>
    </row>
    <row r="27" spans="1:6">
      <c r="A27" s="558" t="s">
        <v>638</v>
      </c>
      <c r="B27" s="559"/>
      <c r="C27" s="559"/>
    </row>
    <row r="28" spans="1:6">
      <c r="A28" s="286" t="s">
        <v>644</v>
      </c>
      <c r="B28" s="275" t="s">
        <v>645</v>
      </c>
      <c r="C28" s="275" t="s">
        <v>630</v>
      </c>
      <c r="F28" s="262"/>
    </row>
    <row r="29" spans="1:6">
      <c r="A29" t="s">
        <v>631</v>
      </c>
      <c r="B29" s="285">
        <v>27675</v>
      </c>
      <c r="C29">
        <v>215</v>
      </c>
    </row>
    <row r="30" spans="1:6">
      <c r="A30" t="s">
        <v>633</v>
      </c>
      <c r="B30" s="285">
        <v>9650</v>
      </c>
      <c r="C30">
        <v>116</v>
      </c>
    </row>
    <row r="31" spans="1:6">
      <c r="A31" t="s">
        <v>637</v>
      </c>
      <c r="B31" s="285">
        <v>8677</v>
      </c>
      <c r="C31">
        <v>104</v>
      </c>
    </row>
    <row r="32" spans="1:6">
      <c r="A32" t="s">
        <v>634</v>
      </c>
      <c r="B32" s="285">
        <v>9110</v>
      </c>
      <c r="C32">
        <v>84</v>
      </c>
    </row>
    <row r="33" spans="1:6">
      <c r="A33" t="s">
        <v>160</v>
      </c>
      <c r="B33" s="270">
        <v>5110</v>
      </c>
      <c r="C33">
        <v>80</v>
      </c>
    </row>
    <row r="34" spans="1:6">
      <c r="A34" t="s">
        <v>641</v>
      </c>
      <c r="B34" s="285">
        <v>5435</v>
      </c>
      <c r="C34">
        <v>73</v>
      </c>
    </row>
    <row r="35" spans="1:6">
      <c r="A35" t="s">
        <v>643</v>
      </c>
      <c r="B35" s="285">
        <v>5145</v>
      </c>
      <c r="C35">
        <v>61</v>
      </c>
    </row>
    <row r="36" spans="1:6">
      <c r="A36" t="s">
        <v>646</v>
      </c>
      <c r="B36" s="285">
        <v>4200</v>
      </c>
      <c r="C36">
        <v>56</v>
      </c>
    </row>
    <row r="37" spans="1:6">
      <c r="A37" t="s">
        <v>177</v>
      </c>
      <c r="B37" s="285">
        <v>2970</v>
      </c>
      <c r="C37">
        <v>55</v>
      </c>
    </row>
    <row r="43" spans="1:6">
      <c r="A43" s="558" t="s">
        <v>647</v>
      </c>
      <c r="B43" s="559"/>
      <c r="C43" s="559"/>
    </row>
    <row r="44" spans="1:6" ht="15" customHeight="1">
      <c r="A44" s="286" t="s">
        <v>648</v>
      </c>
      <c r="B44" s="275" t="s">
        <v>649</v>
      </c>
      <c r="C44" s="275" t="s">
        <v>630</v>
      </c>
      <c r="F44" s="262"/>
    </row>
    <row r="45" spans="1:6" ht="15" customHeight="1">
      <c r="A45" s="264" t="s">
        <v>633</v>
      </c>
      <c r="B45" s="285">
        <v>19205</v>
      </c>
      <c r="C45">
        <v>234</v>
      </c>
    </row>
    <row r="46" spans="1:6" ht="15" customHeight="1">
      <c r="A46" s="264" t="s">
        <v>631</v>
      </c>
      <c r="B46" s="285">
        <v>16175</v>
      </c>
      <c r="C46">
        <v>130</v>
      </c>
    </row>
    <row r="47" spans="1:6" ht="15" customHeight="1">
      <c r="A47" s="265" t="s">
        <v>634</v>
      </c>
      <c r="B47" s="285">
        <v>14107</v>
      </c>
      <c r="C47">
        <v>139</v>
      </c>
    </row>
    <row r="48" spans="1:6" ht="17.25" customHeight="1">
      <c r="A48" t="s">
        <v>635</v>
      </c>
      <c r="B48" s="285">
        <v>12729</v>
      </c>
      <c r="C48">
        <v>186</v>
      </c>
    </row>
    <row r="49" spans="1:3" ht="17.25" customHeight="1">
      <c r="A49" t="s">
        <v>650</v>
      </c>
      <c r="B49" s="285">
        <v>11391</v>
      </c>
      <c r="C49">
        <v>149</v>
      </c>
    </row>
    <row r="50" spans="1:3" ht="17.25" customHeight="1">
      <c r="A50" t="s">
        <v>651</v>
      </c>
      <c r="B50" s="285">
        <v>11075</v>
      </c>
      <c r="C50">
        <v>168</v>
      </c>
    </row>
    <row r="51" spans="1:3" ht="19.5" customHeight="1">
      <c r="A51" t="s">
        <v>636</v>
      </c>
      <c r="B51" s="285">
        <v>10715</v>
      </c>
      <c r="C51">
        <v>155</v>
      </c>
    </row>
    <row r="52" spans="1:3">
      <c r="A52" t="s">
        <v>637</v>
      </c>
      <c r="B52" s="285">
        <v>9126</v>
      </c>
      <c r="C52">
        <v>129</v>
      </c>
    </row>
    <row r="53" spans="1:3">
      <c r="A53" t="s">
        <v>632</v>
      </c>
      <c r="B53" s="285">
        <v>6150</v>
      </c>
      <c r="C53">
        <v>91</v>
      </c>
    </row>
    <row r="54" spans="1:3">
      <c r="A54" t="s">
        <v>102</v>
      </c>
      <c r="B54" s="285">
        <v>6140</v>
      </c>
      <c r="C54">
        <v>60</v>
      </c>
    </row>
    <row r="56" spans="1:3">
      <c r="A56" s="556" t="s">
        <v>652</v>
      </c>
      <c r="B56" s="557"/>
      <c r="C56" s="293"/>
    </row>
    <row r="57" spans="1:3">
      <c r="A57" s="294" t="s">
        <v>653</v>
      </c>
      <c r="B57" s="295" t="s">
        <v>654</v>
      </c>
      <c r="C57" s="293"/>
    </row>
    <row r="58" spans="1:3">
      <c r="A58" s="293" t="s">
        <v>655</v>
      </c>
      <c r="B58" s="296"/>
      <c r="C58" s="293"/>
    </row>
    <row r="59" spans="1:3">
      <c r="A59" s="293" t="s">
        <v>656</v>
      </c>
      <c r="B59" s="296"/>
      <c r="C59" s="293"/>
    </row>
    <row r="60" spans="1:3">
      <c r="A60" s="293" t="s">
        <v>657</v>
      </c>
      <c r="B60" s="296"/>
      <c r="C60" s="293"/>
    </row>
    <row r="61" spans="1:3">
      <c r="A61" s="293" t="s">
        <v>658</v>
      </c>
      <c r="B61" s="293"/>
      <c r="C61" s="293"/>
    </row>
    <row r="62" spans="1:3">
      <c r="A62" s="293" t="s">
        <v>659</v>
      </c>
      <c r="B62" s="293"/>
      <c r="C62" s="293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RowHeight="15"/>
  <cols>
    <col min="1" max="1" width="24.140625" customWidth="1"/>
    <col min="2" max="2" width="23.28515625" customWidth="1"/>
    <col min="3" max="3" width="8.7109375" customWidth="1"/>
    <col min="4" max="4" width="9.140625" style="337"/>
    <col min="5" max="5" width="16.140625" customWidth="1"/>
    <col min="6" max="6" width="18.85546875" customWidth="1"/>
    <col min="7" max="7" width="12.5703125" customWidth="1"/>
    <col min="8" max="8" width="9.140625" style="337"/>
    <col min="9" max="9" width="16.5703125" customWidth="1"/>
    <col min="10" max="10" width="18.42578125" customWidth="1"/>
    <col min="11" max="11" width="15.7109375" customWidth="1"/>
    <col min="12" max="12" width="9.140625" style="337"/>
  </cols>
  <sheetData>
    <row r="1" spans="1:11" ht="24.75" customHeight="1">
      <c r="A1" s="333" t="s">
        <v>660</v>
      </c>
      <c r="B1" s="335" t="s">
        <v>661</v>
      </c>
      <c r="C1" s="334" t="s">
        <v>662</v>
      </c>
      <c r="E1" s="333" t="s">
        <v>663</v>
      </c>
      <c r="F1" s="335" t="s">
        <v>664</v>
      </c>
      <c r="G1" s="334" t="s">
        <v>662</v>
      </c>
      <c r="I1" s="333" t="s">
        <v>665</v>
      </c>
      <c r="J1" s="335" t="s">
        <v>666</v>
      </c>
      <c r="K1" s="334" t="s">
        <v>662</v>
      </c>
    </row>
    <row r="2" spans="1:11">
      <c r="A2" s="373" t="s">
        <v>667</v>
      </c>
      <c r="B2" s="373"/>
      <c r="C2" s="373"/>
    </row>
    <row r="3" spans="1:11">
      <c r="A3" t="s">
        <v>668</v>
      </c>
      <c r="B3" t="s">
        <v>669</v>
      </c>
      <c r="C3" s="336">
        <v>45870</v>
      </c>
    </row>
    <row r="4" spans="1:11">
      <c r="A4" t="s">
        <v>670</v>
      </c>
      <c r="B4" t="s">
        <v>669</v>
      </c>
      <c r="C4" s="336">
        <v>45870</v>
      </c>
    </row>
    <row r="5" spans="1:11">
      <c r="A5" t="s">
        <v>671</v>
      </c>
      <c r="B5" t="s">
        <v>669</v>
      </c>
      <c r="C5" s="336">
        <v>45870</v>
      </c>
    </row>
    <row r="6" spans="1:11">
      <c r="A6" t="s">
        <v>672</v>
      </c>
      <c r="B6" t="s">
        <v>673</v>
      </c>
      <c r="C6" s="336">
        <v>45875</v>
      </c>
    </row>
    <row r="7" spans="1:11">
      <c r="A7" t="s">
        <v>674</v>
      </c>
      <c r="B7" t="s">
        <v>675</v>
      </c>
      <c r="C7" s="336">
        <v>45875</v>
      </c>
    </row>
    <row r="8" spans="1:11">
      <c r="A8" t="s">
        <v>676</v>
      </c>
      <c r="B8" t="s">
        <v>675</v>
      </c>
      <c r="C8" s="336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defaultRowHeight="15"/>
  <cols>
    <col min="1" max="1" width="10.5703125" customWidth="1"/>
    <col min="3" max="3" width="16.85546875" customWidth="1"/>
    <col min="5" max="6" width="14.5703125" bestFit="1" customWidth="1"/>
    <col min="7" max="7" width="15.5703125" bestFit="1" customWidth="1"/>
    <col min="8" max="8" width="10.7109375" bestFit="1" customWidth="1"/>
    <col min="9" max="10" width="14.5703125" bestFit="1" customWidth="1"/>
    <col min="11" max="11" width="10.7109375" bestFit="1" customWidth="1"/>
    <col min="12" max="13" width="14.5703125" bestFit="1" customWidth="1"/>
    <col min="14" max="14" width="10.7109375" bestFit="1" customWidth="1"/>
    <col min="15" max="15" width="11.85546875" bestFit="1" customWidth="1"/>
  </cols>
  <sheetData>
    <row r="1" spans="1:21" ht="65.25" customHeight="1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61" t="s">
        <v>677</v>
      </c>
      <c r="N1" s="561"/>
      <c r="O1" s="561"/>
      <c r="P1" s="561"/>
      <c r="Q1" s="561"/>
      <c r="R1" s="437"/>
      <c r="S1" s="1"/>
      <c r="T1" s="1"/>
      <c r="U1" s="6"/>
    </row>
    <row r="2" spans="1:21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>
      <c r="A3" s="417" t="s">
        <v>678</v>
      </c>
      <c r="B3" s="417"/>
      <c r="C3" s="417"/>
      <c r="D3" s="1"/>
      <c r="E3" s="562" t="s">
        <v>679</v>
      </c>
      <c r="F3" s="562"/>
      <c r="G3" s="562"/>
      <c r="H3" s="562"/>
      <c r="I3" s="563" t="s">
        <v>680</v>
      </c>
      <c r="J3" s="563"/>
      <c r="K3" s="563"/>
      <c r="L3" s="564" t="s">
        <v>14</v>
      </c>
      <c r="M3" s="564"/>
      <c r="N3" s="564"/>
      <c r="O3" s="562" t="s">
        <v>17</v>
      </c>
      <c r="P3" s="562"/>
      <c r="Q3" s="565"/>
    </row>
    <row r="4" spans="1:21">
      <c r="A4" s="566" t="s">
        <v>681</v>
      </c>
      <c r="B4" s="566"/>
      <c r="C4" s="566"/>
      <c r="D4" s="418" t="s">
        <v>682</v>
      </c>
      <c r="E4" s="419" t="s">
        <v>43</v>
      </c>
      <c r="F4" s="418" t="s">
        <v>683</v>
      </c>
      <c r="G4" s="420" t="s">
        <v>684</v>
      </c>
      <c r="H4" s="418" t="s">
        <v>685</v>
      </c>
      <c r="I4" s="419" t="s">
        <v>686</v>
      </c>
      <c r="J4" s="418" t="s">
        <v>687</v>
      </c>
      <c r="K4" s="418" t="s">
        <v>685</v>
      </c>
      <c r="L4" s="419" t="s">
        <v>686</v>
      </c>
      <c r="M4" s="418" t="s">
        <v>687</v>
      </c>
      <c r="N4" s="418" t="s">
        <v>685</v>
      </c>
      <c r="O4" s="419" t="s">
        <v>688</v>
      </c>
      <c r="P4" s="421" t="s">
        <v>689</v>
      </c>
      <c r="Q4" s="422" t="s">
        <v>690</v>
      </c>
    </row>
    <row r="5" spans="1:21">
      <c r="A5" s="2" t="s">
        <v>691</v>
      </c>
      <c r="B5" s="2"/>
      <c r="C5" s="2"/>
      <c r="D5" s="423"/>
      <c r="E5" s="424" t="s">
        <v>283</v>
      </c>
      <c r="F5" s="423"/>
      <c r="G5" s="425"/>
      <c r="H5" s="423"/>
      <c r="I5" s="438" t="s">
        <v>283</v>
      </c>
      <c r="J5" s="439"/>
      <c r="K5" s="423"/>
      <c r="L5" s="438" t="s">
        <v>283</v>
      </c>
      <c r="M5" s="439"/>
      <c r="N5" s="423"/>
      <c r="O5" s="426" t="s">
        <v>283</v>
      </c>
      <c r="P5" s="423"/>
      <c r="Q5" s="427" t="s">
        <v>283</v>
      </c>
    </row>
    <row r="6" spans="1:21">
      <c r="A6" s="1" t="s">
        <v>692</v>
      </c>
      <c r="B6" s="1" t="s">
        <v>693</v>
      </c>
      <c r="C6" s="1"/>
      <c r="D6" s="1" t="s">
        <v>694</v>
      </c>
      <c r="E6" s="434">
        <f>SUM('Performances by Week'!Y15:Y17)</f>
        <v>49998</v>
      </c>
      <c r="F6" s="435">
        <f>SUM('Performances by Week'!X15:X17)</f>
        <v>62111</v>
      </c>
      <c r="G6" s="440">
        <f>F6-E6</f>
        <v>12113</v>
      </c>
      <c r="H6" s="1">
        <f>SUM('Performances by Week'!S15:S17)</f>
        <v>1111</v>
      </c>
      <c r="I6" s="434">
        <f>SUM('Performances by Week'!AD15:AD17)</f>
        <v>100000</v>
      </c>
      <c r="J6" s="435">
        <f>SUM('Performances by Week'!AC15:AC17)</f>
        <v>111230.70000000001</v>
      </c>
      <c r="K6" s="428">
        <f>SUM('Performances by Week'!AB15:AB17)</f>
        <v>1678</v>
      </c>
      <c r="L6" s="434">
        <f>SUM(E6,I6)</f>
        <v>149998</v>
      </c>
      <c r="M6" s="434">
        <f>SUM(F6,J6)</f>
        <v>173341.7</v>
      </c>
      <c r="N6" s="428">
        <f>SUM(H6,K6)</f>
        <v>2789</v>
      </c>
      <c r="O6" s="436">
        <f>SUM('Performances by Week'!AF15:AF17)</f>
        <v>4299</v>
      </c>
      <c r="P6" s="430">
        <f>N6/O6</f>
        <v>0.64875552454059082</v>
      </c>
      <c r="Q6" s="432">
        <f>M6/N6</f>
        <v>62.15191825026892</v>
      </c>
    </row>
    <row r="7" spans="1:21">
      <c r="A7" s="1" t="s">
        <v>695</v>
      </c>
      <c r="B7" s="1" t="s">
        <v>696</v>
      </c>
      <c r="C7" s="1"/>
      <c r="D7" s="1" t="s">
        <v>697</v>
      </c>
      <c r="E7" s="434">
        <f>SUM('Performances by Week'!Y26:Y28)</f>
        <v>85000</v>
      </c>
      <c r="F7" s="435">
        <f>SUM('Performances by Week'!X26:X28)</f>
        <v>50990</v>
      </c>
      <c r="G7" s="440">
        <f t="shared" ref="G7:G19" si="0">F7-E7</f>
        <v>-34010</v>
      </c>
      <c r="H7" s="77">
        <f>SUM('Performances by Week'!S26:S28)</f>
        <v>899</v>
      </c>
      <c r="I7" s="435">
        <f>SUM('Performances by Week'!AD26:AD28)</f>
        <v>140000</v>
      </c>
      <c r="J7" s="435">
        <f>SUM('Performances by Week'!AC26:AC28)</f>
        <v>96474.1</v>
      </c>
      <c r="K7" s="77">
        <f>SUM('Performances by Week'!AB26:AB28)</f>
        <v>1461</v>
      </c>
      <c r="L7" s="434">
        <f t="shared" ref="L7:M20" si="1">SUM(E7,I7)</f>
        <v>225000</v>
      </c>
      <c r="M7" s="434">
        <f t="shared" si="1"/>
        <v>147464.1</v>
      </c>
      <c r="N7" s="428">
        <f t="shared" ref="N7:N19" si="2">SUM(H7,K7)</f>
        <v>2360</v>
      </c>
      <c r="O7" s="77">
        <f>SUM('Performances by Week'!AF26:AF28)</f>
        <v>4299</v>
      </c>
      <c r="P7" s="430">
        <f t="shared" ref="P7:P20" si="3">N7/O7</f>
        <v>0.5489648755524541</v>
      </c>
      <c r="Q7" s="432">
        <f t="shared" ref="Q7:Q20" si="4">M7/N7</f>
        <v>62.48478813559322</v>
      </c>
    </row>
    <row r="8" spans="1:21">
      <c r="A8" s="1" t="s">
        <v>698</v>
      </c>
      <c r="B8" s="1" t="s">
        <v>699</v>
      </c>
      <c r="C8" s="1"/>
      <c r="D8" s="1" t="s">
        <v>700</v>
      </c>
      <c r="E8" s="434">
        <f>SUM('Performances by Week'!Y31:Y33)</f>
        <v>38000</v>
      </c>
      <c r="F8" s="435">
        <f>SUM('Performances by Week'!X31:X33)</f>
        <v>18613</v>
      </c>
      <c r="G8" s="440">
        <f t="shared" si="0"/>
        <v>-19387</v>
      </c>
      <c r="H8" s="77">
        <f>SUM('Performances by Week'!S31:S33)</f>
        <v>311</v>
      </c>
      <c r="I8" s="435">
        <f>SUM('Performances by Week'!AD31:AD33)</f>
        <v>135000</v>
      </c>
      <c r="J8" s="435">
        <f>SUM('Performances by Week'!AC31:AC33)</f>
        <v>105210.1</v>
      </c>
      <c r="K8" s="77">
        <f>SUM('Performances by Week'!AB31:AB33)</f>
        <v>1572</v>
      </c>
      <c r="L8" s="434">
        <f t="shared" si="1"/>
        <v>173000</v>
      </c>
      <c r="M8" s="434">
        <f t="shared" si="1"/>
        <v>123823.1</v>
      </c>
      <c r="N8" s="428">
        <f t="shared" si="2"/>
        <v>1883</v>
      </c>
      <c r="O8" s="77">
        <f>SUM('Performances by Week'!AF31:AF33)</f>
        <v>4770</v>
      </c>
      <c r="P8" s="430">
        <f t="shared" si="3"/>
        <v>0.39475890985324946</v>
      </c>
      <c r="Q8" s="432">
        <f t="shared" si="4"/>
        <v>65.758417419012218</v>
      </c>
    </row>
    <row r="9" spans="1:21">
      <c r="A9" s="1" t="s">
        <v>701</v>
      </c>
      <c r="B9" s="1" t="s">
        <v>702</v>
      </c>
      <c r="C9" s="1"/>
      <c r="D9" s="1" t="s">
        <v>703</v>
      </c>
      <c r="E9" s="434">
        <f>SUM('Performances by Week'!Y52:Y54)</f>
        <v>64998</v>
      </c>
      <c r="F9" s="435">
        <f>SUM('Performances by Week'!X52:X54)</f>
        <v>8795</v>
      </c>
      <c r="G9" s="440">
        <f t="shared" si="0"/>
        <v>-56203</v>
      </c>
      <c r="H9" s="77">
        <f>SUM('Performances by Week'!S52:S54)</f>
        <v>159</v>
      </c>
      <c r="I9" s="435">
        <f>SUM('Performances by Week'!AD52:AD54)</f>
        <v>100000</v>
      </c>
      <c r="J9" s="435">
        <f>SUM('Performances by Week'!AC52:AC54)</f>
        <v>111577.5</v>
      </c>
      <c r="K9" s="77">
        <f>SUM('Performances by Week'!AB52:AB54)</f>
        <v>1701</v>
      </c>
      <c r="L9" s="434">
        <f t="shared" si="1"/>
        <v>164998</v>
      </c>
      <c r="M9" s="434">
        <f t="shared" si="1"/>
        <v>120372.5</v>
      </c>
      <c r="N9" s="428">
        <f t="shared" si="2"/>
        <v>1860</v>
      </c>
      <c r="O9" s="77">
        <f>SUM('Performances by Week'!AF52:AF54)</f>
        <v>4770</v>
      </c>
      <c r="P9" s="430">
        <f t="shared" si="3"/>
        <v>0.38993710691823902</v>
      </c>
      <c r="Q9" s="432">
        <f t="shared" si="4"/>
        <v>64.716397849462368</v>
      </c>
    </row>
    <row r="10" spans="1:21">
      <c r="A10" s="1" t="s">
        <v>704</v>
      </c>
      <c r="B10" s="1" t="s">
        <v>705</v>
      </c>
      <c r="C10" s="1"/>
      <c r="D10" s="1" t="s">
        <v>706</v>
      </c>
      <c r="E10" s="434">
        <f>SUM('Performances by Week'!Y55:Y57)</f>
        <v>70000</v>
      </c>
      <c r="F10" s="435">
        <f>SUM('Performances by Week'!X55:X57)</f>
        <v>16249</v>
      </c>
      <c r="G10" s="440">
        <f t="shared" si="0"/>
        <v>-53751</v>
      </c>
      <c r="H10" s="77">
        <f>SUM('Performances by Week'!S55:S57)</f>
        <v>270</v>
      </c>
      <c r="I10" s="435">
        <f>SUM('Performances by Week'!AD55:AD57)</f>
        <v>140000</v>
      </c>
      <c r="J10" s="435">
        <f>SUM('Performances by Week'!AC55:AC57)</f>
        <v>104865.09999999999</v>
      </c>
      <c r="K10" s="77">
        <f>SUM('Performances by Week'!AB55:AB57)</f>
        <v>1576</v>
      </c>
      <c r="L10" s="434">
        <f t="shared" si="1"/>
        <v>210000</v>
      </c>
      <c r="M10" s="434">
        <f t="shared" si="1"/>
        <v>121114.09999999999</v>
      </c>
      <c r="N10" s="428">
        <f t="shared" si="2"/>
        <v>1846</v>
      </c>
      <c r="O10" s="77">
        <f>SUM('Performances by Week'!AF55:AF57)</f>
        <v>4770</v>
      </c>
      <c r="P10" s="430">
        <f t="shared" si="3"/>
        <v>0.38700209643605871</v>
      </c>
      <c r="Q10" s="432">
        <f t="shared" si="4"/>
        <v>65.608938244853732</v>
      </c>
    </row>
    <row r="11" spans="1:21">
      <c r="A11" s="1" t="s">
        <v>707</v>
      </c>
      <c r="B11" s="1" t="s">
        <v>708</v>
      </c>
      <c r="C11" s="1"/>
      <c r="D11" s="1" t="s">
        <v>709</v>
      </c>
      <c r="E11" s="434">
        <f>SUM('Performances by Week'!Y62:Y64)</f>
        <v>64000</v>
      </c>
      <c r="F11" s="435">
        <f>SUM('Performances by Week'!X62:X64)</f>
        <v>14060</v>
      </c>
      <c r="G11" s="440">
        <f t="shared" si="0"/>
        <v>-49940</v>
      </c>
      <c r="H11" s="77">
        <f>SUM('Performances by Week'!S62:S64)</f>
        <v>237</v>
      </c>
      <c r="I11" s="435">
        <f>SUM('Performances by Week'!AD62:AD64)</f>
        <v>140000</v>
      </c>
      <c r="J11" s="435">
        <f>SUM('Performances by Week'!AC62:AC64)</f>
        <v>103801.1</v>
      </c>
      <c r="K11" s="77">
        <f>SUM('Performances by Week'!AB62:AB64)</f>
        <v>1571</v>
      </c>
      <c r="L11" s="434">
        <f t="shared" si="1"/>
        <v>204000</v>
      </c>
      <c r="M11" s="434">
        <f t="shared" si="1"/>
        <v>117861.1</v>
      </c>
      <c r="N11" s="428">
        <f t="shared" si="2"/>
        <v>1808</v>
      </c>
      <c r="O11" s="77">
        <f>SUM('Performances by Week'!AF62:AF64)</f>
        <v>4770</v>
      </c>
      <c r="P11" s="430">
        <f t="shared" si="3"/>
        <v>0.37903563941299789</v>
      </c>
      <c r="Q11" s="432">
        <f t="shared" si="4"/>
        <v>65.188661504424786</v>
      </c>
    </row>
    <row r="12" spans="1:21">
      <c r="A12" s="1" t="s">
        <v>710</v>
      </c>
      <c r="B12" s="1" t="s">
        <v>711</v>
      </c>
      <c r="C12" s="1"/>
      <c r="D12" s="1" t="s">
        <v>712</v>
      </c>
      <c r="E12" s="434">
        <f>SUM('Performances by Week'!Y66:Y68)</f>
        <v>39999</v>
      </c>
      <c r="F12" s="435">
        <f>SUM('Performances by Week'!X66:X68)</f>
        <v>6940</v>
      </c>
      <c r="G12" s="440">
        <f t="shared" si="0"/>
        <v>-33059</v>
      </c>
      <c r="H12" s="77">
        <f>SUM('Performances by Week'!S66:S68)</f>
        <v>155</v>
      </c>
      <c r="I12" s="435">
        <f>SUM('Performances by Week'!AD66:AD68)</f>
        <v>100000</v>
      </c>
      <c r="J12" s="435">
        <f>SUM('Performances by Week'!AC66:AC68)</f>
        <v>109967.29999999999</v>
      </c>
      <c r="K12" s="77">
        <f>SUM('Performances by Week'!AB66:AB68)</f>
        <v>1683</v>
      </c>
      <c r="L12" s="434">
        <f t="shared" si="1"/>
        <v>139999</v>
      </c>
      <c r="M12" s="434">
        <f t="shared" si="1"/>
        <v>116907.29999999999</v>
      </c>
      <c r="N12" s="428">
        <f t="shared" si="2"/>
        <v>1838</v>
      </c>
      <c r="O12" s="77">
        <f>SUM('Performances by Week'!AF66:AF68)</f>
        <v>4770</v>
      </c>
      <c r="P12" s="430">
        <f t="shared" si="3"/>
        <v>0.38532494758909852</v>
      </c>
      <c r="Q12" s="432">
        <f t="shared" si="4"/>
        <v>63.605712731229588</v>
      </c>
    </row>
    <row r="13" spans="1:21">
      <c r="A13" s="1" t="s">
        <v>713</v>
      </c>
      <c r="B13" s="1" t="s">
        <v>714</v>
      </c>
      <c r="C13" s="1"/>
      <c r="D13" s="1" t="s">
        <v>715</v>
      </c>
      <c r="E13" s="434">
        <f>SUM('Performances by Week'!Y79:Y81)</f>
        <v>54999</v>
      </c>
      <c r="F13" s="435">
        <f>SUM('Performances by Week'!X79:X81)</f>
        <v>10846</v>
      </c>
      <c r="G13" s="440">
        <f t="shared" si="0"/>
        <v>-44153</v>
      </c>
      <c r="H13" s="77">
        <f>SUM('Performances by Week'!S79:S81)</f>
        <v>190</v>
      </c>
      <c r="I13" s="435">
        <f>SUM('Performances by Week'!AD79:AD81)</f>
        <v>110000</v>
      </c>
      <c r="J13" s="435">
        <f>SUM('Performances by Week'!AC79:AC81)</f>
        <v>111505.29999999999</v>
      </c>
      <c r="K13" s="77">
        <f>SUM('Performances by Week'!AB79:AB81)</f>
        <v>1708</v>
      </c>
      <c r="L13" s="434">
        <f t="shared" si="1"/>
        <v>164999</v>
      </c>
      <c r="M13" s="434">
        <f t="shared" si="1"/>
        <v>122351.29999999999</v>
      </c>
      <c r="N13" s="428">
        <f t="shared" si="2"/>
        <v>1898</v>
      </c>
      <c r="O13" s="77">
        <f>SUM('Performances by Week'!AF79:AF81)</f>
        <v>4770</v>
      </c>
      <c r="P13" s="430">
        <f t="shared" si="3"/>
        <v>0.39790356394129978</v>
      </c>
      <c r="Q13" s="432">
        <f t="shared" si="4"/>
        <v>64.463277133825073</v>
      </c>
    </row>
    <row r="14" spans="1:21">
      <c r="A14" s="1" t="s">
        <v>716</v>
      </c>
      <c r="B14" s="1" t="s">
        <v>717</v>
      </c>
      <c r="C14" s="1"/>
      <c r="D14" s="1" t="s">
        <v>718</v>
      </c>
      <c r="E14" s="434">
        <f>SUM('Performances by Week'!Y89:Y91)</f>
        <v>70000</v>
      </c>
      <c r="F14" s="435">
        <f>SUM('Performances by Week'!X89:X91)</f>
        <v>10472</v>
      </c>
      <c r="G14" s="440">
        <f t="shared" si="0"/>
        <v>-59528</v>
      </c>
      <c r="H14" s="77">
        <f>SUM('Performances by Week'!S89:S91)</f>
        <v>219</v>
      </c>
      <c r="I14" s="435">
        <f>SUM('Performances by Week'!AD89:AD91)</f>
        <v>130000</v>
      </c>
      <c r="J14" s="435">
        <f>SUM('Performances by Week'!AC89:AC91)</f>
        <v>98992.1</v>
      </c>
      <c r="K14" s="77">
        <f>SUM('Performances by Week'!AB89:AB91)</f>
        <v>1505</v>
      </c>
      <c r="L14" s="434">
        <f t="shared" si="1"/>
        <v>200000</v>
      </c>
      <c r="M14" s="434">
        <f t="shared" si="1"/>
        <v>109464.1</v>
      </c>
      <c r="N14" s="428">
        <f t="shared" si="2"/>
        <v>1724</v>
      </c>
      <c r="O14" s="77">
        <f>SUM('Performances by Week'!AF89:AF91)</f>
        <v>4299</v>
      </c>
      <c r="P14" s="430">
        <f t="shared" si="3"/>
        <v>0.40102349383577574</v>
      </c>
      <c r="Q14" s="432">
        <f t="shared" si="4"/>
        <v>63.49425754060325</v>
      </c>
    </row>
    <row r="15" spans="1:21">
      <c r="A15" s="1" t="s">
        <v>719</v>
      </c>
      <c r="B15" s="1" t="s">
        <v>720</v>
      </c>
      <c r="C15" s="1"/>
      <c r="D15" s="1" t="s">
        <v>721</v>
      </c>
      <c r="E15" s="434">
        <f>SUM('Performances by Week'!Y92:Y94)</f>
        <v>39999</v>
      </c>
      <c r="F15" s="435">
        <f>SUM('Performances by Week'!X92:X94)</f>
        <v>4229</v>
      </c>
      <c r="G15" s="440">
        <f t="shared" si="0"/>
        <v>-35770</v>
      </c>
      <c r="H15" s="77">
        <f>SUM('Performances by Week'!S92:S94)</f>
        <v>103</v>
      </c>
      <c r="I15" s="435">
        <f>SUM('Performances by Week'!AD92:AD94)</f>
        <v>100000</v>
      </c>
      <c r="J15" s="435">
        <f>SUM('Performances by Week'!AC92:AC94)</f>
        <v>119099.09999999999</v>
      </c>
      <c r="K15" s="77">
        <f>SUM('Performances by Week'!AB92:AB94)</f>
        <v>1789</v>
      </c>
      <c r="L15" s="434">
        <f t="shared" si="1"/>
        <v>139999</v>
      </c>
      <c r="M15" s="434">
        <f t="shared" si="1"/>
        <v>123328.09999999999</v>
      </c>
      <c r="N15" s="428">
        <f t="shared" si="2"/>
        <v>1892</v>
      </c>
      <c r="O15" s="77">
        <f>SUM('Performances by Week'!AF92:AF94)</f>
        <v>4770</v>
      </c>
      <c r="P15" s="430">
        <f t="shared" si="3"/>
        <v>0.39664570230607965</v>
      </c>
      <c r="Q15" s="432">
        <f t="shared" si="4"/>
        <v>65.183985200845655</v>
      </c>
    </row>
    <row r="16" spans="1:21">
      <c r="A16" s="1" t="s">
        <v>722</v>
      </c>
      <c r="B16" s="1" t="s">
        <v>723</v>
      </c>
      <c r="C16" s="1"/>
      <c r="D16" s="1" t="s">
        <v>724</v>
      </c>
      <c r="E16" s="434">
        <f>SUM('Performances by Week'!Y97:Y99)</f>
        <v>55000</v>
      </c>
      <c r="F16" s="435">
        <f>SUM('Performances by Week'!X97:X99)</f>
        <v>11439</v>
      </c>
      <c r="G16" s="440">
        <f t="shared" si="0"/>
        <v>-43561</v>
      </c>
      <c r="H16" s="77">
        <f>SUM('Performances by Week'!S97:S99)</f>
        <v>208</v>
      </c>
      <c r="I16" s="435">
        <f>SUM('Performances by Week'!AD97:AD99)</f>
        <v>120000</v>
      </c>
      <c r="J16" s="435">
        <f>SUM('Performances by Week'!AC97:AC99)</f>
        <v>105674.09999999999</v>
      </c>
      <c r="K16" s="77">
        <f>SUM('Performances by Week'!AB97:AB99)</f>
        <v>1585</v>
      </c>
      <c r="L16" s="434">
        <f t="shared" si="1"/>
        <v>175000</v>
      </c>
      <c r="M16" s="434">
        <f t="shared" si="1"/>
        <v>117113.09999999999</v>
      </c>
      <c r="N16" s="428">
        <f t="shared" si="2"/>
        <v>1793</v>
      </c>
      <c r="O16" s="77">
        <f>SUM('Performances by Week'!AF97:AF99)</f>
        <v>4770</v>
      </c>
      <c r="P16" s="430">
        <f t="shared" si="3"/>
        <v>0.37589098532494758</v>
      </c>
      <c r="Q16" s="432">
        <f t="shared" si="4"/>
        <v>65.316843279419956</v>
      </c>
    </row>
    <row r="17" spans="1:17">
      <c r="A17" s="1" t="s">
        <v>725</v>
      </c>
      <c r="B17" s="1" t="s">
        <v>726</v>
      </c>
      <c r="C17" s="1"/>
      <c r="D17" s="1" t="s">
        <v>727</v>
      </c>
      <c r="E17" s="434">
        <f>SUM('Performances by Week'!Y107:Y109)</f>
        <v>60000</v>
      </c>
      <c r="F17" s="435">
        <f>SUM('Performances by Week'!X107:X109)</f>
        <v>6544</v>
      </c>
      <c r="G17" s="440">
        <f t="shared" si="0"/>
        <v>-53456</v>
      </c>
      <c r="H17" s="77">
        <f>SUM('Performances by Week'!S107:S109)</f>
        <v>162</v>
      </c>
      <c r="I17" s="435">
        <f>SUM('Performances by Week'!AD107:AD109)</f>
        <v>95000</v>
      </c>
      <c r="J17" s="435">
        <f>SUM('Performances by Week'!AC107:AC109)</f>
        <v>112084.5</v>
      </c>
      <c r="K17" s="77">
        <f>SUM('Performances by Week'!AB107:AB109)</f>
        <v>1713</v>
      </c>
      <c r="L17" s="434">
        <f t="shared" si="1"/>
        <v>155000</v>
      </c>
      <c r="M17" s="434">
        <f t="shared" si="1"/>
        <v>118628.5</v>
      </c>
      <c r="N17" s="428">
        <f t="shared" si="2"/>
        <v>1875</v>
      </c>
      <c r="O17" s="77">
        <f>SUM('Performances by Week'!AF107:AF109)</f>
        <v>4770</v>
      </c>
      <c r="P17" s="430">
        <f t="shared" si="3"/>
        <v>0.39308176100628933</v>
      </c>
      <c r="Q17" s="432">
        <f t="shared" si="4"/>
        <v>63.26853333333333</v>
      </c>
    </row>
    <row r="18" spans="1:17">
      <c r="A18" s="1" t="s">
        <v>728</v>
      </c>
      <c r="B18" s="1" t="s">
        <v>729</v>
      </c>
      <c r="C18" s="1"/>
      <c r="D18" s="1" t="s">
        <v>730</v>
      </c>
      <c r="E18" s="434">
        <f>SUM('Performances by Week'!Y111:Y113)</f>
        <v>90000</v>
      </c>
      <c r="F18" s="435">
        <f>SUM('Performances by Week'!X111:X113)</f>
        <v>13110</v>
      </c>
      <c r="G18" s="440">
        <f t="shared" si="0"/>
        <v>-76890</v>
      </c>
      <c r="H18" s="77">
        <f>SUM('Performances by Week'!S111:S113)</f>
        <v>225</v>
      </c>
      <c r="I18" s="435">
        <f>SUM('Performances by Week'!AD111:AD113)</f>
        <v>110000</v>
      </c>
      <c r="J18" s="435">
        <f>SUM('Performances by Week'!AC111:AC113)</f>
        <v>119909.5</v>
      </c>
      <c r="K18" s="77">
        <f>SUM('Performances by Week'!AB111:AB113)</f>
        <v>1809</v>
      </c>
      <c r="L18" s="434">
        <f t="shared" si="1"/>
        <v>200000</v>
      </c>
      <c r="M18" s="434">
        <f t="shared" si="1"/>
        <v>133019.5</v>
      </c>
      <c r="N18" s="428">
        <f t="shared" si="2"/>
        <v>2034</v>
      </c>
      <c r="O18" s="77">
        <f>SUM('Performances by Week'!AF111:AF113)</f>
        <v>4770</v>
      </c>
      <c r="P18" s="430">
        <f t="shared" si="3"/>
        <v>0.42641509433962266</v>
      </c>
      <c r="Q18" s="432">
        <f t="shared" si="4"/>
        <v>65.397984267453296</v>
      </c>
    </row>
    <row r="19" spans="1:17">
      <c r="A19" s="441" t="s">
        <v>731</v>
      </c>
      <c r="B19" s="441" t="s">
        <v>732</v>
      </c>
      <c r="C19" s="441"/>
      <c r="D19" s="441" t="s">
        <v>733</v>
      </c>
      <c r="E19" s="442">
        <f>SUM('Performances by Week'!Y115:Y117)</f>
        <v>85000</v>
      </c>
      <c r="F19" s="443">
        <f>SUM('Performances by Week'!X115:X117)</f>
        <v>30540</v>
      </c>
      <c r="G19" s="444">
        <f t="shared" si="0"/>
        <v>-54460</v>
      </c>
      <c r="H19" s="445">
        <f>SUM('Performances by Week'!S115:S117)</f>
        <v>518</v>
      </c>
      <c r="I19" s="443">
        <f>SUM('Performances by Week'!AD115:AD117)</f>
        <v>115000</v>
      </c>
      <c r="J19" s="443">
        <f>SUM('Performances by Week'!AC115:AC117)</f>
        <v>101226</v>
      </c>
      <c r="K19" s="445">
        <f>SUM('Performances by Week'!AB115:AB117)</f>
        <v>1538</v>
      </c>
      <c r="L19" s="442">
        <f t="shared" si="1"/>
        <v>200000</v>
      </c>
      <c r="M19" s="442">
        <f t="shared" si="1"/>
        <v>131766</v>
      </c>
      <c r="N19" s="446">
        <f t="shared" si="2"/>
        <v>2056</v>
      </c>
      <c r="O19" s="445">
        <f>SUM('Performances by Week'!AF115:AF117)</f>
        <v>4770</v>
      </c>
      <c r="P19" s="447">
        <f t="shared" si="3"/>
        <v>0.4310272536687631</v>
      </c>
      <c r="Q19" s="448">
        <f t="shared" si="4"/>
        <v>64.088521400778205</v>
      </c>
    </row>
    <row r="20" spans="1:17">
      <c r="A20" s="449" t="s">
        <v>265</v>
      </c>
      <c r="B20" s="450"/>
      <c r="C20" s="450"/>
      <c r="D20" s="451" t="s">
        <v>283</v>
      </c>
      <c r="E20" s="452">
        <f>SUM(E6:E19)</f>
        <v>866993</v>
      </c>
      <c r="F20" s="452">
        <f>SUM(F6:F19)</f>
        <v>264938</v>
      </c>
      <c r="G20" s="453">
        <f>F20-E20</f>
        <v>-602055</v>
      </c>
      <c r="H20" s="454">
        <f>SUM(H6:H19)</f>
        <v>4767</v>
      </c>
      <c r="I20" s="452">
        <f>SUM(I6:I19)</f>
        <v>1635000</v>
      </c>
      <c r="J20" s="452">
        <f>SUM(J6:J19)</f>
        <v>1511616.5</v>
      </c>
      <c r="K20" s="454">
        <f>SUM(K6:K19)</f>
        <v>22889</v>
      </c>
      <c r="L20" s="455">
        <f>SUM(L6:L19)</f>
        <v>2501993</v>
      </c>
      <c r="M20" s="455">
        <f t="shared" si="1"/>
        <v>1776554.5</v>
      </c>
      <c r="N20" s="456">
        <f>SUM(N6:N19)</f>
        <v>27656</v>
      </c>
      <c r="O20" s="454">
        <f>SUM(O6:O19)</f>
        <v>65367</v>
      </c>
      <c r="P20" s="457">
        <f t="shared" si="3"/>
        <v>0.42308810255939544</v>
      </c>
      <c r="Q20" s="458">
        <f t="shared" si="4"/>
        <v>64.237579548741678</v>
      </c>
    </row>
    <row r="21" spans="1:17">
      <c r="A21" s="1"/>
      <c r="B21" s="1"/>
      <c r="C21" s="1"/>
      <c r="D21" s="1"/>
      <c r="E21" s="434" t="s">
        <v>283</v>
      </c>
      <c r="F21" s="435"/>
      <c r="G21" s="459"/>
      <c r="H21" s="1"/>
      <c r="I21" s="434" t="s">
        <v>283</v>
      </c>
      <c r="J21" s="435"/>
      <c r="K21" s="1"/>
      <c r="L21" s="434" t="s">
        <v>283</v>
      </c>
      <c r="M21" s="435"/>
      <c r="N21" s="1"/>
      <c r="O21" s="4" t="s">
        <v>283</v>
      </c>
      <c r="P21" s="1"/>
      <c r="Q21" s="431" t="s">
        <v>283</v>
      </c>
    </row>
    <row r="22" spans="1:17">
      <c r="A22" s="2" t="s">
        <v>734</v>
      </c>
      <c r="B22" s="2"/>
      <c r="C22" s="2"/>
      <c r="D22" s="1"/>
      <c r="E22" s="434" t="s">
        <v>283</v>
      </c>
      <c r="F22" s="435"/>
      <c r="G22" s="459"/>
      <c r="H22" s="1"/>
      <c r="I22" s="434" t="s">
        <v>283</v>
      </c>
      <c r="J22" s="435"/>
      <c r="K22" s="1"/>
      <c r="L22" s="434" t="s">
        <v>283</v>
      </c>
      <c r="M22" s="435"/>
      <c r="N22" s="1"/>
      <c r="O22" s="4" t="s">
        <v>283</v>
      </c>
      <c r="P22" s="1"/>
      <c r="Q22" s="431" t="s">
        <v>283</v>
      </c>
    </row>
    <row r="23" spans="1:17">
      <c r="A23" s="1" t="s">
        <v>735</v>
      </c>
      <c r="B23" s="1" t="str">
        <f>B7</f>
        <v>Rachmaninoff Cele Pt 1 (SP)</v>
      </c>
      <c r="C23" s="1"/>
      <c r="D23" s="460" t="s">
        <v>736</v>
      </c>
      <c r="E23" s="434">
        <f>'Performances by Week'!$Y$26</f>
        <v>22000</v>
      </c>
      <c r="F23" s="435">
        <f>'Performances by Week'!$X$26</f>
        <v>7608</v>
      </c>
      <c r="G23" s="435">
        <f>F23-E23</f>
        <v>-14392</v>
      </c>
      <c r="H23" s="1">
        <f>'Performances by Week'!$S$26</f>
        <v>144</v>
      </c>
      <c r="I23" s="434">
        <f>'Performances by Week'!$AD$26</f>
        <v>30000</v>
      </c>
      <c r="J23" s="435">
        <f>'Performances by Week'!$AC$26</f>
        <v>23801</v>
      </c>
      <c r="K23" s="1">
        <f>'Performances by Week'!$AB$26</f>
        <v>342</v>
      </c>
      <c r="L23" s="434">
        <f t="shared" ref="L23:M29" si="5">SUM(E23,I23)</f>
        <v>52000</v>
      </c>
      <c r="M23" s="435">
        <f t="shared" si="5"/>
        <v>31409</v>
      </c>
      <c r="N23" s="428">
        <f t="shared" ref="N23:N29" si="6">SUM(H23,K23)</f>
        <v>486</v>
      </c>
      <c r="O23" s="429">
        <f>'Performances by Week'!$AF$115</f>
        <v>1590</v>
      </c>
      <c r="P23" s="430">
        <f t="shared" ref="P23:P30" si="7">N23/O23</f>
        <v>0.30566037735849055</v>
      </c>
      <c r="Q23" s="432">
        <f t="shared" ref="Q23:Q30" si="8">M23/N23</f>
        <v>64.627572016460903</v>
      </c>
    </row>
    <row r="24" spans="1:17">
      <c r="A24" s="1" t="s">
        <v>737</v>
      </c>
      <c r="B24" s="1" t="str">
        <f>B8</f>
        <v>Matthias and Mahler (SP)</v>
      </c>
      <c r="C24" s="1"/>
      <c r="D24" s="461" t="s">
        <v>738</v>
      </c>
      <c r="E24" s="434">
        <f>'Performances by Week'!$Y$31</f>
        <v>15000</v>
      </c>
      <c r="F24" s="435">
        <f>'Performances by Week'!$X$31</f>
        <v>3804</v>
      </c>
      <c r="G24" s="435">
        <f>F24-E24</f>
        <v>-11196</v>
      </c>
      <c r="H24" s="1">
        <f>'Performances by Week'!$S$31</f>
        <v>75</v>
      </c>
      <c r="I24" s="434">
        <f>'Performances by Week'!$AD$31</f>
        <v>25000</v>
      </c>
      <c r="J24" s="435">
        <f>'Performances by Week'!$AC$31</f>
        <v>25348</v>
      </c>
      <c r="K24" s="1">
        <f>'Performances by Week'!$AB$31</f>
        <v>367</v>
      </c>
      <c r="L24" s="434">
        <f t="shared" si="5"/>
        <v>40000</v>
      </c>
      <c r="M24" s="435">
        <f t="shared" si="5"/>
        <v>29152</v>
      </c>
      <c r="N24" s="428">
        <f t="shared" si="6"/>
        <v>442</v>
      </c>
      <c r="O24" s="429">
        <f>'Performances by Week'!$AF$31</f>
        <v>1590</v>
      </c>
      <c r="P24" s="430">
        <f t="shared" si="7"/>
        <v>0.27798742138364779</v>
      </c>
      <c r="Q24" s="432">
        <f t="shared" si="8"/>
        <v>65.954751131221713</v>
      </c>
    </row>
    <row r="25" spans="1:17">
      <c r="A25" s="1" t="s">
        <v>739</v>
      </c>
      <c r="B25" s="1" t="str">
        <f>B10</f>
        <v>Pines of Rome &amp; Bruch (SP)</v>
      </c>
      <c r="C25" s="1"/>
      <c r="D25" s="461" t="s">
        <v>740</v>
      </c>
      <c r="E25" s="434">
        <f>'Performances by Week'!$Y$55</f>
        <v>30000</v>
      </c>
      <c r="F25" s="435">
        <f>'Performances by Week'!$X$55</f>
        <v>2960</v>
      </c>
      <c r="G25" s="435">
        <f t="shared" ref="G25:G29" si="9">F25-E25</f>
        <v>-27040</v>
      </c>
      <c r="H25" s="1">
        <f>'Performances by Week'!$S$55</f>
        <v>51</v>
      </c>
      <c r="I25" s="434">
        <f>'Performances by Week'!$AD$55</f>
        <v>30000</v>
      </c>
      <c r="J25" s="435">
        <f>'Performances by Week'!$AC$55</f>
        <v>25342</v>
      </c>
      <c r="K25" s="1">
        <f>'Performances by Week'!$AB$55</f>
        <v>368</v>
      </c>
      <c r="L25" s="434">
        <f t="shared" si="5"/>
        <v>60000</v>
      </c>
      <c r="M25" s="435">
        <f t="shared" si="5"/>
        <v>28302</v>
      </c>
      <c r="N25" s="428">
        <f t="shared" si="6"/>
        <v>419</v>
      </c>
      <c r="O25" s="429">
        <f>'Performances by Week'!$AF$55</f>
        <v>1590</v>
      </c>
      <c r="P25" s="430">
        <f t="shared" si="7"/>
        <v>0.26352201257861635</v>
      </c>
      <c r="Q25" s="432">
        <f t="shared" si="8"/>
        <v>67.546539379474936</v>
      </c>
    </row>
    <row r="26" spans="1:17">
      <c r="A26" s="1" t="s">
        <v>741</v>
      </c>
      <c r="B26" s="1" t="str">
        <f>B11</f>
        <v>Beethoven+ (SP)</v>
      </c>
      <c r="C26" s="1"/>
      <c r="D26" s="461" t="s">
        <v>742</v>
      </c>
      <c r="E26" s="434">
        <f>'Performances by Week'!$Y$62</f>
        <v>24000</v>
      </c>
      <c r="F26" s="435">
        <f>'Performances by Week'!$X$62</f>
        <v>3847</v>
      </c>
      <c r="G26" s="435">
        <f t="shared" si="9"/>
        <v>-20153</v>
      </c>
      <c r="H26" s="1">
        <f>'Performances by Week'!$S$62</f>
        <v>71</v>
      </c>
      <c r="I26" s="434">
        <f>'Performances by Week'!$AD$62</f>
        <v>30000</v>
      </c>
      <c r="J26" s="435">
        <f>'Performances by Week'!$AC$62</f>
        <v>24869</v>
      </c>
      <c r="K26" s="1">
        <f>'Performances by Week'!$AB$62</f>
        <v>364</v>
      </c>
      <c r="L26" s="434">
        <f t="shared" si="5"/>
        <v>54000</v>
      </c>
      <c r="M26" s="435">
        <f t="shared" si="5"/>
        <v>28716</v>
      </c>
      <c r="N26" s="428">
        <f t="shared" si="6"/>
        <v>435</v>
      </c>
      <c r="O26" s="429">
        <f>'Performances by Week'!$AF$62</f>
        <v>1590</v>
      </c>
      <c r="P26" s="430">
        <f t="shared" si="7"/>
        <v>0.27358490566037735</v>
      </c>
      <c r="Q26" s="432">
        <f t="shared" si="8"/>
        <v>66.013793103448279</v>
      </c>
    </row>
    <row r="27" spans="1:17">
      <c r="A27" s="1" t="s">
        <v>743</v>
      </c>
      <c r="B27" s="1" t="str">
        <f>B14</f>
        <v>Midsummer Night's Dream (SP)</v>
      </c>
      <c r="C27" s="1"/>
      <c r="D27" s="461" t="s">
        <v>744</v>
      </c>
      <c r="E27" s="434">
        <f>'Performances by Week'!$Y$89</f>
        <v>22000</v>
      </c>
      <c r="F27" s="435">
        <f>'Performances by Week'!$X$89</f>
        <v>2411</v>
      </c>
      <c r="G27" s="435">
        <f t="shared" si="9"/>
        <v>-19589</v>
      </c>
      <c r="H27" s="1">
        <f>'Performances by Week'!$S$89</f>
        <v>52</v>
      </c>
      <c r="I27" s="434">
        <f>'Performances by Week'!$AD$89</f>
        <v>30000</v>
      </c>
      <c r="J27" s="435">
        <f>'Performances by Week'!$AC$89</f>
        <v>25714</v>
      </c>
      <c r="K27" s="1">
        <f>'Performances by Week'!$AB$89</f>
        <v>368</v>
      </c>
      <c r="L27" s="434">
        <f t="shared" si="5"/>
        <v>52000</v>
      </c>
      <c r="M27" s="435">
        <f t="shared" si="5"/>
        <v>28125</v>
      </c>
      <c r="N27" s="428">
        <f t="shared" si="6"/>
        <v>420</v>
      </c>
      <c r="O27" s="429">
        <f>'Performances by Week'!$AF$89</f>
        <v>1433</v>
      </c>
      <c r="P27" s="430">
        <f t="shared" si="7"/>
        <v>0.29309141660851362</v>
      </c>
      <c r="Q27" s="432">
        <f t="shared" si="8"/>
        <v>66.964285714285708</v>
      </c>
    </row>
    <row r="28" spans="1:17">
      <c r="A28" s="1" t="s">
        <v>745</v>
      </c>
      <c r="B28" s="1" t="str">
        <f>B16</f>
        <v>Grieg's Piano Concerto (SP)</v>
      </c>
      <c r="C28" s="1"/>
      <c r="D28" s="461" t="s">
        <v>746</v>
      </c>
      <c r="E28" s="434">
        <f>'Performances by Week'!$Y$97</f>
        <v>20000</v>
      </c>
      <c r="F28" s="435">
        <f>'Performances by Week'!$X$97</f>
        <v>2349</v>
      </c>
      <c r="G28" s="435">
        <f t="shared" si="9"/>
        <v>-17651</v>
      </c>
      <c r="H28" s="1">
        <f>'Performances by Week'!$S$97</f>
        <v>50</v>
      </c>
      <c r="I28" s="434">
        <f>'Performances by Week'!$AD$97</f>
        <v>25000</v>
      </c>
      <c r="J28" s="435">
        <f>'Performances by Week'!$AC$97</f>
        <v>25763</v>
      </c>
      <c r="K28" s="1">
        <f>'Performances by Week'!$AB$97</f>
        <v>374</v>
      </c>
      <c r="L28" s="434">
        <f t="shared" si="5"/>
        <v>45000</v>
      </c>
      <c r="M28" s="435">
        <f t="shared" si="5"/>
        <v>28112</v>
      </c>
      <c r="N28" s="428">
        <f t="shared" si="6"/>
        <v>424</v>
      </c>
      <c r="O28" s="429">
        <f>'Performances by Week'!$AF$97</f>
        <v>1590</v>
      </c>
      <c r="P28" s="430">
        <f t="shared" si="7"/>
        <v>0.26666666666666666</v>
      </c>
      <c r="Q28" s="432">
        <f t="shared" si="8"/>
        <v>66.301886792452834</v>
      </c>
    </row>
    <row r="29" spans="1:17">
      <c r="A29" s="441" t="s">
        <v>747</v>
      </c>
      <c r="B29" s="441" t="str">
        <f>B19</f>
        <v>Rhapsody in Blue (SP)</v>
      </c>
      <c r="C29" s="441"/>
      <c r="D29" s="462" t="s">
        <v>748</v>
      </c>
      <c r="E29" s="442">
        <f>'Performances by Week'!$Y$115</f>
        <v>30000</v>
      </c>
      <c r="F29" s="443">
        <f>'Performances by Week'!$X$115</f>
        <v>6390</v>
      </c>
      <c r="G29" s="443">
        <f t="shared" si="9"/>
        <v>-23610</v>
      </c>
      <c r="H29" s="441">
        <f>'Performances by Week'!$S$115</f>
        <v>111</v>
      </c>
      <c r="I29" s="442">
        <f>'Performances by Week'!$AD$115</f>
        <v>30000</v>
      </c>
      <c r="J29" s="443">
        <f>'Performances by Week'!$AC$115</f>
        <v>26279</v>
      </c>
      <c r="K29" s="441">
        <f>'Performances by Week'!$AB$115</f>
        <v>380</v>
      </c>
      <c r="L29" s="442">
        <f t="shared" si="5"/>
        <v>60000</v>
      </c>
      <c r="M29" s="443">
        <f t="shared" si="5"/>
        <v>32669</v>
      </c>
      <c r="N29" s="446">
        <f t="shared" si="6"/>
        <v>491</v>
      </c>
      <c r="O29" s="463">
        <f>'Performances by Week'!$AF$115</f>
        <v>1590</v>
      </c>
      <c r="P29" s="447">
        <f t="shared" si="7"/>
        <v>0.30880503144654087</v>
      </c>
      <c r="Q29" s="448">
        <f t="shared" si="8"/>
        <v>66.535641547861502</v>
      </c>
    </row>
    <row r="30" spans="1:17">
      <c r="A30" s="449" t="s">
        <v>266</v>
      </c>
      <c r="B30" s="450"/>
      <c r="C30" s="450"/>
      <c r="D30" s="451" t="s">
        <v>283</v>
      </c>
      <c r="E30" s="452">
        <f>SUM(E23:E29)</f>
        <v>163000</v>
      </c>
      <c r="F30" s="452">
        <f>SUM(F23:F29)</f>
        <v>29369</v>
      </c>
      <c r="G30" s="452">
        <f>SUM(G23:G29)</f>
        <v>-133631</v>
      </c>
      <c r="H30" s="454">
        <f>SUM(H23:H29)</f>
        <v>554</v>
      </c>
      <c r="I30" s="452">
        <f>SUM(I23:I29)</f>
        <v>200000</v>
      </c>
      <c r="J30" s="452">
        <f>SUM(J23:J29)</f>
        <v>177116</v>
      </c>
      <c r="K30" s="454">
        <f>SUM(K23:K29)</f>
        <v>2563</v>
      </c>
      <c r="L30" s="452">
        <f>SUM(L23:L29)</f>
        <v>363000</v>
      </c>
      <c r="M30" s="452">
        <f>SUM(M23:M29)</f>
        <v>206485</v>
      </c>
      <c r="N30" s="454">
        <f>SUM(N23:N29)</f>
        <v>3117</v>
      </c>
      <c r="O30" s="454">
        <f>SUM(O23:O29)</f>
        <v>10973</v>
      </c>
      <c r="P30" s="457">
        <f t="shared" si="7"/>
        <v>0.28406087669734803</v>
      </c>
      <c r="Q30" s="458">
        <f t="shared" si="8"/>
        <v>66.244786653833813</v>
      </c>
    </row>
    <row r="31" spans="1:17">
      <c r="E31" s="464"/>
      <c r="F31" s="464"/>
      <c r="G31" s="464"/>
      <c r="I31" s="464"/>
      <c r="J31" s="464"/>
      <c r="L31" s="464"/>
      <c r="M31" s="464"/>
    </row>
    <row r="32" spans="1:17">
      <c r="A32" s="2" t="s">
        <v>112</v>
      </c>
      <c r="B32" s="1"/>
      <c r="C32" s="1"/>
      <c r="D32" s="1"/>
      <c r="E32" s="434" t="s">
        <v>283</v>
      </c>
      <c r="F32" s="435"/>
      <c r="G32" s="459"/>
      <c r="H32" s="1"/>
      <c r="I32" s="434" t="s">
        <v>283</v>
      </c>
      <c r="J32" s="435"/>
      <c r="K32" s="1"/>
      <c r="L32" s="434" t="s">
        <v>283</v>
      </c>
      <c r="M32" s="435"/>
      <c r="N32" s="1"/>
      <c r="O32" s="4" t="s">
        <v>283</v>
      </c>
      <c r="P32" s="1"/>
      <c r="Q32" s="431" t="s">
        <v>283</v>
      </c>
    </row>
    <row r="33" spans="1:17">
      <c r="A33" s="1" t="s">
        <v>749</v>
      </c>
      <c r="B33" s="1" t="s">
        <v>632</v>
      </c>
      <c r="C33" s="1"/>
      <c r="D33" s="1" t="s">
        <v>750</v>
      </c>
      <c r="E33" s="434">
        <f>SUM('Performances by Week'!$Y$10:$Y$12)</f>
        <v>177999</v>
      </c>
      <c r="F33" s="435">
        <f>SUM('Performances by Week'!$X$10:$X$12)</f>
        <v>105423</v>
      </c>
      <c r="G33" s="435">
        <f>F33-E33</f>
        <v>-72576</v>
      </c>
      <c r="H33" s="77">
        <f>SUM('Performances by Week'!$S$10:$S$12)</f>
        <v>1727</v>
      </c>
      <c r="I33" s="434">
        <f>SUM('Performances by Week'!$AD$10:$AD$12)</f>
        <v>124000</v>
      </c>
      <c r="J33" s="434">
        <f>SUM('Performances by Week'!$AC$10:$AC$12)</f>
        <v>108064.7</v>
      </c>
      <c r="K33" s="436">
        <f>SUM('Performances by Week'!$AB$10:$AB$12)</f>
        <v>1473</v>
      </c>
      <c r="L33" s="434">
        <f t="shared" ref="L33:M37" si="10">SUM(E33,I33)</f>
        <v>301999</v>
      </c>
      <c r="M33" s="435">
        <f t="shared" si="10"/>
        <v>213487.7</v>
      </c>
      <c r="N33" s="428">
        <f t="shared" ref="N33:N37" si="11">SUM(H33,K33)</f>
        <v>3200</v>
      </c>
      <c r="O33" s="429">
        <f>SUM('Performances by Week'!$AF$10:$AF$12)</f>
        <v>4770</v>
      </c>
      <c r="P33" s="430">
        <f t="shared" ref="P33:P38" si="12">N33/O33</f>
        <v>0.67085953878406712</v>
      </c>
      <c r="Q33" s="432">
        <f t="shared" ref="Q33:Q38" si="13">M33/N33</f>
        <v>66.714906249999999</v>
      </c>
    </row>
    <row r="34" spans="1:17">
      <c r="A34" s="1" t="s">
        <v>751</v>
      </c>
      <c r="B34" s="1" t="s">
        <v>752</v>
      </c>
      <c r="C34" s="1"/>
      <c r="D34" s="1" t="s">
        <v>753</v>
      </c>
      <c r="E34" s="434">
        <f>SUM('Performances by Week'!$Y$22:$Y$24)</f>
        <v>159999</v>
      </c>
      <c r="F34" s="435">
        <f>SUM('Performances by Week'!$X$22:$X$24)</f>
        <v>31123</v>
      </c>
      <c r="G34" s="435">
        <f t="shared" ref="G34:G37" si="14">F34-E34</f>
        <v>-128876</v>
      </c>
      <c r="H34" s="77">
        <f>SUM('Performances by Week'!$S$22:$S$24)</f>
        <v>498</v>
      </c>
      <c r="I34" s="434">
        <f>SUM('Performances by Week'!$AD$22:$AD$24)</f>
        <v>117000</v>
      </c>
      <c r="J34" s="434">
        <f>SUM('Performances by Week'!$AC$22:$AC$24)</f>
        <v>122339.20000000001</v>
      </c>
      <c r="K34" s="436">
        <f>SUM('Performances by Week'!$AB$22:$AB$24)</f>
        <v>1719</v>
      </c>
      <c r="L34" s="434">
        <f t="shared" si="10"/>
        <v>276999</v>
      </c>
      <c r="M34" s="435">
        <f t="shared" si="10"/>
        <v>153462.20000000001</v>
      </c>
      <c r="N34" s="428">
        <f t="shared" si="11"/>
        <v>2217</v>
      </c>
      <c r="O34" s="429">
        <f>SUM('Performances by Week'!$AF$22:$AF$24)</f>
        <v>4770</v>
      </c>
      <c r="P34" s="430">
        <f t="shared" si="12"/>
        <v>0.46477987421383649</v>
      </c>
      <c r="Q34" s="432">
        <f t="shared" si="13"/>
        <v>69.220658547586837</v>
      </c>
    </row>
    <row r="35" spans="1:17">
      <c r="A35" s="1" t="s">
        <v>754</v>
      </c>
      <c r="B35" s="1" t="s">
        <v>755</v>
      </c>
      <c r="C35" s="1"/>
      <c r="D35" s="1" t="s">
        <v>756</v>
      </c>
      <c r="E35" s="434">
        <f>SUM('Performances by Week'!$Y$70:$Y$72)</f>
        <v>159999</v>
      </c>
      <c r="F35" s="435">
        <f>SUM('Performances by Week'!$X$70:$X$72)</f>
        <v>10200</v>
      </c>
      <c r="G35" s="435">
        <f t="shared" si="14"/>
        <v>-149799</v>
      </c>
      <c r="H35" s="77">
        <f>SUM('Performances by Week'!$S$70:$S$72)</f>
        <v>175</v>
      </c>
      <c r="I35" s="434">
        <f>SUM('Performances by Week'!$AD$70:$AD$72)</f>
        <v>124000</v>
      </c>
      <c r="J35" s="434">
        <f>SUM('Performances by Week'!$AC$70:$AC$72)</f>
        <v>126157.2</v>
      </c>
      <c r="K35" s="436">
        <f>SUM('Performances by Week'!$AB$70:$AB$72)</f>
        <v>1771</v>
      </c>
      <c r="L35" s="434">
        <f t="shared" si="10"/>
        <v>283999</v>
      </c>
      <c r="M35" s="435">
        <f t="shared" si="10"/>
        <v>136357.20000000001</v>
      </c>
      <c r="N35" s="428">
        <f t="shared" si="11"/>
        <v>1946</v>
      </c>
      <c r="O35" s="429">
        <f>SUM('Performances by Week'!$AF$70:$AF$72)</f>
        <v>4770</v>
      </c>
      <c r="P35" s="430">
        <f t="shared" si="12"/>
        <v>0.40796645702306078</v>
      </c>
      <c r="Q35" s="432">
        <f t="shared" si="13"/>
        <v>70.070503597122311</v>
      </c>
    </row>
    <row r="36" spans="1:17">
      <c r="A36" s="1" t="s">
        <v>757</v>
      </c>
      <c r="B36" s="1" t="s">
        <v>758</v>
      </c>
      <c r="C36" s="1"/>
      <c r="D36" s="1" t="s">
        <v>759</v>
      </c>
      <c r="E36" s="434">
        <f>SUM('Performances by Week'!$Y$85:$Y$87)</f>
        <v>159999</v>
      </c>
      <c r="F36" s="435">
        <f>SUM('Performances by Week'!$X$85:$X$87)</f>
        <v>40766</v>
      </c>
      <c r="G36" s="435">
        <f t="shared" si="14"/>
        <v>-119233</v>
      </c>
      <c r="H36" s="77">
        <f>SUM('Performances by Week'!$S$85:$S$87)</f>
        <v>579</v>
      </c>
      <c r="I36" s="434">
        <f>SUM('Performances by Week'!$AD$85:$AD$87)</f>
        <v>124000</v>
      </c>
      <c r="J36" s="434">
        <f>SUM('Performances by Week'!$AC$85:$AC$87)</f>
        <v>128191.5</v>
      </c>
      <c r="K36" s="436">
        <f>SUM('Performances by Week'!$AB$85:$AB$87)</f>
        <v>1798</v>
      </c>
      <c r="L36" s="465">
        <f t="shared" si="10"/>
        <v>283999</v>
      </c>
      <c r="M36" s="435">
        <f t="shared" si="10"/>
        <v>168957.5</v>
      </c>
      <c r="N36" s="428">
        <f t="shared" si="11"/>
        <v>2377</v>
      </c>
      <c r="O36" s="429">
        <f>SUM('Performances by Week'!$AF$85:$AF$87)</f>
        <v>4770</v>
      </c>
      <c r="P36" s="430">
        <f t="shared" si="12"/>
        <v>0.49832285115303981</v>
      </c>
      <c r="Q36" s="432">
        <f t="shared" si="13"/>
        <v>71.080143037442156</v>
      </c>
    </row>
    <row r="37" spans="1:17">
      <c r="A37" s="441" t="s">
        <v>760</v>
      </c>
      <c r="B37" s="441" t="s">
        <v>761</v>
      </c>
      <c r="C37" s="441"/>
      <c r="D37" s="441" t="s">
        <v>762</v>
      </c>
      <c r="E37" s="442">
        <f>SUM('Performances by Week'!$Y$100:$Y$102)</f>
        <v>180000</v>
      </c>
      <c r="F37" s="443">
        <f>SUM('Performances by Week'!$X$100:$X$102)</f>
        <v>19555</v>
      </c>
      <c r="G37" s="443">
        <f t="shared" si="14"/>
        <v>-160445</v>
      </c>
      <c r="H37" s="445">
        <f>SUM('Performances by Week'!$S$100:$S$102)</f>
        <v>256</v>
      </c>
      <c r="I37" s="442">
        <f>SUM('Performances by Week'!$AD$100:$AD$102)</f>
        <v>130000</v>
      </c>
      <c r="J37" s="442">
        <f>SUM('Performances by Week'!$AC$100:$AC$102)</f>
        <v>150672</v>
      </c>
      <c r="K37" s="466">
        <f>SUM('Performances by Week'!$AB$100:$AB$102)</f>
        <v>1801</v>
      </c>
      <c r="L37" s="467">
        <f t="shared" si="10"/>
        <v>310000</v>
      </c>
      <c r="M37" s="443">
        <f t="shared" si="10"/>
        <v>170227</v>
      </c>
      <c r="N37" s="446">
        <f t="shared" si="11"/>
        <v>2057</v>
      </c>
      <c r="O37" s="463">
        <f>SUM('Performances by Week'!$AF$100:$AF$102)</f>
        <v>3906</v>
      </c>
      <c r="P37" s="447">
        <f t="shared" si="12"/>
        <v>0.52662570404505893</v>
      </c>
      <c r="Q37" s="448">
        <f t="shared" si="13"/>
        <v>82.754982984929512</v>
      </c>
    </row>
    <row r="38" spans="1:17">
      <c r="A38" s="449" t="s">
        <v>267</v>
      </c>
      <c r="B38" s="450"/>
      <c r="C38" s="451" t="s">
        <v>283</v>
      </c>
      <c r="D38" s="451" t="s">
        <v>283</v>
      </c>
      <c r="E38" s="452">
        <f>SUM(E33:E37)</f>
        <v>837996</v>
      </c>
      <c r="F38" s="452">
        <f>SUM(F33:F37)</f>
        <v>207067</v>
      </c>
      <c r="G38" s="452">
        <f>SUM(G33:G37)</f>
        <v>-630929</v>
      </c>
      <c r="H38" s="454">
        <f>SUM(H33:H37)</f>
        <v>3235</v>
      </c>
      <c r="I38" s="452">
        <f>SUM(I33:I37)</f>
        <v>619000</v>
      </c>
      <c r="J38" s="452">
        <f>SUM(J33:J37)</f>
        <v>635424.60000000009</v>
      </c>
      <c r="K38" s="454">
        <f>SUM(K33:K37)</f>
        <v>8562</v>
      </c>
      <c r="L38" s="452">
        <f>SUM(L33:L37)</f>
        <v>1456996</v>
      </c>
      <c r="M38" s="452">
        <f>SUM(M33:M37)</f>
        <v>842491.60000000009</v>
      </c>
      <c r="N38" s="454">
        <f>SUM(N33:N37)</f>
        <v>11797</v>
      </c>
      <c r="O38" s="454">
        <f>SUM(O33:O37)</f>
        <v>22986</v>
      </c>
      <c r="P38" s="457">
        <f t="shared" si="12"/>
        <v>0.51322544157313144</v>
      </c>
      <c r="Q38" s="458">
        <f t="shared" si="13"/>
        <v>71.415749766889888</v>
      </c>
    </row>
    <row r="39" spans="1:17">
      <c r="A39" s="1"/>
      <c r="B39" s="1"/>
      <c r="C39" s="1"/>
      <c r="D39" s="1"/>
      <c r="E39" s="434" t="s">
        <v>283</v>
      </c>
      <c r="F39" s="435"/>
      <c r="G39" s="459"/>
      <c r="H39" s="1"/>
      <c r="I39" s="434" t="s">
        <v>283</v>
      </c>
      <c r="J39" s="435"/>
      <c r="K39" s="1"/>
      <c r="L39" s="434" t="s">
        <v>283</v>
      </c>
      <c r="M39" s="435"/>
      <c r="N39" s="1"/>
      <c r="O39" s="4" t="s">
        <v>283</v>
      </c>
      <c r="P39" s="1"/>
      <c r="Q39" s="431" t="s">
        <v>283</v>
      </c>
    </row>
    <row r="40" spans="1:17">
      <c r="A40" s="2" t="s">
        <v>763</v>
      </c>
      <c r="B40" s="2"/>
      <c r="C40" s="1"/>
      <c r="D40" s="1"/>
      <c r="E40" s="434" t="s">
        <v>283</v>
      </c>
      <c r="F40" s="435"/>
      <c r="G40" s="459"/>
      <c r="H40" s="1"/>
      <c r="I40" s="434" t="s">
        <v>283</v>
      </c>
      <c r="J40" s="435"/>
      <c r="K40" s="1"/>
      <c r="L40" s="434" t="s">
        <v>283</v>
      </c>
      <c r="M40" s="435"/>
      <c r="N40" s="1"/>
      <c r="O40" s="4" t="s">
        <v>283</v>
      </c>
      <c r="P40" s="1"/>
      <c r="Q40" s="431" t="s">
        <v>283</v>
      </c>
    </row>
    <row r="41" spans="1:17">
      <c r="A41" s="1" t="s">
        <v>764</v>
      </c>
      <c r="B41" s="1" t="s">
        <v>765</v>
      </c>
      <c r="C41" s="1"/>
      <c r="D41" s="461" t="s">
        <v>766</v>
      </c>
      <c r="E41" s="434">
        <f>'Performances by Week'!$Y$13</f>
        <v>10000</v>
      </c>
      <c r="F41" s="435">
        <f>'Performances by Week'!$X$13</f>
        <v>16966</v>
      </c>
      <c r="G41" s="440">
        <f>F41-E41</f>
        <v>6966</v>
      </c>
      <c r="H41" s="1">
        <f>'Performances by Week'!$S$13</f>
        <v>507</v>
      </c>
      <c r="I41" s="434">
        <f>'Performances by Week'!$AD$13</f>
        <v>9500</v>
      </c>
      <c r="J41" s="435">
        <f>'Performances by Week'!$AC$13</f>
        <v>5217</v>
      </c>
      <c r="K41" s="1">
        <f>'Performances by Week'!$AB$13</f>
        <v>196</v>
      </c>
      <c r="L41" s="434">
        <f t="shared" ref="L41:M44" si="15">SUM(E41,I41)</f>
        <v>19500</v>
      </c>
      <c r="M41" s="435">
        <f t="shared" si="15"/>
        <v>22183</v>
      </c>
      <c r="N41" s="428">
        <f t="shared" ref="N41:N44" si="16">SUM(H41,K41)</f>
        <v>703</v>
      </c>
      <c r="O41" s="429">
        <f>'Performances by Week'!$AF$13</f>
        <v>1302</v>
      </c>
      <c r="P41" s="430">
        <f t="shared" ref="P41:P45" si="17">N41/O41</f>
        <v>0.53993855606758834</v>
      </c>
      <c r="Q41" s="432">
        <f t="shared" ref="Q41:Q45" si="18">M41/N41</f>
        <v>31.554765291607396</v>
      </c>
    </row>
    <row r="42" spans="1:17">
      <c r="A42" s="1" t="s">
        <v>767</v>
      </c>
      <c r="B42" s="1" t="s">
        <v>768</v>
      </c>
      <c r="C42" s="1"/>
      <c r="D42" s="461" t="s">
        <v>769</v>
      </c>
      <c r="E42" s="434">
        <f>'Performances by Week'!$Y$29</f>
        <v>10000</v>
      </c>
      <c r="F42" s="435">
        <f>'Performances by Week'!$X$29</f>
        <v>4828</v>
      </c>
      <c r="G42" s="440">
        <f>F42-E42</f>
        <v>-5172</v>
      </c>
      <c r="H42" s="428">
        <f>'Performances by Week'!$S$29</f>
        <v>169</v>
      </c>
      <c r="I42" s="434">
        <f>'Performances by Week'!$AD$29</f>
        <v>9500</v>
      </c>
      <c r="J42" s="435">
        <f>'Performances by Week'!$AC$29</f>
        <v>6836</v>
      </c>
      <c r="K42" s="1">
        <f>'Performances by Week'!$AB$29</f>
        <v>307</v>
      </c>
      <c r="L42" s="434">
        <f t="shared" si="15"/>
        <v>19500</v>
      </c>
      <c r="M42" s="435">
        <f t="shared" si="15"/>
        <v>11664</v>
      </c>
      <c r="N42" s="428">
        <f t="shared" si="16"/>
        <v>476</v>
      </c>
      <c r="O42" s="429">
        <f>'Performances by Week'!$AF$29</f>
        <v>1300</v>
      </c>
      <c r="P42" s="430">
        <f t="shared" si="17"/>
        <v>0.36615384615384616</v>
      </c>
      <c r="Q42" s="432">
        <f t="shared" si="18"/>
        <v>24.504201680672271</v>
      </c>
    </row>
    <row r="43" spans="1:17">
      <c r="A43" s="1" t="s">
        <v>77</v>
      </c>
      <c r="B43" s="1" t="s">
        <v>192</v>
      </c>
      <c r="C43" s="1"/>
      <c r="D43" s="461" t="s">
        <v>770</v>
      </c>
      <c r="E43" s="434">
        <f>SUM('Performances by Week'!$Y$43:$Y$48)</f>
        <v>455000</v>
      </c>
      <c r="F43" s="435">
        <f>SUM('Performances by Week'!$X$43:$X$48)</f>
        <v>96375</v>
      </c>
      <c r="G43" s="440">
        <f>F43-E43</f>
        <v>-358625</v>
      </c>
      <c r="H43" s="428">
        <f>SUM('Performances by Week'!$S$43:$S$48)</f>
        <v>1591</v>
      </c>
      <c r="I43" s="434">
        <f>SUM('Performances by Week'!$AD$43:$AD$48)</f>
        <v>12450</v>
      </c>
      <c r="J43" s="434">
        <f>SUM('Performances by Week'!$AC$43:$AC$48)</f>
        <v>6677</v>
      </c>
      <c r="K43" s="428">
        <f>SUM('Performances by Week'!$AB$43:$AB$48)</f>
        <v>301</v>
      </c>
      <c r="L43" s="434">
        <f t="shared" si="15"/>
        <v>467450</v>
      </c>
      <c r="M43" s="435">
        <f t="shared" si="15"/>
        <v>103052</v>
      </c>
      <c r="N43" s="428">
        <f t="shared" si="16"/>
        <v>1892</v>
      </c>
      <c r="O43" s="429">
        <f>SUM('Performances by Week'!$AF$43:$AF$48)</f>
        <v>8598</v>
      </c>
      <c r="P43" s="430">
        <f t="shared" si="17"/>
        <v>0.22005117469178878</v>
      </c>
      <c r="Q43" s="432">
        <f t="shared" si="18"/>
        <v>54.467230443974628</v>
      </c>
    </row>
    <row r="44" spans="1:17">
      <c r="A44" s="441" t="s">
        <v>771</v>
      </c>
      <c r="B44" s="441" t="s">
        <v>772</v>
      </c>
      <c r="C44" s="441"/>
      <c r="D44" s="462" t="s">
        <v>773</v>
      </c>
      <c r="E44" s="442">
        <f>'Performances by Week'!$Y$77</f>
        <v>10000</v>
      </c>
      <c r="F44" s="443">
        <f>'Performances by Week'!$X$77</f>
        <v>1461</v>
      </c>
      <c r="G44" s="444">
        <f>F44-E44</f>
        <v>-8539</v>
      </c>
      <c r="H44" s="441">
        <f>'Performances by Week'!$S$77</f>
        <v>50</v>
      </c>
      <c r="I44" s="442">
        <f>'Performances by Week'!$AD$77</f>
        <v>9500</v>
      </c>
      <c r="J44" s="443">
        <f>'Performances by Week'!$AC$77</f>
        <v>6836</v>
      </c>
      <c r="K44" s="441">
        <f>'Performances by Week'!$AB$77</f>
        <v>307</v>
      </c>
      <c r="L44" s="442">
        <f t="shared" si="15"/>
        <v>19500</v>
      </c>
      <c r="M44" s="443">
        <f t="shared" si="15"/>
        <v>8297</v>
      </c>
      <c r="N44" s="446">
        <f t="shared" si="16"/>
        <v>357</v>
      </c>
      <c r="O44" s="463">
        <f>'Performances by Week'!$AF$77</f>
        <v>1302</v>
      </c>
      <c r="P44" s="447">
        <f t="shared" si="17"/>
        <v>0.27419354838709675</v>
      </c>
      <c r="Q44" s="448">
        <f t="shared" si="18"/>
        <v>23.240896358543417</v>
      </c>
    </row>
    <row r="45" spans="1:17">
      <c r="A45" s="449" t="s">
        <v>268</v>
      </c>
      <c r="B45" s="450"/>
      <c r="C45" s="450"/>
      <c r="D45" s="451" t="s">
        <v>283</v>
      </c>
      <c r="E45" s="452">
        <f>SUM(E41:E44)</f>
        <v>485000</v>
      </c>
      <c r="F45" s="452">
        <f>SUM(F41:F44)</f>
        <v>119630</v>
      </c>
      <c r="G45" s="453">
        <f>F45-E45</f>
        <v>-365370</v>
      </c>
      <c r="H45" s="456">
        <f>SUM(H41:H44)</f>
        <v>2317</v>
      </c>
      <c r="I45" s="452">
        <f>SUM(I41:I44)</f>
        <v>40950</v>
      </c>
      <c r="J45" s="452">
        <f>SUM(J41:J44)</f>
        <v>25566</v>
      </c>
      <c r="K45" s="456">
        <f>SUM(K41:K44)</f>
        <v>1111</v>
      </c>
      <c r="L45" s="452">
        <f>SUM(L41:L44)</f>
        <v>525950</v>
      </c>
      <c r="M45" s="452">
        <f>SUM(M41:M44)</f>
        <v>145196</v>
      </c>
      <c r="N45" s="456">
        <f>SUM(N41:N44)</f>
        <v>3428</v>
      </c>
      <c r="O45" s="454">
        <f>SUM(O41:O44)</f>
        <v>12502</v>
      </c>
      <c r="P45" s="457">
        <f t="shared" si="17"/>
        <v>0.27419612861942089</v>
      </c>
      <c r="Q45" s="458">
        <f t="shared" si="18"/>
        <v>42.355892648774798</v>
      </c>
    </row>
    <row r="46" spans="1:17">
      <c r="A46" s="2"/>
      <c r="B46" s="1"/>
      <c r="C46" s="1"/>
      <c r="D46" s="1"/>
      <c r="E46" s="468" t="s">
        <v>283</v>
      </c>
      <c r="F46" s="459"/>
      <c r="G46" s="469"/>
      <c r="H46" s="2"/>
      <c r="I46" s="468" t="s">
        <v>283</v>
      </c>
      <c r="J46" s="459"/>
      <c r="K46" s="2"/>
      <c r="L46" s="468" t="s">
        <v>283</v>
      </c>
      <c r="M46" s="459"/>
      <c r="N46" s="2"/>
      <c r="O46" s="470" t="s">
        <v>283</v>
      </c>
      <c r="P46" s="2"/>
      <c r="Q46" s="471" t="s">
        <v>283</v>
      </c>
    </row>
    <row r="47" spans="1:17">
      <c r="A47" s="2" t="s">
        <v>114</v>
      </c>
      <c r="B47" s="472"/>
      <c r="C47" s="472"/>
      <c r="D47" s="1"/>
      <c r="E47" s="468" t="s">
        <v>283</v>
      </c>
      <c r="F47" s="459"/>
      <c r="G47" s="469"/>
      <c r="H47" s="2"/>
      <c r="I47" s="468" t="s">
        <v>283</v>
      </c>
      <c r="J47" s="459"/>
      <c r="K47" s="2"/>
      <c r="L47" s="468" t="s">
        <v>283</v>
      </c>
      <c r="M47" s="459"/>
      <c r="N47" s="2"/>
      <c r="O47" s="470" t="s">
        <v>283</v>
      </c>
      <c r="P47" s="2"/>
      <c r="Q47" s="471" t="s">
        <v>283</v>
      </c>
    </row>
    <row r="48" spans="1:17">
      <c r="A48" s="1" t="s">
        <v>774</v>
      </c>
      <c r="B48" s="1"/>
      <c r="C48" s="1"/>
      <c r="D48" s="1" t="s">
        <v>775</v>
      </c>
      <c r="E48" s="434">
        <f>SUM('Performances by Week'!$Y$18:$Y$20)</f>
        <v>310490</v>
      </c>
      <c r="F48" s="434">
        <f>SUM('Performances by Week'!$X$18:$X$20)</f>
        <v>191839</v>
      </c>
      <c r="G48" s="440">
        <f>F48-E48</f>
        <v>-118651</v>
      </c>
      <c r="H48" s="436">
        <f>SUM('Performances by Week'!$S$18:$S$20)</f>
        <v>2564</v>
      </c>
      <c r="I48" s="434" t="s">
        <v>776</v>
      </c>
      <c r="J48" s="435" t="s">
        <v>776</v>
      </c>
      <c r="K48" s="1" t="s">
        <v>777</v>
      </c>
      <c r="L48" s="434">
        <f t="shared" ref="L48:M53" si="19">SUM(E48,I48)</f>
        <v>310490</v>
      </c>
      <c r="M48" s="435">
        <f t="shared" si="19"/>
        <v>191839</v>
      </c>
      <c r="N48" s="428">
        <f t="shared" ref="N48:N53" si="20">SUM(H48,K48)</f>
        <v>2564</v>
      </c>
      <c r="O48" s="436">
        <f>SUM('Performances by Week'!$AF$18:$AF$20)</f>
        <v>3906</v>
      </c>
      <c r="P48" s="430">
        <f t="shared" ref="P48:P54" si="21">N48/O48</f>
        <v>0.65642601126472089</v>
      </c>
      <c r="Q48" s="432">
        <f t="shared" ref="Q48:Q54" si="22">M48/N48</f>
        <v>74.820202808112327</v>
      </c>
    </row>
    <row r="49" spans="1:17">
      <c r="A49" s="1" t="s">
        <v>778</v>
      </c>
      <c r="B49" s="1"/>
      <c r="C49" s="1"/>
      <c r="D49" s="460" t="s">
        <v>779</v>
      </c>
      <c r="E49" s="434">
        <f>'Performances by Week'!$Y$21</f>
        <v>50000</v>
      </c>
      <c r="F49" s="434">
        <f>'Performances by Week'!$X$21</f>
        <v>13747</v>
      </c>
      <c r="G49" s="440">
        <f t="shared" ref="G49:G53" si="23">F49-E49</f>
        <v>-36253</v>
      </c>
      <c r="H49" s="436">
        <f>'Performances by Week'!$S$21</f>
        <v>256</v>
      </c>
      <c r="I49" s="434" t="s">
        <v>776</v>
      </c>
      <c r="J49" s="435" t="s">
        <v>776</v>
      </c>
      <c r="K49" s="1" t="s">
        <v>777</v>
      </c>
      <c r="L49" s="434">
        <f t="shared" si="19"/>
        <v>50000</v>
      </c>
      <c r="M49" s="435">
        <f t="shared" si="19"/>
        <v>13747</v>
      </c>
      <c r="N49" s="428">
        <f t="shared" si="20"/>
        <v>256</v>
      </c>
      <c r="O49" s="436">
        <f>'Performances by Week'!$AF$21</f>
        <v>1302</v>
      </c>
      <c r="P49" s="430">
        <f t="shared" si="21"/>
        <v>0.19662058371735791</v>
      </c>
      <c r="Q49" s="432">
        <f t="shared" si="22"/>
        <v>53.69921875</v>
      </c>
    </row>
    <row r="50" spans="1:17">
      <c r="A50" s="1" t="s">
        <v>780</v>
      </c>
      <c r="B50" s="1"/>
      <c r="C50" s="1"/>
      <c r="D50" s="1" t="s">
        <v>781</v>
      </c>
      <c r="E50" s="434">
        <f>SUM('Performances by Week'!$Y$34:$Y$37)</f>
        <v>430000</v>
      </c>
      <c r="F50" s="434">
        <f>SUM('Performances by Week'!$X$34:$X$37)</f>
        <v>110857</v>
      </c>
      <c r="G50" s="440">
        <f t="shared" si="23"/>
        <v>-319143</v>
      </c>
      <c r="H50" s="436">
        <f>SUM('Performances by Week'!$S$34:$S$37)</f>
        <v>1624</v>
      </c>
      <c r="I50" s="434" t="s">
        <v>776</v>
      </c>
      <c r="J50" s="435" t="s">
        <v>776</v>
      </c>
      <c r="K50" s="1" t="s">
        <v>777</v>
      </c>
      <c r="L50" s="434">
        <f t="shared" si="19"/>
        <v>430000</v>
      </c>
      <c r="M50" s="435">
        <f t="shared" si="19"/>
        <v>110857</v>
      </c>
      <c r="N50" s="428">
        <f t="shared" si="20"/>
        <v>1624</v>
      </c>
      <c r="O50" s="436">
        <f>SUM('Performances by Week'!$AF$34:$AF$37)</f>
        <v>5208</v>
      </c>
      <c r="P50" s="430">
        <f t="shared" si="21"/>
        <v>0.31182795698924731</v>
      </c>
      <c r="Q50" s="432">
        <f t="shared" si="22"/>
        <v>68.261699507389167</v>
      </c>
    </row>
    <row r="51" spans="1:17">
      <c r="A51" s="1" t="s">
        <v>782</v>
      </c>
      <c r="B51" s="1"/>
      <c r="C51" s="1"/>
      <c r="D51" s="1" t="s">
        <v>783</v>
      </c>
      <c r="E51" s="434">
        <f>SUM('Performances by Week'!$Y$49:$Y$50)</f>
        <v>200000</v>
      </c>
      <c r="F51" s="434">
        <f>SUM('Performances by Week'!$X$49:$X$50)</f>
        <v>86812</v>
      </c>
      <c r="G51" s="440">
        <f t="shared" si="23"/>
        <v>-113188</v>
      </c>
      <c r="H51" s="436">
        <f>SUM('Performances by Week'!$S$49:$S$50)</f>
        <v>1133</v>
      </c>
      <c r="I51" s="434" t="s">
        <v>776</v>
      </c>
      <c r="J51" s="435" t="s">
        <v>776</v>
      </c>
      <c r="K51" s="1" t="s">
        <v>777</v>
      </c>
      <c r="L51" s="434">
        <f t="shared" si="19"/>
        <v>200000</v>
      </c>
      <c r="M51" s="435">
        <f t="shared" si="19"/>
        <v>86812</v>
      </c>
      <c r="N51" s="428">
        <f t="shared" si="20"/>
        <v>1133</v>
      </c>
      <c r="O51" s="436">
        <f>SUM('Performances by Week'!$AF$49:$AF$50)</f>
        <v>2604</v>
      </c>
      <c r="P51" s="430">
        <f t="shared" si="21"/>
        <v>0.43509984639016897</v>
      </c>
      <c r="Q51" s="432">
        <f t="shared" si="22"/>
        <v>76.621359223300971</v>
      </c>
    </row>
    <row r="52" spans="1:17">
      <c r="A52" s="1" t="s">
        <v>784</v>
      </c>
      <c r="B52" s="1"/>
      <c r="C52" s="1"/>
      <c r="D52" s="1" t="s">
        <v>785</v>
      </c>
      <c r="E52" s="434">
        <f>SUM('Performances by Week'!$Y$58:$Y$61)</f>
        <v>360000</v>
      </c>
      <c r="F52" s="434">
        <f>SUM('Performances by Week'!$X$58:$X$61)</f>
        <v>93772.1</v>
      </c>
      <c r="G52" s="440">
        <f t="shared" si="23"/>
        <v>-266227.90000000002</v>
      </c>
      <c r="H52" s="436">
        <f>SUM('Performances by Week'!$S$58:$S$61)</f>
        <v>1322</v>
      </c>
      <c r="I52" s="434" t="s">
        <v>776</v>
      </c>
      <c r="J52" s="435" t="s">
        <v>776</v>
      </c>
      <c r="K52" s="1" t="s">
        <v>777</v>
      </c>
      <c r="L52" s="434">
        <f t="shared" si="19"/>
        <v>360000</v>
      </c>
      <c r="M52" s="435">
        <f t="shared" si="19"/>
        <v>93772.1</v>
      </c>
      <c r="N52" s="428">
        <f t="shared" si="20"/>
        <v>1322</v>
      </c>
      <c r="O52" s="436">
        <f>SUM('Performances by Week'!$AF$58:$AF$61)</f>
        <v>5208</v>
      </c>
      <c r="P52" s="430">
        <f t="shared" si="21"/>
        <v>0.25384024577572967</v>
      </c>
      <c r="Q52" s="432">
        <f t="shared" si="22"/>
        <v>70.93199697428139</v>
      </c>
    </row>
    <row r="53" spans="1:17">
      <c r="A53" s="441" t="s">
        <v>786</v>
      </c>
      <c r="B53" s="441"/>
      <c r="C53" s="441"/>
      <c r="D53" s="441" t="s">
        <v>787</v>
      </c>
      <c r="E53" s="442">
        <f>SUM('Performances by Week'!$Y$73:$Y$76)</f>
        <v>445000</v>
      </c>
      <c r="F53" s="442">
        <f>SUM('Performances by Week'!$X$73:$X$76)</f>
        <v>94720</v>
      </c>
      <c r="G53" s="444">
        <f t="shared" si="23"/>
        <v>-350280</v>
      </c>
      <c r="H53" s="466">
        <f>SUM('Performances by Week'!$S$73:$S$76)</f>
        <v>1328</v>
      </c>
      <c r="I53" s="442" t="s">
        <v>776</v>
      </c>
      <c r="J53" s="443" t="s">
        <v>776</v>
      </c>
      <c r="K53" s="441" t="s">
        <v>777</v>
      </c>
      <c r="L53" s="442">
        <f t="shared" si="19"/>
        <v>445000</v>
      </c>
      <c r="M53" s="443">
        <f t="shared" si="19"/>
        <v>94720</v>
      </c>
      <c r="N53" s="446">
        <f t="shared" si="20"/>
        <v>1328</v>
      </c>
      <c r="O53" s="466">
        <f>SUM('Performances by Week'!$AF$73:$AF$76)</f>
        <v>5208</v>
      </c>
      <c r="P53" s="447">
        <f t="shared" si="21"/>
        <v>0.25499231950844853</v>
      </c>
      <c r="Q53" s="448">
        <f t="shared" si="22"/>
        <v>71.325301204819283</v>
      </c>
    </row>
    <row r="54" spans="1:17">
      <c r="A54" s="450" t="s">
        <v>269</v>
      </c>
      <c r="B54" s="450"/>
      <c r="C54" s="451" t="s">
        <v>283</v>
      </c>
      <c r="D54" s="451" t="s">
        <v>283</v>
      </c>
      <c r="E54" s="452">
        <f>SUM(E48:E53)</f>
        <v>1795490</v>
      </c>
      <c r="F54" s="452">
        <f>SUM(F48:F53)</f>
        <v>591747.1</v>
      </c>
      <c r="G54" s="473">
        <f>SUM(G48:G53)</f>
        <v>-1203742.8999999999</v>
      </c>
      <c r="H54" s="454">
        <f>SUM(H48:H53)</f>
        <v>8227</v>
      </c>
      <c r="I54" s="452" t="s">
        <v>776</v>
      </c>
      <c r="J54" s="455" t="s">
        <v>776</v>
      </c>
      <c r="K54" s="474" t="s">
        <v>777</v>
      </c>
      <c r="L54" s="452">
        <f>SUM(L48:L53)</f>
        <v>1795490</v>
      </c>
      <c r="M54" s="452">
        <f>SUM(M48:M53)</f>
        <v>591747.1</v>
      </c>
      <c r="N54" s="454">
        <f>SUM(N48:N53)</f>
        <v>8227</v>
      </c>
      <c r="O54" s="454">
        <f>SUM(O48:O53)</f>
        <v>23436</v>
      </c>
      <c r="P54" s="457">
        <f t="shared" si="21"/>
        <v>0.35104113329919784</v>
      </c>
      <c r="Q54" s="458">
        <f t="shared" si="22"/>
        <v>71.927446213686636</v>
      </c>
    </row>
    <row r="55" spans="1:17">
      <c r="A55" s="2"/>
      <c r="B55" s="1"/>
      <c r="C55" s="1"/>
      <c r="D55" s="1"/>
      <c r="E55" s="468" t="s">
        <v>283</v>
      </c>
      <c r="F55" s="459"/>
      <c r="G55" s="475"/>
      <c r="H55" s="2"/>
      <c r="I55" s="468" t="s">
        <v>283</v>
      </c>
      <c r="J55" s="459"/>
      <c r="K55" s="2"/>
      <c r="L55" s="468" t="s">
        <v>283</v>
      </c>
      <c r="M55" s="459"/>
      <c r="N55" s="2"/>
      <c r="O55" s="470" t="s">
        <v>283</v>
      </c>
      <c r="P55" s="2"/>
      <c r="Q55" s="471" t="s">
        <v>283</v>
      </c>
    </row>
    <row r="56" spans="1:17">
      <c r="A56" s="2" t="s">
        <v>115</v>
      </c>
      <c r="B56" s="2"/>
      <c r="C56" s="472"/>
      <c r="D56" s="1"/>
      <c r="E56" s="468" t="s">
        <v>283</v>
      </c>
      <c r="F56" s="459"/>
      <c r="G56" s="459"/>
      <c r="H56" s="2"/>
      <c r="I56" s="468" t="s">
        <v>283</v>
      </c>
      <c r="J56" s="459"/>
      <c r="K56" s="2"/>
      <c r="L56" s="468" t="s">
        <v>283</v>
      </c>
      <c r="M56" s="459"/>
      <c r="N56" s="2"/>
      <c r="O56" s="470" t="s">
        <v>283</v>
      </c>
      <c r="P56" s="2"/>
      <c r="Q56" s="471" t="s">
        <v>283</v>
      </c>
    </row>
    <row r="57" spans="1:17">
      <c r="A57" s="1" t="s">
        <v>788</v>
      </c>
      <c r="B57" s="1"/>
      <c r="C57" s="1"/>
      <c r="D57" s="461" t="s">
        <v>789</v>
      </c>
      <c r="E57" s="434">
        <f>'Performances by Week'!$Y$25</f>
        <v>11200</v>
      </c>
      <c r="F57" s="435">
        <f>'Performances by Week'!$X$25</f>
        <v>3360</v>
      </c>
      <c r="G57" s="440">
        <f>F57-E57</f>
        <v>-7840</v>
      </c>
      <c r="H57" s="1">
        <f>'Performances by Week'!$S$25</f>
        <v>29</v>
      </c>
      <c r="I57" s="434" t="s">
        <v>776</v>
      </c>
      <c r="J57" s="435" t="s">
        <v>776</v>
      </c>
      <c r="K57" s="2" t="s">
        <v>777</v>
      </c>
      <c r="L57" s="434">
        <f t="shared" ref="L57:M60" si="24">SUM(E57,I57)</f>
        <v>11200</v>
      </c>
      <c r="M57" s="435">
        <f t="shared" si="24"/>
        <v>3360</v>
      </c>
      <c r="N57" s="428">
        <f t="shared" ref="N57:N60" si="25">SUM(H57,K57)</f>
        <v>29</v>
      </c>
      <c r="O57" s="4">
        <f>'Performances by Week'!$AF$25</f>
        <v>100</v>
      </c>
      <c r="P57" s="430">
        <f t="shared" ref="P57:P61" si="26">N57/O57</f>
        <v>0.28999999999999998</v>
      </c>
      <c r="Q57" s="432">
        <f t="shared" ref="Q57:Q61" si="27">M57/N57</f>
        <v>115.86206896551724</v>
      </c>
    </row>
    <row r="58" spans="1:17">
      <c r="A58" s="1" t="s">
        <v>790</v>
      </c>
      <c r="B58" s="1"/>
      <c r="C58" s="1"/>
      <c r="D58" s="461" t="s">
        <v>791</v>
      </c>
      <c r="E58" s="434">
        <f>'Performances by Week'!$Y$65</f>
        <v>9000</v>
      </c>
      <c r="F58" s="435">
        <f>'Performances by Week'!$X$65</f>
        <v>1960</v>
      </c>
      <c r="G58" s="440">
        <f>F58-E58</f>
        <v>-7040</v>
      </c>
      <c r="H58" s="1">
        <f>'Performances by Week'!$S$65</f>
        <v>19</v>
      </c>
      <c r="I58" s="434" t="s">
        <v>776</v>
      </c>
      <c r="J58" s="435" t="s">
        <v>776</v>
      </c>
      <c r="K58" s="2" t="s">
        <v>777</v>
      </c>
      <c r="L58" s="434">
        <f t="shared" si="24"/>
        <v>9000</v>
      </c>
      <c r="M58" s="435">
        <f t="shared" si="24"/>
        <v>1960</v>
      </c>
      <c r="N58" s="428">
        <f t="shared" si="25"/>
        <v>19</v>
      </c>
      <c r="O58" s="4">
        <f>'Performances by Week'!$AF$65</f>
        <v>100</v>
      </c>
      <c r="P58" s="430">
        <f t="shared" si="26"/>
        <v>0.19</v>
      </c>
      <c r="Q58" s="432">
        <f t="shared" si="27"/>
        <v>103.15789473684211</v>
      </c>
    </row>
    <row r="59" spans="1:17">
      <c r="A59" s="1" t="s">
        <v>792</v>
      </c>
      <c r="B59" s="1"/>
      <c r="C59" s="1"/>
      <c r="D59" s="461" t="s">
        <v>793</v>
      </c>
      <c r="E59" s="434">
        <f>'Performances by Week'!$Y$106</f>
        <v>9000</v>
      </c>
      <c r="F59" s="435">
        <f>'Performances by Week'!$X$106</f>
        <v>1680</v>
      </c>
      <c r="G59" s="440">
        <f>F59-E59</f>
        <v>-7320</v>
      </c>
      <c r="H59" s="1">
        <f>'Performances by Week'!$S$106</f>
        <v>17</v>
      </c>
      <c r="I59" s="434" t="s">
        <v>776</v>
      </c>
      <c r="J59" s="435" t="s">
        <v>776</v>
      </c>
      <c r="K59" s="2" t="s">
        <v>777</v>
      </c>
      <c r="L59" s="434">
        <f t="shared" si="24"/>
        <v>9000</v>
      </c>
      <c r="M59" s="435">
        <f t="shared" si="24"/>
        <v>1680</v>
      </c>
      <c r="N59" s="428">
        <f t="shared" si="25"/>
        <v>17</v>
      </c>
      <c r="O59" s="4">
        <f>'Performances by Week'!$AF$106</f>
        <v>100</v>
      </c>
      <c r="P59" s="430">
        <f t="shared" si="26"/>
        <v>0.17</v>
      </c>
      <c r="Q59" s="432">
        <f t="shared" si="27"/>
        <v>98.82352941176471</v>
      </c>
    </row>
    <row r="60" spans="1:17">
      <c r="A60" s="441" t="s">
        <v>794</v>
      </c>
      <c r="B60" s="441"/>
      <c r="C60" s="441"/>
      <c r="D60" s="462" t="s">
        <v>795</v>
      </c>
      <c r="E60" s="442">
        <f>'Performances by Week'!$Y$110</f>
        <v>9000</v>
      </c>
      <c r="F60" s="443">
        <f>'Performances by Week'!$X$110</f>
        <v>2100</v>
      </c>
      <c r="G60" s="444">
        <f>F60-E60</f>
        <v>-6900</v>
      </c>
      <c r="H60" s="441">
        <f>'Performances by Week'!$S$110</f>
        <v>20</v>
      </c>
      <c r="I60" s="442" t="s">
        <v>776</v>
      </c>
      <c r="J60" s="443" t="s">
        <v>776</v>
      </c>
      <c r="K60" s="476" t="s">
        <v>777</v>
      </c>
      <c r="L60" s="442">
        <f t="shared" si="24"/>
        <v>9000</v>
      </c>
      <c r="M60" s="443">
        <f t="shared" si="24"/>
        <v>2100</v>
      </c>
      <c r="N60" s="446">
        <f t="shared" si="25"/>
        <v>20</v>
      </c>
      <c r="O60" s="477">
        <f>'Performances by Week'!$AF$110</f>
        <v>100</v>
      </c>
      <c r="P60" s="447">
        <f t="shared" si="26"/>
        <v>0.2</v>
      </c>
      <c r="Q60" s="448">
        <f t="shared" si="27"/>
        <v>105</v>
      </c>
    </row>
    <row r="61" spans="1:17">
      <c r="A61" s="450" t="s">
        <v>270</v>
      </c>
      <c r="B61" s="450"/>
      <c r="C61" s="450"/>
      <c r="D61" s="451" t="s">
        <v>283</v>
      </c>
      <c r="E61" s="452">
        <f>SUM(E57:E60)</f>
        <v>38200</v>
      </c>
      <c r="F61" s="452">
        <f>SUM(F57:F60)</f>
        <v>9100</v>
      </c>
      <c r="G61" s="473">
        <f>SUM(G57:G60)</f>
        <v>-29100</v>
      </c>
      <c r="H61" s="454">
        <f>SUM(H57:H60)</f>
        <v>85</v>
      </c>
      <c r="I61" s="452" t="s">
        <v>776</v>
      </c>
      <c r="J61" s="455" t="s">
        <v>776</v>
      </c>
      <c r="K61" s="474" t="s">
        <v>777</v>
      </c>
      <c r="L61" s="452">
        <f>SUM(L57:L60)</f>
        <v>38200</v>
      </c>
      <c r="M61" s="452">
        <f>SUM(M57:M60)</f>
        <v>9100</v>
      </c>
      <c r="N61" s="454">
        <f>SUM(N57:N60)</f>
        <v>85</v>
      </c>
      <c r="O61" s="454">
        <f>SUM(O57:O60)</f>
        <v>400</v>
      </c>
      <c r="P61" s="457">
        <f t="shared" si="26"/>
        <v>0.21249999999999999</v>
      </c>
      <c r="Q61" s="458">
        <f t="shared" si="27"/>
        <v>107.05882352941177</v>
      </c>
    </row>
    <row r="62" spans="1:17">
      <c r="A62" s="2"/>
      <c r="B62" s="1"/>
      <c r="C62" s="1"/>
      <c r="D62" s="1"/>
      <c r="E62" s="468" t="s">
        <v>283</v>
      </c>
      <c r="F62" s="459"/>
      <c r="G62" s="475"/>
      <c r="H62" s="2"/>
      <c r="I62" s="468" t="s">
        <v>283</v>
      </c>
      <c r="J62" s="459"/>
      <c r="K62" s="2"/>
      <c r="L62" s="468" t="s">
        <v>283</v>
      </c>
      <c r="M62" s="459"/>
      <c r="N62" s="2"/>
      <c r="O62" s="470" t="s">
        <v>283</v>
      </c>
      <c r="P62" s="2"/>
      <c r="Q62" s="471" t="s">
        <v>283</v>
      </c>
    </row>
    <row r="63" spans="1:17">
      <c r="A63" s="2" t="s">
        <v>796</v>
      </c>
      <c r="B63" s="2"/>
      <c r="C63" s="2"/>
      <c r="D63" s="1"/>
      <c r="E63" s="434" t="s">
        <v>283</v>
      </c>
      <c r="F63" s="435"/>
      <c r="G63" s="459"/>
      <c r="H63" s="1"/>
      <c r="I63" s="434" t="s">
        <v>283</v>
      </c>
      <c r="J63" s="435"/>
      <c r="K63" s="1"/>
      <c r="L63" s="434" t="s">
        <v>283</v>
      </c>
      <c r="M63" s="435"/>
      <c r="N63" s="1"/>
      <c r="O63" s="4" t="s">
        <v>283</v>
      </c>
      <c r="P63" s="1"/>
      <c r="Q63" s="431" t="s">
        <v>283</v>
      </c>
    </row>
    <row r="64" spans="1:17">
      <c r="A64" s="1" t="s">
        <v>797</v>
      </c>
      <c r="B64" s="1"/>
      <c r="C64" s="1"/>
      <c r="D64" s="1" t="s">
        <v>798</v>
      </c>
      <c r="E64" s="434">
        <f>SUM('Performances by Week'!$Y$6:$Y$7)</f>
        <v>306946</v>
      </c>
      <c r="F64" s="434">
        <f>SUM('Performances by Week'!$X$6:$X$7)</f>
        <v>272084</v>
      </c>
      <c r="G64" s="435">
        <f>F64-E64</f>
        <v>-34862</v>
      </c>
      <c r="H64" s="436">
        <f>SUM('Performances by Week'!$S$6:$S$7)</f>
        <v>2299</v>
      </c>
      <c r="I64" s="434" t="s">
        <v>776</v>
      </c>
      <c r="J64" s="435" t="s">
        <v>776</v>
      </c>
      <c r="K64" s="1"/>
      <c r="L64" s="434">
        <f t="shared" ref="L64:M70" si="28">SUM(E64,I64)</f>
        <v>306946</v>
      </c>
      <c r="M64" s="435">
        <f t="shared" si="28"/>
        <v>272084</v>
      </c>
      <c r="N64" s="428">
        <f t="shared" ref="N64:N70" si="29">SUM(H64,K64)</f>
        <v>2299</v>
      </c>
      <c r="O64" s="436">
        <f>SUM('Performances by Week'!$AF$6:$AF$7)</f>
        <v>2604</v>
      </c>
      <c r="P64" s="430">
        <f t="shared" ref="P64:P72" si="30">N64/O64</f>
        <v>0.88287250384024574</v>
      </c>
      <c r="Q64" s="432">
        <f t="shared" ref="Q64:Q72" si="31">M64/N64</f>
        <v>118.34884732492388</v>
      </c>
    </row>
    <row r="65" spans="1:17">
      <c r="A65" s="1" t="s">
        <v>799</v>
      </c>
      <c r="B65" s="1"/>
      <c r="C65" s="1"/>
      <c r="D65" s="461" t="s">
        <v>800</v>
      </c>
      <c r="E65" s="434">
        <f>'Performances by Week'!$Y$8</f>
        <v>15000</v>
      </c>
      <c r="F65" s="434">
        <f>'Performances by Week'!$X$8</f>
        <v>20005</v>
      </c>
      <c r="G65" s="435">
        <f t="shared" ref="G65:G70" si="32">F65-E65</f>
        <v>5005</v>
      </c>
      <c r="H65" s="436">
        <f>'Performances by Week'!$S$8</f>
        <v>699</v>
      </c>
      <c r="I65" s="434" t="s">
        <v>776</v>
      </c>
      <c r="J65" s="435" t="s">
        <v>776</v>
      </c>
      <c r="K65" s="1"/>
      <c r="L65" s="434">
        <f t="shared" si="28"/>
        <v>15000</v>
      </c>
      <c r="M65" s="435">
        <f t="shared" si="28"/>
        <v>20005</v>
      </c>
      <c r="N65" s="428">
        <f t="shared" si="29"/>
        <v>699</v>
      </c>
      <c r="O65" s="436">
        <f>'Performances by Week'!$AF$8</f>
        <v>600</v>
      </c>
      <c r="P65" s="430">
        <f t="shared" si="30"/>
        <v>1.165</v>
      </c>
      <c r="Q65" s="432">
        <f t="shared" si="31"/>
        <v>28.619456366237483</v>
      </c>
    </row>
    <row r="66" spans="1:17">
      <c r="A66" s="1" t="s">
        <v>177</v>
      </c>
      <c r="B66" s="1"/>
      <c r="C66" s="1"/>
      <c r="D66" s="1" t="s">
        <v>801</v>
      </c>
      <c r="E66" s="434">
        <f>SUM('Performances by Week'!$Y$38:$Y$40)</f>
        <v>235000</v>
      </c>
      <c r="F66" s="434">
        <f>SUM('Performances by Week'!$X$38:$X$40)</f>
        <v>65052.5</v>
      </c>
      <c r="G66" s="435">
        <f t="shared" si="32"/>
        <v>-169947.5</v>
      </c>
      <c r="H66" s="436">
        <f>SUM('Performances by Week'!$S$38:$S$40)</f>
        <v>1176</v>
      </c>
      <c r="I66" s="434" t="s">
        <v>776</v>
      </c>
      <c r="J66" s="435" t="s">
        <v>776</v>
      </c>
      <c r="K66" s="1" t="s">
        <v>777</v>
      </c>
      <c r="L66" s="434">
        <f t="shared" si="28"/>
        <v>235000</v>
      </c>
      <c r="M66" s="435">
        <f t="shared" si="28"/>
        <v>65052.5</v>
      </c>
      <c r="N66" s="428">
        <f t="shared" si="29"/>
        <v>1176</v>
      </c>
      <c r="O66" s="436">
        <f>SUM('Performances by Week'!$AF$38:$AF$40)</f>
        <v>4299</v>
      </c>
      <c r="P66" s="430">
        <f t="shared" si="30"/>
        <v>0.27355198883461268</v>
      </c>
      <c r="Q66" s="432">
        <f t="shared" si="31"/>
        <v>55.316751700680271</v>
      </c>
    </row>
    <row r="67" spans="1:17">
      <c r="A67" s="1" t="s">
        <v>802</v>
      </c>
      <c r="B67" s="1"/>
      <c r="C67" s="1"/>
      <c r="D67" s="1" t="s">
        <v>803</v>
      </c>
      <c r="E67" s="434">
        <f>SUM('Performances by Week'!$Y$41:$Y$42)</f>
        <v>300000</v>
      </c>
      <c r="F67" s="434">
        <f>SUM('Performances by Week'!$X$41:$X$42)</f>
        <v>242048</v>
      </c>
      <c r="G67" s="435">
        <f t="shared" si="32"/>
        <v>-57952</v>
      </c>
      <c r="H67" s="436">
        <f>SUM('Performances by Week'!$S$41:$S$42)</f>
        <v>2419</v>
      </c>
      <c r="I67" s="434" t="s">
        <v>776</v>
      </c>
      <c r="J67" s="435" t="s">
        <v>776</v>
      </c>
      <c r="K67" s="1" t="s">
        <v>777</v>
      </c>
      <c r="L67" s="434">
        <f t="shared" si="28"/>
        <v>300000</v>
      </c>
      <c r="M67" s="435">
        <f t="shared" si="28"/>
        <v>242048</v>
      </c>
      <c r="N67" s="428">
        <f t="shared" si="29"/>
        <v>2419</v>
      </c>
      <c r="O67" s="436">
        <f>SUM('Performances by Week'!$AF$41:$AF$42)</f>
        <v>3180</v>
      </c>
      <c r="P67" s="430">
        <f t="shared" si="30"/>
        <v>0.76069182389937107</v>
      </c>
      <c r="Q67" s="432">
        <f t="shared" si="31"/>
        <v>100.06118230673832</v>
      </c>
    </row>
    <row r="68" spans="1:17">
      <c r="A68" s="1" t="s">
        <v>804</v>
      </c>
      <c r="B68" s="1"/>
      <c r="C68" s="1"/>
      <c r="D68" s="461" t="s">
        <v>805</v>
      </c>
      <c r="E68" s="434">
        <f>'Performances by Week'!$Y$69</f>
        <v>128900</v>
      </c>
      <c r="F68" s="434">
        <f>'Performances by Week'!$X$69</f>
        <v>30162</v>
      </c>
      <c r="G68" s="435">
        <f t="shared" si="32"/>
        <v>-98738</v>
      </c>
      <c r="H68" s="436">
        <f>'Performances by Week'!$S$69</f>
        <v>340</v>
      </c>
      <c r="I68" s="434" t="s">
        <v>776</v>
      </c>
      <c r="J68" s="435" t="s">
        <v>776</v>
      </c>
      <c r="K68" s="1" t="s">
        <v>777</v>
      </c>
      <c r="L68" s="434">
        <f t="shared" si="28"/>
        <v>128900</v>
      </c>
      <c r="M68" s="435">
        <f t="shared" si="28"/>
        <v>30162</v>
      </c>
      <c r="N68" s="428">
        <f t="shared" si="29"/>
        <v>340</v>
      </c>
      <c r="O68" s="436">
        <f>'Performances by Week'!$AF$69</f>
        <v>1590</v>
      </c>
      <c r="P68" s="430">
        <f t="shared" si="30"/>
        <v>0.21383647798742139</v>
      </c>
      <c r="Q68" s="432">
        <f t="shared" si="31"/>
        <v>88.711764705882359</v>
      </c>
    </row>
    <row r="69" spans="1:17">
      <c r="A69" s="1" t="s">
        <v>96</v>
      </c>
      <c r="B69" s="1"/>
      <c r="C69" s="1"/>
      <c r="D69" s="1" t="s">
        <v>806</v>
      </c>
      <c r="E69" s="434">
        <f>SUM('Performances by Week'!$Y$83:$Y$84)</f>
        <v>168218</v>
      </c>
      <c r="F69" s="434">
        <f>SUM('Performances by Week'!$X$83:$X$84)</f>
        <v>10464.5</v>
      </c>
      <c r="G69" s="435">
        <f t="shared" si="32"/>
        <v>-157753.5</v>
      </c>
      <c r="H69" s="436">
        <f>SUM('Performances by Week'!$S$83:$S$84)</f>
        <v>173</v>
      </c>
      <c r="I69" s="434" t="s">
        <v>776</v>
      </c>
      <c r="J69" s="435" t="s">
        <v>776</v>
      </c>
      <c r="K69" s="1" t="s">
        <v>777</v>
      </c>
      <c r="L69" s="434">
        <f t="shared" si="28"/>
        <v>168218</v>
      </c>
      <c r="M69" s="435">
        <f t="shared" si="28"/>
        <v>10464.5</v>
      </c>
      <c r="N69" s="428">
        <f t="shared" si="29"/>
        <v>173</v>
      </c>
      <c r="O69" s="436">
        <f>SUM('Performances by Week'!$AF$83:$AF$84)</f>
        <v>3180</v>
      </c>
      <c r="P69" s="430">
        <f t="shared" si="30"/>
        <v>5.4402515723270442E-2</v>
      </c>
      <c r="Q69" s="432">
        <f t="shared" si="31"/>
        <v>60.48843930635838</v>
      </c>
    </row>
    <row r="70" spans="1:17">
      <c r="A70" s="441" t="s">
        <v>102</v>
      </c>
      <c r="B70" s="441"/>
      <c r="C70" s="441"/>
      <c r="D70" s="441" t="s">
        <v>807</v>
      </c>
      <c r="E70" s="442">
        <f>SUM('Performances by Week'!$Y$104:$Y$105)</f>
        <v>224936</v>
      </c>
      <c r="F70" s="442">
        <f>SUM('Performances by Week'!$X$104:$X$105)</f>
        <v>28268</v>
      </c>
      <c r="G70" s="443">
        <f t="shared" si="32"/>
        <v>-196668</v>
      </c>
      <c r="H70" s="466">
        <f>SUM('Performances by Week'!$S$104:$S$105)</f>
        <v>317</v>
      </c>
      <c r="I70" s="442" t="s">
        <v>283</v>
      </c>
      <c r="J70" s="443"/>
      <c r="K70" s="441"/>
      <c r="L70" s="442">
        <f t="shared" si="28"/>
        <v>224936</v>
      </c>
      <c r="M70" s="443">
        <f t="shared" si="28"/>
        <v>28268</v>
      </c>
      <c r="N70" s="446">
        <f t="shared" si="29"/>
        <v>317</v>
      </c>
      <c r="O70" s="466">
        <f>SUM('Performances by Week'!$AF$104:$AF$105)</f>
        <v>3180</v>
      </c>
      <c r="P70" s="447">
        <f t="shared" si="30"/>
        <v>9.9685534591194974E-2</v>
      </c>
      <c r="Q70" s="448">
        <f t="shared" si="31"/>
        <v>89.17350157728707</v>
      </c>
    </row>
    <row r="71" spans="1:17">
      <c r="A71" s="478" t="s">
        <v>271</v>
      </c>
      <c r="B71" s="433"/>
      <c r="C71" s="433"/>
      <c r="D71" s="433" t="s">
        <v>283</v>
      </c>
      <c r="E71" s="479">
        <f>SUM(E64:E70)</f>
        <v>1379000</v>
      </c>
      <c r="F71" s="479">
        <f>SUM(F64:F70)</f>
        <v>668084</v>
      </c>
      <c r="G71" s="479">
        <f>SUM(G64:G70)</f>
        <v>-710916</v>
      </c>
      <c r="H71" s="480">
        <f>SUM(H64:H70)</f>
        <v>7423</v>
      </c>
      <c r="I71" s="479" t="s">
        <v>776</v>
      </c>
      <c r="J71" s="481" t="s">
        <v>776</v>
      </c>
      <c r="K71" s="482" t="s">
        <v>777</v>
      </c>
      <c r="L71" s="479">
        <f>SUM(L64:L70)</f>
        <v>1379000</v>
      </c>
      <c r="M71" s="479">
        <f>SUM(M64:M70)</f>
        <v>668084</v>
      </c>
      <c r="N71" s="480">
        <f>SUM(N64:N70)</f>
        <v>7423</v>
      </c>
      <c r="O71" s="480">
        <f>SUM(O64:O70)</f>
        <v>18633</v>
      </c>
      <c r="P71" s="483">
        <f t="shared" si="30"/>
        <v>0.39837921966403694</v>
      </c>
      <c r="Q71" s="484">
        <f t="shared" si="31"/>
        <v>90.001886029907041</v>
      </c>
    </row>
    <row r="72" spans="1:17">
      <c r="A72" s="485" t="s">
        <v>117</v>
      </c>
      <c r="B72" s="486"/>
      <c r="C72" s="486" t="s">
        <v>283</v>
      </c>
      <c r="D72" s="486" t="s">
        <v>283</v>
      </c>
      <c r="E72" s="487">
        <f>SUM(E71,E61,E54,E45,E38,E20)</f>
        <v>5402679</v>
      </c>
      <c r="F72" s="487">
        <f>SUM(F71,F61,F54,F45,F38,F20)</f>
        <v>1860566.1</v>
      </c>
      <c r="G72" s="487">
        <f>SUM(G71,G61,G54,G45,G38,G20)</f>
        <v>-3542112.9</v>
      </c>
      <c r="H72" s="488">
        <f>SUM(H71,H61,H54,H45,H38,H20)</f>
        <v>26054</v>
      </c>
      <c r="I72" s="487">
        <f>SUM(I71,I61,I54,I45,I38,I20)</f>
        <v>2294950</v>
      </c>
      <c r="J72" s="487">
        <f>SUM(J71,J61,J54,J45,J38,J20)</f>
        <v>2172607.1</v>
      </c>
      <c r="K72" s="488">
        <f>SUM(K71,K61,K54,K45,K38,K20)</f>
        <v>32562</v>
      </c>
      <c r="L72" s="487">
        <f>SUM(L71,L61,L54,L45,L38,L20)</f>
        <v>7697629</v>
      </c>
      <c r="M72" s="487">
        <f>SUM(M71,M61,M54,M45,M38,M20)</f>
        <v>4033173.2</v>
      </c>
      <c r="N72" s="488">
        <f>SUM(N71,N61,N54,N45,N38,N20)</f>
        <v>58616</v>
      </c>
      <c r="O72" s="488">
        <f>SUM(O71,O61,O54,O45,O38,O20)</f>
        <v>143324</v>
      </c>
      <c r="P72" s="489">
        <f t="shared" si="30"/>
        <v>0.4089754681700204</v>
      </c>
      <c r="Q72" s="490">
        <f t="shared" si="31"/>
        <v>68.806694417906371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Julius Lai</cp:lastModifiedBy>
  <cp:revision/>
  <dcterms:created xsi:type="dcterms:W3CDTF">2025-06-06T18:30:38Z</dcterms:created>
  <dcterms:modified xsi:type="dcterms:W3CDTF">2025-10-08T16:27:24Z</dcterms:modified>
  <cp:category/>
  <cp:contentStatus/>
</cp:coreProperties>
</file>