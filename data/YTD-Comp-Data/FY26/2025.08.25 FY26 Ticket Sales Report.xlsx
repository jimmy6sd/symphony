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U:\Ticketing\0 FY26 KCS Sales Summary\0 25 26 Sales Reports\"/>
    </mc:Choice>
  </mc:AlternateContent>
  <xr:revisionPtr revIDLastSave="0" documentId="8_{63D1D492-9B47-4C1F-BE20-B080FEFBCC04}" xr6:coauthVersionLast="47" xr6:coauthVersionMax="47" xr10:uidLastSave="{00000000-0000-0000-0000-000000000000}"/>
  <bookViews>
    <workbookView xWindow="-108" yWindow="-108" windowWidth="23256" windowHeight="12456" xr2:uid="{6F13B11E-A781-40B0-8A47-BC27C9B0E25C}"/>
  </bookViews>
  <sheets>
    <sheet name="Performances by Week" sheetId="1" r:id="rId1"/>
    <sheet name="Subscriptions" sheetId="2" r:id="rId2"/>
    <sheet name="Channels (Draft)" sheetId="5" r:id="rId3"/>
    <sheet name="Sales Pacing" sheetId="3" r:id="rId4"/>
    <sheet name="Summary (Draft)" sheetId="4" state="hidden" r:id="rId5"/>
    <sheet name="Social Reporting" sheetId="10" r:id="rId6"/>
    <sheet name="Email Reporting" sheetId="7" r:id="rId7"/>
    <sheet name="Website Reporting" sheetId="9" r:id="rId8"/>
  </sheets>
  <definedNames>
    <definedName name="_xlnm._FilterDatabase" localSheetId="0" hidden="1">'Performances by Week'!$A$1:$AG$127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L6" i="1"/>
  <c r="L7" i="1"/>
  <c r="I8" i="1"/>
  <c r="L8" i="1"/>
  <c r="AA8" i="1"/>
  <c r="B106" i="1"/>
  <c r="Q106" i="1"/>
  <c r="K43" i="2"/>
  <c r="K44" i="2"/>
  <c r="D43" i="2"/>
  <c r="G43" i="2"/>
  <c r="J43" i="2"/>
  <c r="J44" i="2"/>
  <c r="K21" i="2"/>
  <c r="K22" i="2"/>
  <c r="D21" i="2"/>
  <c r="L104" i="1"/>
  <c r="AG104" i="1"/>
  <c r="AG6" i="1"/>
  <c r="AG7" i="1"/>
  <c r="AG8" i="1"/>
  <c r="L10" i="1"/>
  <c r="AG10" i="1"/>
  <c r="L11" i="1"/>
  <c r="AG11" i="1"/>
  <c r="L12" i="1"/>
  <c r="AG12" i="1"/>
  <c r="L13" i="1"/>
  <c r="AG13" i="1"/>
  <c r="L14" i="1"/>
  <c r="AG14" i="1"/>
  <c r="L15" i="1"/>
  <c r="AG15" i="1"/>
  <c r="L16" i="1"/>
  <c r="AG16" i="1"/>
  <c r="L17" i="1"/>
  <c r="AG17" i="1"/>
  <c r="L18" i="1"/>
  <c r="AG18" i="1"/>
  <c r="L19" i="1"/>
  <c r="AG19" i="1"/>
  <c r="L20" i="1"/>
  <c r="AG20" i="1"/>
  <c r="L21" i="1"/>
  <c r="AG21" i="1"/>
  <c r="L22" i="1"/>
  <c r="AG22" i="1"/>
  <c r="L23" i="1"/>
  <c r="AG23" i="1"/>
  <c r="L24" i="1"/>
  <c r="AG24" i="1"/>
  <c r="L25" i="1"/>
  <c r="AG25" i="1"/>
  <c r="L26" i="1"/>
  <c r="AG26" i="1"/>
  <c r="L27" i="1"/>
  <c r="AG27" i="1"/>
  <c r="L28" i="1"/>
  <c r="AG28" i="1"/>
  <c r="L29" i="1"/>
  <c r="AG29" i="1"/>
  <c r="L31" i="1"/>
  <c r="AG31" i="1"/>
  <c r="L32" i="1"/>
  <c r="AG32" i="1"/>
  <c r="L33" i="1"/>
  <c r="AG33" i="1"/>
  <c r="L34" i="1"/>
  <c r="AG34" i="1"/>
  <c r="L35" i="1"/>
  <c r="AG35" i="1"/>
  <c r="L36" i="1"/>
  <c r="AG36" i="1"/>
  <c r="L37" i="1"/>
  <c r="AG37" i="1"/>
  <c r="L38" i="1"/>
  <c r="AG38" i="1"/>
  <c r="L39" i="1"/>
  <c r="AG39" i="1"/>
  <c r="L40" i="1"/>
  <c r="AG40" i="1"/>
  <c r="L41" i="1"/>
  <c r="AG41" i="1"/>
  <c r="L42" i="1"/>
  <c r="AG42" i="1"/>
  <c r="L43" i="1"/>
  <c r="AG43" i="1"/>
  <c r="L44" i="1"/>
  <c r="AG44" i="1"/>
  <c r="L45" i="1"/>
  <c r="AG45" i="1"/>
  <c r="L46" i="1"/>
  <c r="AG46" i="1"/>
  <c r="L47" i="1"/>
  <c r="AG47" i="1"/>
  <c r="L48" i="1"/>
  <c r="AG48" i="1"/>
  <c r="L49" i="1"/>
  <c r="AG49" i="1"/>
  <c r="L50" i="1"/>
  <c r="AG50" i="1"/>
  <c r="L52" i="1"/>
  <c r="AG52" i="1"/>
  <c r="L53" i="1"/>
  <c r="AG53" i="1"/>
  <c r="L54" i="1"/>
  <c r="AG54" i="1"/>
  <c r="L55" i="1"/>
  <c r="AG55" i="1"/>
  <c r="L56" i="1"/>
  <c r="AG56" i="1"/>
  <c r="L57" i="1"/>
  <c r="AG57" i="1"/>
  <c r="L58" i="1"/>
  <c r="AG58" i="1"/>
  <c r="L59" i="1"/>
  <c r="AG59" i="1"/>
  <c r="L60" i="1"/>
  <c r="AG60" i="1"/>
  <c r="L61" i="1"/>
  <c r="AG61" i="1"/>
  <c r="L62" i="1"/>
  <c r="AG62" i="1"/>
  <c r="L63" i="1"/>
  <c r="AG63" i="1"/>
  <c r="L64" i="1"/>
  <c r="AG64" i="1"/>
  <c r="L65" i="1"/>
  <c r="AG65" i="1"/>
  <c r="L66" i="1"/>
  <c r="AG66" i="1"/>
  <c r="L67" i="1"/>
  <c r="AG67" i="1"/>
  <c r="L68" i="1"/>
  <c r="AG68" i="1"/>
  <c r="L69" i="1"/>
  <c r="AG69" i="1"/>
  <c r="L70" i="1"/>
  <c r="AG70" i="1"/>
  <c r="L71" i="1"/>
  <c r="AG71" i="1"/>
  <c r="L72" i="1"/>
  <c r="AG72" i="1"/>
  <c r="L73" i="1"/>
  <c r="AG73" i="1"/>
  <c r="L74" i="1"/>
  <c r="AG74" i="1"/>
  <c r="L75" i="1"/>
  <c r="AG75" i="1"/>
  <c r="L76" i="1"/>
  <c r="AG76" i="1"/>
  <c r="L77" i="1"/>
  <c r="AG77" i="1"/>
  <c r="L79" i="1"/>
  <c r="AG79" i="1"/>
  <c r="L80" i="1"/>
  <c r="AG80" i="1"/>
  <c r="L81" i="1"/>
  <c r="AG81" i="1"/>
  <c r="L83" i="1"/>
  <c r="AG83" i="1"/>
  <c r="L84" i="1"/>
  <c r="AG84" i="1"/>
  <c r="L85" i="1"/>
  <c r="AG85" i="1"/>
  <c r="L86" i="1"/>
  <c r="AG86" i="1"/>
  <c r="L87" i="1"/>
  <c r="AG87" i="1"/>
  <c r="L89" i="1"/>
  <c r="AG89" i="1"/>
  <c r="L90" i="1"/>
  <c r="AG90" i="1"/>
  <c r="L91" i="1"/>
  <c r="AG91" i="1"/>
  <c r="L92" i="1"/>
  <c r="AG92" i="1"/>
  <c r="L93" i="1"/>
  <c r="AG93" i="1"/>
  <c r="L94" i="1"/>
  <c r="AG94" i="1"/>
  <c r="L97" i="1"/>
  <c r="AG97" i="1"/>
  <c r="L98" i="1"/>
  <c r="AG98" i="1"/>
  <c r="L99" i="1"/>
  <c r="AG99" i="1"/>
  <c r="L100" i="1"/>
  <c r="AG100" i="1"/>
  <c r="L101" i="1"/>
  <c r="AG101" i="1"/>
  <c r="L102" i="1"/>
  <c r="AG102" i="1"/>
  <c r="L105" i="1"/>
  <c r="AG105" i="1"/>
  <c r="L106" i="1"/>
  <c r="AG106" i="1"/>
  <c r="L107" i="1"/>
  <c r="AG107" i="1"/>
  <c r="L108" i="1"/>
  <c r="AG108" i="1"/>
  <c r="L109" i="1"/>
  <c r="AG109" i="1"/>
  <c r="L111" i="1"/>
  <c r="AG111" i="1"/>
  <c r="L112" i="1"/>
  <c r="AG112" i="1"/>
  <c r="L113" i="1"/>
  <c r="AG113" i="1"/>
  <c r="L115" i="1"/>
  <c r="AG115" i="1"/>
  <c r="L116" i="1"/>
  <c r="AG116" i="1"/>
  <c r="L117" i="1"/>
  <c r="AG117" i="1"/>
  <c r="AG110" i="1"/>
  <c r="AG118" i="1" s="1"/>
  <c r="I10" i="1"/>
  <c r="B25" i="1"/>
  <c r="Q25" i="1"/>
  <c r="Y106" i="1"/>
  <c r="Y105" i="1"/>
  <c r="Y104" i="1"/>
  <c r="Q104" i="1"/>
  <c r="U104" i="1"/>
  <c r="Q105" i="1"/>
  <c r="U105" i="1"/>
  <c r="M105" i="1"/>
  <c r="M104" i="1"/>
  <c r="M84" i="1"/>
  <c r="M83" i="1"/>
  <c r="J105" i="1"/>
  <c r="J104" i="1"/>
  <c r="T105" i="1"/>
  <c r="T104" i="1"/>
  <c r="N105" i="1"/>
  <c r="N104" i="1"/>
  <c r="I105" i="1"/>
  <c r="AB105" i="1"/>
  <c r="I104" i="1"/>
  <c r="AB104" i="1"/>
  <c r="T84" i="1"/>
  <c r="T83" i="1"/>
  <c r="N84" i="1"/>
  <c r="N83" i="1"/>
  <c r="I84" i="1"/>
  <c r="I83" i="1"/>
  <c r="T8" i="1"/>
  <c r="B83" i="1"/>
  <c r="Q83" i="1"/>
  <c r="U83" i="1"/>
  <c r="B84" i="1"/>
  <c r="Q84" i="1"/>
  <c r="U84" i="1"/>
  <c r="Y14" i="1"/>
  <c r="S126" i="1"/>
  <c r="G21" i="2"/>
  <c r="J21" i="2" s="1"/>
  <c r="J22" i="2" s="1"/>
  <c r="L43" i="2"/>
  <c r="I43" i="2"/>
  <c r="J42" i="2"/>
  <c r="L21" i="2"/>
  <c r="I21" i="2"/>
  <c r="Y10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7" i="1"/>
  <c r="T6" i="1"/>
  <c r="N9" i="1"/>
  <c r="D20" i="2"/>
  <c r="Y117" i="1"/>
  <c r="Y116" i="1"/>
  <c r="Y115" i="1"/>
  <c r="Y113" i="1"/>
  <c r="Y112" i="1"/>
  <c r="Y111" i="1"/>
  <c r="Y110" i="1"/>
  <c r="Y109" i="1"/>
  <c r="Y108" i="1"/>
  <c r="Y107" i="1"/>
  <c r="Y102" i="1"/>
  <c r="Y101" i="1"/>
  <c r="Y100" i="1"/>
  <c r="Y99" i="1"/>
  <c r="Y98" i="1"/>
  <c r="Y97" i="1"/>
  <c r="Y94" i="1"/>
  <c r="Y93" i="1"/>
  <c r="Y92" i="1"/>
  <c r="Y91" i="1"/>
  <c r="Y90" i="1"/>
  <c r="Y89" i="1"/>
  <c r="Y87" i="1"/>
  <c r="Y86" i="1"/>
  <c r="Y85" i="1"/>
  <c r="Y81" i="1"/>
  <c r="Y80" i="1"/>
  <c r="Y79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8" i="1"/>
  <c r="Y7" i="1"/>
  <c r="Y6" i="1"/>
  <c r="M117" i="1"/>
  <c r="N117" i="1"/>
  <c r="I117" i="1"/>
  <c r="AA117" i="1"/>
  <c r="M116" i="1"/>
  <c r="I116" i="1"/>
  <c r="AA116" i="1"/>
  <c r="M115" i="1"/>
  <c r="N115" i="1"/>
  <c r="I115" i="1"/>
  <c r="AA115" i="1"/>
  <c r="M114" i="1"/>
  <c r="L114" i="1"/>
  <c r="N114" i="1"/>
  <c r="I114" i="1"/>
  <c r="AA114" i="1"/>
  <c r="M113" i="1"/>
  <c r="N113" i="1"/>
  <c r="I113" i="1"/>
  <c r="AA113" i="1"/>
  <c r="M112" i="1"/>
  <c r="I112" i="1"/>
  <c r="AA112" i="1"/>
  <c r="M111" i="1"/>
  <c r="N111" i="1"/>
  <c r="I111" i="1"/>
  <c r="AA111" i="1"/>
  <c r="L110" i="1"/>
  <c r="N110" i="1"/>
  <c r="I110" i="1"/>
  <c r="AA110" i="1"/>
  <c r="M109" i="1"/>
  <c r="I109" i="1"/>
  <c r="AA109" i="1"/>
  <c r="M108" i="1"/>
  <c r="I108" i="1"/>
  <c r="AA108" i="1"/>
  <c r="M107" i="1"/>
  <c r="I107" i="1"/>
  <c r="AA107" i="1"/>
  <c r="N106" i="1"/>
  <c r="I106" i="1"/>
  <c r="AA106" i="1"/>
  <c r="M103" i="1"/>
  <c r="L103" i="1"/>
  <c r="N103" i="1"/>
  <c r="I103" i="1"/>
  <c r="AA103" i="1"/>
  <c r="M102" i="1"/>
  <c r="I102" i="1"/>
  <c r="AA102" i="1"/>
  <c r="M101" i="1"/>
  <c r="I101" i="1"/>
  <c r="AA101" i="1"/>
  <c r="M100" i="1"/>
  <c r="I100" i="1"/>
  <c r="AA100" i="1"/>
  <c r="M99" i="1"/>
  <c r="I99" i="1"/>
  <c r="AA99" i="1"/>
  <c r="M98" i="1"/>
  <c r="I98" i="1"/>
  <c r="AA98" i="1"/>
  <c r="M97" i="1"/>
  <c r="I97" i="1"/>
  <c r="AA97" i="1"/>
  <c r="M96" i="1"/>
  <c r="L96" i="1"/>
  <c r="N96" i="1"/>
  <c r="I96" i="1"/>
  <c r="AA96" i="1"/>
  <c r="M95" i="1"/>
  <c r="L95" i="1"/>
  <c r="N95" i="1"/>
  <c r="I95" i="1"/>
  <c r="AA95" i="1"/>
  <c r="M94" i="1"/>
  <c r="N94" i="1"/>
  <c r="I94" i="1"/>
  <c r="AA94" i="1"/>
  <c r="M93" i="1"/>
  <c r="N93" i="1"/>
  <c r="I93" i="1"/>
  <c r="AA93" i="1"/>
  <c r="M92" i="1"/>
  <c r="N92" i="1"/>
  <c r="I92" i="1"/>
  <c r="AA92" i="1"/>
  <c r="M91" i="1"/>
  <c r="I91" i="1"/>
  <c r="AA91" i="1"/>
  <c r="M90" i="1"/>
  <c r="I90" i="1"/>
  <c r="AA90" i="1"/>
  <c r="M89" i="1"/>
  <c r="I89" i="1"/>
  <c r="AA89" i="1"/>
  <c r="M88" i="1"/>
  <c r="L88" i="1"/>
  <c r="N88" i="1"/>
  <c r="I88" i="1"/>
  <c r="AA88" i="1"/>
  <c r="M87" i="1"/>
  <c r="N87" i="1"/>
  <c r="I87" i="1"/>
  <c r="AA87" i="1"/>
  <c r="M86" i="1"/>
  <c r="N86" i="1"/>
  <c r="I86" i="1"/>
  <c r="AA86" i="1"/>
  <c r="M85" i="1"/>
  <c r="N85" i="1"/>
  <c r="I85" i="1"/>
  <c r="AA85" i="1"/>
  <c r="M82" i="1"/>
  <c r="L82" i="1"/>
  <c r="N82" i="1"/>
  <c r="I82" i="1"/>
  <c r="AA82" i="1"/>
  <c r="M81" i="1"/>
  <c r="I81" i="1"/>
  <c r="AA81" i="1"/>
  <c r="M80" i="1"/>
  <c r="I80" i="1"/>
  <c r="AA80" i="1"/>
  <c r="M79" i="1"/>
  <c r="I79" i="1"/>
  <c r="AA79" i="1"/>
  <c r="M78" i="1"/>
  <c r="L78" i="1"/>
  <c r="N78" i="1"/>
  <c r="I78" i="1"/>
  <c r="AA78" i="1"/>
  <c r="M77" i="1"/>
  <c r="N77" i="1"/>
  <c r="I77" i="1"/>
  <c r="AA77" i="1"/>
  <c r="M76" i="1"/>
  <c r="N76" i="1"/>
  <c r="I76" i="1"/>
  <c r="AA76" i="1"/>
  <c r="M75" i="1"/>
  <c r="N75" i="1"/>
  <c r="I75" i="1"/>
  <c r="AA75" i="1"/>
  <c r="M74" i="1"/>
  <c r="N74" i="1"/>
  <c r="I74" i="1"/>
  <c r="AA74" i="1"/>
  <c r="M73" i="1"/>
  <c r="N73" i="1"/>
  <c r="I73" i="1"/>
  <c r="AA73" i="1"/>
  <c r="M72" i="1"/>
  <c r="N72" i="1"/>
  <c r="I72" i="1"/>
  <c r="AA72" i="1"/>
  <c r="M71" i="1"/>
  <c r="N71" i="1"/>
  <c r="I71" i="1"/>
  <c r="AA71" i="1"/>
  <c r="M70" i="1"/>
  <c r="N70" i="1"/>
  <c r="I70" i="1"/>
  <c r="AA70" i="1"/>
  <c r="M69" i="1"/>
  <c r="N69" i="1"/>
  <c r="I69" i="1"/>
  <c r="AA69" i="1"/>
  <c r="M68" i="1"/>
  <c r="N68" i="1"/>
  <c r="I68" i="1"/>
  <c r="AA68" i="1"/>
  <c r="M67" i="1"/>
  <c r="N67" i="1"/>
  <c r="I67" i="1"/>
  <c r="AA67" i="1"/>
  <c r="M66" i="1"/>
  <c r="N66" i="1"/>
  <c r="I66" i="1"/>
  <c r="AA66" i="1"/>
  <c r="N65" i="1"/>
  <c r="I65" i="1"/>
  <c r="AA65" i="1"/>
  <c r="M64" i="1"/>
  <c r="I64" i="1"/>
  <c r="AA64" i="1"/>
  <c r="M63" i="1"/>
  <c r="I63" i="1"/>
  <c r="AA63" i="1"/>
  <c r="M62" i="1"/>
  <c r="I62" i="1"/>
  <c r="AA62" i="1"/>
  <c r="M61" i="1"/>
  <c r="I61" i="1"/>
  <c r="AA61" i="1"/>
  <c r="M60" i="1"/>
  <c r="N60" i="1"/>
  <c r="I60" i="1"/>
  <c r="AA60" i="1"/>
  <c r="M59" i="1"/>
  <c r="N59" i="1"/>
  <c r="I59" i="1"/>
  <c r="AA59" i="1"/>
  <c r="M58" i="1"/>
  <c r="N58" i="1"/>
  <c r="I58" i="1"/>
  <c r="M57" i="1"/>
  <c r="I57" i="1"/>
  <c r="AA57" i="1"/>
  <c r="M56" i="1"/>
  <c r="I56" i="1"/>
  <c r="AA56" i="1"/>
  <c r="M55" i="1"/>
  <c r="I55" i="1"/>
  <c r="AA55" i="1"/>
  <c r="M54" i="1"/>
  <c r="I54" i="1"/>
  <c r="AA54" i="1"/>
  <c r="M53" i="1"/>
  <c r="I53" i="1"/>
  <c r="AA53" i="1"/>
  <c r="M52" i="1"/>
  <c r="I52" i="1"/>
  <c r="AA52" i="1"/>
  <c r="M51" i="1"/>
  <c r="L51" i="1"/>
  <c r="N51" i="1"/>
  <c r="I51" i="1"/>
  <c r="AA51" i="1"/>
  <c r="M50" i="1"/>
  <c r="N50" i="1"/>
  <c r="I50" i="1"/>
  <c r="AA50" i="1"/>
  <c r="M49" i="1"/>
  <c r="N49" i="1"/>
  <c r="I49" i="1"/>
  <c r="AA49" i="1"/>
  <c r="M48" i="1"/>
  <c r="N48" i="1"/>
  <c r="I48" i="1"/>
  <c r="AA48" i="1"/>
  <c r="M47" i="1"/>
  <c r="N47" i="1"/>
  <c r="I47" i="1"/>
  <c r="AA47" i="1"/>
  <c r="M46" i="1"/>
  <c r="N46" i="1"/>
  <c r="I46" i="1"/>
  <c r="AA46" i="1"/>
  <c r="M45" i="1"/>
  <c r="N45" i="1"/>
  <c r="I45" i="1"/>
  <c r="AA45" i="1"/>
  <c r="M44" i="1"/>
  <c r="N44" i="1"/>
  <c r="I44" i="1"/>
  <c r="AA44" i="1"/>
  <c r="M43" i="1"/>
  <c r="N43" i="1"/>
  <c r="I43" i="1"/>
  <c r="AA43" i="1"/>
  <c r="M42" i="1"/>
  <c r="N42" i="1"/>
  <c r="I42" i="1"/>
  <c r="AA42" i="1"/>
  <c r="M41" i="1"/>
  <c r="N41" i="1"/>
  <c r="I41" i="1"/>
  <c r="AA41" i="1"/>
  <c r="M40" i="1"/>
  <c r="N40" i="1"/>
  <c r="I40" i="1"/>
  <c r="AA40" i="1"/>
  <c r="M39" i="1"/>
  <c r="N39" i="1"/>
  <c r="I39" i="1"/>
  <c r="AA39" i="1"/>
  <c r="M38" i="1"/>
  <c r="N38" i="1"/>
  <c r="I38" i="1"/>
  <c r="AA38" i="1"/>
  <c r="M37" i="1"/>
  <c r="N37" i="1"/>
  <c r="I37" i="1"/>
  <c r="AA37" i="1"/>
  <c r="M36" i="1"/>
  <c r="N36" i="1"/>
  <c r="I36" i="1"/>
  <c r="AA36" i="1"/>
  <c r="M35" i="1"/>
  <c r="N35" i="1"/>
  <c r="I35" i="1"/>
  <c r="AA35" i="1"/>
  <c r="M34" i="1"/>
  <c r="N34" i="1"/>
  <c r="I34" i="1"/>
  <c r="AA34" i="1"/>
  <c r="M33" i="1"/>
  <c r="I33" i="1"/>
  <c r="AA33" i="1"/>
  <c r="M32" i="1"/>
  <c r="I32" i="1"/>
  <c r="AA32" i="1"/>
  <c r="M31" i="1"/>
  <c r="I31" i="1"/>
  <c r="AA31" i="1"/>
  <c r="M30" i="1"/>
  <c r="L30" i="1"/>
  <c r="N30" i="1"/>
  <c r="I30" i="1"/>
  <c r="AA30" i="1"/>
  <c r="M29" i="1"/>
  <c r="N29" i="1"/>
  <c r="I29" i="1"/>
  <c r="AA29" i="1"/>
  <c r="M28" i="1"/>
  <c r="N28" i="1"/>
  <c r="I28" i="1"/>
  <c r="AA28" i="1"/>
  <c r="M27" i="1"/>
  <c r="N27" i="1"/>
  <c r="I27" i="1"/>
  <c r="AA27" i="1"/>
  <c r="M26" i="1"/>
  <c r="N26" i="1"/>
  <c r="I26" i="1"/>
  <c r="AA26" i="1"/>
  <c r="N25" i="1"/>
  <c r="I25" i="1"/>
  <c r="AA25" i="1"/>
  <c r="M24" i="1"/>
  <c r="I24" i="1"/>
  <c r="AA24" i="1"/>
  <c r="M23" i="1"/>
  <c r="I23" i="1"/>
  <c r="AA23" i="1"/>
  <c r="M22" i="1"/>
  <c r="I22" i="1"/>
  <c r="AA22" i="1"/>
  <c r="M21" i="1"/>
  <c r="N21" i="1"/>
  <c r="I21" i="1"/>
  <c r="AA21" i="1"/>
  <c r="M20" i="1"/>
  <c r="N20" i="1"/>
  <c r="I20" i="1"/>
  <c r="AA20" i="1"/>
  <c r="M19" i="1"/>
  <c r="N19" i="1"/>
  <c r="I19" i="1"/>
  <c r="AA19" i="1"/>
  <c r="M18" i="1"/>
  <c r="N18" i="1"/>
  <c r="I18" i="1"/>
  <c r="AA18" i="1"/>
  <c r="N17" i="1"/>
  <c r="I17" i="1"/>
  <c r="AA17" i="1"/>
  <c r="N16" i="1"/>
  <c r="I16" i="1"/>
  <c r="AA16" i="1"/>
  <c r="N15" i="1"/>
  <c r="I15" i="1"/>
  <c r="AA15" i="1"/>
  <c r="M14" i="1"/>
  <c r="N14" i="1"/>
  <c r="I14" i="1"/>
  <c r="AA14" i="1"/>
  <c r="M13" i="1"/>
  <c r="N13" i="1"/>
  <c r="I13" i="1"/>
  <c r="AA13" i="1"/>
  <c r="M12" i="1"/>
  <c r="N12" i="1"/>
  <c r="I12" i="1"/>
  <c r="AA12" i="1"/>
  <c r="M11" i="1"/>
  <c r="N11" i="1"/>
  <c r="I11" i="1"/>
  <c r="AA11" i="1"/>
  <c r="M10" i="1"/>
  <c r="N10" i="1"/>
  <c r="AA10" i="1"/>
  <c r="I9" i="1"/>
  <c r="AA9" i="1"/>
  <c r="M8" i="1"/>
  <c r="N8" i="1"/>
  <c r="M7" i="1"/>
  <c r="N7" i="1"/>
  <c r="AA7" i="1"/>
  <c r="M6" i="1"/>
  <c r="N6" i="1"/>
  <c r="AA6" i="1"/>
  <c r="B117" i="1"/>
  <c r="Q117" i="1"/>
  <c r="U117" i="1"/>
  <c r="B116" i="1"/>
  <c r="Q116" i="1"/>
  <c r="U116" i="1"/>
  <c r="B115" i="1"/>
  <c r="Q115" i="1"/>
  <c r="U115" i="1"/>
  <c r="B114" i="1"/>
  <c r="Q114" i="1"/>
  <c r="B113" i="1"/>
  <c r="Q113" i="1"/>
  <c r="U113" i="1"/>
  <c r="B112" i="1"/>
  <c r="Q112" i="1"/>
  <c r="U112" i="1"/>
  <c r="B111" i="1"/>
  <c r="Q111" i="1"/>
  <c r="U111" i="1"/>
  <c r="B110" i="1"/>
  <c r="Q110" i="1"/>
  <c r="U110" i="1"/>
  <c r="B109" i="1"/>
  <c r="Q109" i="1"/>
  <c r="U109" i="1"/>
  <c r="B108" i="1"/>
  <c r="Q108" i="1"/>
  <c r="U108" i="1"/>
  <c r="B107" i="1"/>
  <c r="Q107" i="1"/>
  <c r="U107" i="1"/>
  <c r="U106" i="1"/>
  <c r="B103" i="1"/>
  <c r="Q103" i="1"/>
  <c r="B102" i="1"/>
  <c r="Q102" i="1"/>
  <c r="U102" i="1"/>
  <c r="B101" i="1"/>
  <c r="Q101" i="1"/>
  <c r="U101" i="1"/>
  <c r="B100" i="1"/>
  <c r="Q100" i="1"/>
  <c r="U100" i="1"/>
  <c r="B99" i="1"/>
  <c r="Q99" i="1"/>
  <c r="U99" i="1"/>
  <c r="B98" i="1"/>
  <c r="Q98" i="1"/>
  <c r="U98" i="1"/>
  <c r="B97" i="1"/>
  <c r="Q97" i="1"/>
  <c r="U97" i="1"/>
  <c r="B96" i="1"/>
  <c r="Q96" i="1"/>
  <c r="B95" i="1"/>
  <c r="Q95" i="1"/>
  <c r="B94" i="1"/>
  <c r="Q94" i="1"/>
  <c r="U94" i="1"/>
  <c r="B93" i="1"/>
  <c r="Q93" i="1"/>
  <c r="U93" i="1"/>
  <c r="B92" i="1"/>
  <c r="Q92" i="1"/>
  <c r="U92" i="1"/>
  <c r="B91" i="1"/>
  <c r="Q91" i="1"/>
  <c r="U91" i="1"/>
  <c r="B90" i="1"/>
  <c r="Q90" i="1"/>
  <c r="U90" i="1"/>
  <c r="B89" i="1"/>
  <c r="Q89" i="1"/>
  <c r="U89" i="1"/>
  <c r="B88" i="1"/>
  <c r="Q88" i="1"/>
  <c r="B87" i="1"/>
  <c r="Q87" i="1"/>
  <c r="U87" i="1"/>
  <c r="B86" i="1"/>
  <c r="Q86" i="1"/>
  <c r="U86" i="1"/>
  <c r="B85" i="1"/>
  <c r="Q85" i="1"/>
  <c r="U85" i="1"/>
  <c r="B82" i="1"/>
  <c r="Q82" i="1"/>
  <c r="B81" i="1"/>
  <c r="Q81" i="1"/>
  <c r="U81" i="1"/>
  <c r="B80" i="1"/>
  <c r="Q80" i="1"/>
  <c r="U80" i="1"/>
  <c r="B79" i="1"/>
  <c r="Q79" i="1"/>
  <c r="U79" i="1"/>
  <c r="B78" i="1"/>
  <c r="Q78" i="1"/>
  <c r="B77" i="1"/>
  <c r="Q77" i="1"/>
  <c r="U77" i="1"/>
  <c r="B76" i="1"/>
  <c r="Q76" i="1"/>
  <c r="U76" i="1"/>
  <c r="B75" i="1"/>
  <c r="Q75" i="1"/>
  <c r="U75" i="1"/>
  <c r="B74" i="1"/>
  <c r="Q74" i="1"/>
  <c r="U74" i="1"/>
  <c r="B73" i="1"/>
  <c r="Q73" i="1"/>
  <c r="U73" i="1"/>
  <c r="B72" i="1"/>
  <c r="Q72" i="1"/>
  <c r="U72" i="1"/>
  <c r="B71" i="1"/>
  <c r="Q71" i="1"/>
  <c r="U71" i="1"/>
  <c r="B70" i="1"/>
  <c r="Q70" i="1"/>
  <c r="U70" i="1"/>
  <c r="B69" i="1"/>
  <c r="Q69" i="1"/>
  <c r="U69" i="1"/>
  <c r="B68" i="1"/>
  <c r="Q68" i="1"/>
  <c r="U68" i="1"/>
  <c r="B67" i="1"/>
  <c r="Q67" i="1"/>
  <c r="U67" i="1"/>
  <c r="B66" i="1"/>
  <c r="Q66" i="1"/>
  <c r="U66" i="1"/>
  <c r="B65" i="1"/>
  <c r="Q65" i="1"/>
  <c r="U65" i="1"/>
  <c r="B64" i="1"/>
  <c r="Q64" i="1"/>
  <c r="U64" i="1"/>
  <c r="B63" i="1"/>
  <c r="Q63" i="1"/>
  <c r="U63" i="1"/>
  <c r="B62" i="1"/>
  <c r="Q62" i="1"/>
  <c r="U62" i="1"/>
  <c r="B61" i="1"/>
  <c r="Q61" i="1"/>
  <c r="U61" i="1"/>
  <c r="B60" i="1"/>
  <c r="Q60" i="1"/>
  <c r="U60" i="1"/>
  <c r="B59" i="1"/>
  <c r="Q59" i="1"/>
  <c r="U59" i="1"/>
  <c r="B58" i="1"/>
  <c r="Q58" i="1"/>
  <c r="U58" i="1"/>
  <c r="B57" i="1"/>
  <c r="Q57" i="1"/>
  <c r="U57" i="1"/>
  <c r="B56" i="1"/>
  <c r="Q56" i="1"/>
  <c r="U56" i="1"/>
  <c r="B55" i="1"/>
  <c r="Q55" i="1"/>
  <c r="U55" i="1"/>
  <c r="B54" i="1"/>
  <c r="Q54" i="1"/>
  <c r="U54" i="1"/>
  <c r="B53" i="1"/>
  <c r="Q53" i="1"/>
  <c r="U53" i="1"/>
  <c r="B52" i="1"/>
  <c r="Q52" i="1"/>
  <c r="U52" i="1"/>
  <c r="B51" i="1"/>
  <c r="Q51" i="1"/>
  <c r="B50" i="1"/>
  <c r="Q50" i="1"/>
  <c r="U50" i="1"/>
  <c r="B49" i="1"/>
  <c r="Q49" i="1"/>
  <c r="U49" i="1"/>
  <c r="B48" i="1"/>
  <c r="Q48" i="1"/>
  <c r="U48" i="1"/>
  <c r="B47" i="1"/>
  <c r="Q47" i="1"/>
  <c r="U47" i="1"/>
  <c r="B46" i="1"/>
  <c r="Q46" i="1"/>
  <c r="U46" i="1"/>
  <c r="B45" i="1"/>
  <c r="Q45" i="1"/>
  <c r="U45" i="1"/>
  <c r="B44" i="1"/>
  <c r="Q44" i="1"/>
  <c r="U44" i="1"/>
  <c r="B43" i="1"/>
  <c r="Q43" i="1"/>
  <c r="U43" i="1"/>
  <c r="B42" i="1"/>
  <c r="Q42" i="1"/>
  <c r="U42" i="1"/>
  <c r="B41" i="1"/>
  <c r="Q41" i="1"/>
  <c r="U41" i="1"/>
  <c r="B40" i="1"/>
  <c r="Q40" i="1"/>
  <c r="U40" i="1"/>
  <c r="B39" i="1"/>
  <c r="Q39" i="1"/>
  <c r="U39" i="1"/>
  <c r="B38" i="1"/>
  <c r="Q38" i="1"/>
  <c r="U38" i="1"/>
  <c r="B37" i="1"/>
  <c r="Q37" i="1"/>
  <c r="U37" i="1"/>
  <c r="B36" i="1"/>
  <c r="Q36" i="1"/>
  <c r="U36" i="1"/>
  <c r="B35" i="1"/>
  <c r="Q35" i="1"/>
  <c r="U35" i="1"/>
  <c r="B34" i="1"/>
  <c r="Q34" i="1"/>
  <c r="U34" i="1"/>
  <c r="B33" i="1"/>
  <c r="Q33" i="1"/>
  <c r="U33" i="1"/>
  <c r="B32" i="1"/>
  <c r="Q32" i="1"/>
  <c r="U32" i="1"/>
  <c r="B31" i="1"/>
  <c r="Q31" i="1"/>
  <c r="U31" i="1"/>
  <c r="B30" i="1"/>
  <c r="Q30" i="1"/>
  <c r="B29" i="1"/>
  <c r="Q29" i="1"/>
  <c r="U29" i="1"/>
  <c r="B28" i="1"/>
  <c r="Q28" i="1"/>
  <c r="U28" i="1"/>
  <c r="B27" i="1"/>
  <c r="Q27" i="1"/>
  <c r="U27" i="1"/>
  <c r="B26" i="1"/>
  <c r="Q26" i="1"/>
  <c r="U26" i="1"/>
  <c r="U25" i="1"/>
  <c r="B24" i="1"/>
  <c r="Q24" i="1"/>
  <c r="U24" i="1"/>
  <c r="B23" i="1"/>
  <c r="Q23" i="1"/>
  <c r="U23" i="1"/>
  <c r="B22" i="1"/>
  <c r="Q22" i="1"/>
  <c r="U22" i="1"/>
  <c r="B21" i="1"/>
  <c r="Q21" i="1"/>
  <c r="U21" i="1"/>
  <c r="B20" i="1"/>
  <c r="Q20" i="1"/>
  <c r="U20" i="1"/>
  <c r="B19" i="1"/>
  <c r="Q19" i="1"/>
  <c r="U19" i="1"/>
  <c r="B18" i="1"/>
  <c r="Q18" i="1"/>
  <c r="U18" i="1"/>
  <c r="B17" i="1"/>
  <c r="Q17" i="1"/>
  <c r="U17" i="1"/>
  <c r="B16" i="1"/>
  <c r="Q16" i="1"/>
  <c r="U16" i="1"/>
  <c r="B15" i="1"/>
  <c r="Q15" i="1"/>
  <c r="U15" i="1"/>
  <c r="B14" i="1"/>
  <c r="Q14" i="1"/>
  <c r="B13" i="1"/>
  <c r="Q13" i="1"/>
  <c r="AB13" i="1"/>
  <c r="U13" i="1"/>
  <c r="B12" i="1"/>
  <c r="Q12" i="1"/>
  <c r="AB12" i="1"/>
  <c r="U12" i="1"/>
  <c r="B11" i="1"/>
  <c r="Q11" i="1"/>
  <c r="AB11" i="1"/>
  <c r="U11" i="1"/>
  <c r="B10" i="1"/>
  <c r="Q10" i="1"/>
  <c r="AB10" i="1"/>
  <c r="U10" i="1"/>
  <c r="B9" i="1"/>
  <c r="B8" i="1"/>
  <c r="Q8" i="1"/>
  <c r="B7" i="1"/>
  <c r="Q7" i="1"/>
  <c r="B6" i="1"/>
  <c r="Q6" i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B46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B24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M126" i="1"/>
  <c r="K3" i="4"/>
  <c r="Z125" i="1"/>
  <c r="W125" i="1"/>
  <c r="Y125" i="1"/>
  <c r="V125" i="1"/>
  <c r="R125" i="1"/>
  <c r="U125" i="1"/>
  <c r="P125" i="1"/>
  <c r="Q125" i="1"/>
  <c r="L125" i="1"/>
  <c r="J16" i="4"/>
  <c r="I125" i="1"/>
  <c r="G16" i="4"/>
  <c r="Z124" i="1"/>
  <c r="W124" i="1"/>
  <c r="Y124" i="1"/>
  <c r="V124" i="1"/>
  <c r="R124" i="1"/>
  <c r="U124" i="1"/>
  <c r="P124" i="1"/>
  <c r="Q124" i="1"/>
  <c r="L124" i="1"/>
  <c r="J15" i="4"/>
  <c r="I124" i="1"/>
  <c r="G15" i="4"/>
  <c r="Z123" i="1"/>
  <c r="W123" i="1"/>
  <c r="Y123" i="1"/>
  <c r="V123" i="1"/>
  <c r="R123" i="1"/>
  <c r="U123" i="1"/>
  <c r="P123" i="1"/>
  <c r="Q123" i="1"/>
  <c r="Z122" i="1"/>
  <c r="W122" i="1"/>
  <c r="Y122" i="1"/>
  <c r="V122" i="1"/>
  <c r="R122" i="1"/>
  <c r="U122" i="1"/>
  <c r="P122" i="1"/>
  <c r="Q122" i="1"/>
  <c r="L122" i="1"/>
  <c r="J13" i="4"/>
  <c r="I122" i="1"/>
  <c r="G13" i="4"/>
  <c r="Z121" i="1"/>
  <c r="W121" i="1"/>
  <c r="Y121" i="1"/>
  <c r="V121" i="1"/>
  <c r="R121" i="1"/>
  <c r="U121" i="1"/>
  <c r="P121" i="1"/>
  <c r="Q121" i="1"/>
  <c r="Z120" i="1"/>
  <c r="W120" i="1"/>
  <c r="Y120" i="1"/>
  <c r="V120" i="1"/>
  <c r="R120" i="1"/>
  <c r="U120" i="1"/>
  <c r="P120" i="1"/>
  <c r="Q120" i="1"/>
  <c r="Z119" i="1"/>
  <c r="Z126" i="1"/>
  <c r="W119" i="1"/>
  <c r="V119" i="1"/>
  <c r="V126" i="1"/>
  <c r="G6" i="4"/>
  <c r="R119" i="1"/>
  <c r="P119" i="1"/>
  <c r="L120" i="1"/>
  <c r="J11" i="4"/>
  <c r="L123" i="1"/>
  <c r="J14" i="4"/>
  <c r="L121" i="1"/>
  <c r="J12" i="4"/>
  <c r="L119" i="1"/>
  <c r="J10" i="4"/>
  <c r="N116" i="1"/>
  <c r="N112" i="1"/>
  <c r="N109" i="1"/>
  <c r="N108" i="1"/>
  <c r="N107" i="1"/>
  <c r="N102" i="1"/>
  <c r="N101" i="1"/>
  <c r="N100" i="1"/>
  <c r="N99" i="1"/>
  <c r="N98" i="1"/>
  <c r="N97" i="1"/>
  <c r="N91" i="1"/>
  <c r="N90" i="1"/>
  <c r="N89" i="1"/>
  <c r="N81" i="1"/>
  <c r="N80" i="1"/>
  <c r="N79" i="1"/>
  <c r="N64" i="1"/>
  <c r="N63" i="1"/>
  <c r="N62" i="1"/>
  <c r="N61" i="1"/>
  <c r="N57" i="1"/>
  <c r="N56" i="1"/>
  <c r="N55" i="1"/>
  <c r="N54" i="1"/>
  <c r="N53" i="1"/>
  <c r="N52" i="1"/>
  <c r="N33" i="1"/>
  <c r="N32" i="1"/>
  <c r="N31" i="1"/>
  <c r="N24" i="1"/>
  <c r="N23" i="1"/>
  <c r="N22" i="1"/>
  <c r="O104" i="1"/>
  <c r="K104" i="1"/>
  <c r="O105" i="1"/>
  <c r="K105" i="1"/>
  <c r="AB83" i="1"/>
  <c r="AA83" i="1"/>
  <c r="AB84" i="1"/>
  <c r="AA84" i="1"/>
  <c r="J84" i="1"/>
  <c r="J83" i="1"/>
  <c r="J14" i="1"/>
  <c r="AA58" i="1"/>
  <c r="AB58" i="1"/>
  <c r="J6" i="1"/>
  <c r="J7" i="1"/>
  <c r="J8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K6" i="1"/>
  <c r="K7" i="1"/>
  <c r="K8" i="1"/>
  <c r="K10" i="1"/>
  <c r="O10" i="1"/>
  <c r="K11" i="1"/>
  <c r="O11" i="1"/>
  <c r="K12" i="1"/>
  <c r="O12" i="1"/>
  <c r="K13" i="1"/>
  <c r="O13" i="1"/>
  <c r="K15" i="1"/>
  <c r="O15" i="1"/>
  <c r="K16" i="1"/>
  <c r="O16" i="1"/>
  <c r="K17" i="1"/>
  <c r="O17" i="1"/>
  <c r="K18" i="1"/>
  <c r="O18" i="1"/>
  <c r="K19" i="1"/>
  <c r="O19" i="1"/>
  <c r="K20" i="1"/>
  <c r="O20" i="1"/>
  <c r="K21" i="1"/>
  <c r="O21" i="1"/>
  <c r="K22" i="1"/>
  <c r="O22" i="1"/>
  <c r="K23" i="1"/>
  <c r="O23" i="1"/>
  <c r="K24" i="1"/>
  <c r="O24" i="1"/>
  <c r="K25" i="1"/>
  <c r="O25" i="1"/>
  <c r="K26" i="1"/>
  <c r="O26" i="1"/>
  <c r="K27" i="1"/>
  <c r="O27" i="1"/>
  <c r="K28" i="1"/>
  <c r="O28" i="1"/>
  <c r="K29" i="1"/>
  <c r="O29" i="1"/>
  <c r="K31" i="1"/>
  <c r="O31" i="1"/>
  <c r="K32" i="1"/>
  <c r="O32" i="1"/>
  <c r="K33" i="1"/>
  <c r="O33" i="1"/>
  <c r="K34" i="1"/>
  <c r="O34" i="1"/>
  <c r="K35" i="1"/>
  <c r="O35" i="1"/>
  <c r="K36" i="1"/>
  <c r="O36" i="1"/>
  <c r="K37" i="1"/>
  <c r="O37" i="1"/>
  <c r="K38" i="1"/>
  <c r="O38" i="1"/>
  <c r="K39" i="1"/>
  <c r="O39" i="1"/>
  <c r="K40" i="1"/>
  <c r="O40" i="1"/>
  <c r="K41" i="1"/>
  <c r="O41" i="1"/>
  <c r="K42" i="1"/>
  <c r="O42" i="1"/>
  <c r="K43" i="1"/>
  <c r="O43" i="1"/>
  <c r="K44" i="1"/>
  <c r="O44" i="1"/>
  <c r="K45" i="1"/>
  <c r="O45" i="1"/>
  <c r="K46" i="1"/>
  <c r="O46" i="1"/>
  <c r="K47" i="1"/>
  <c r="O47" i="1"/>
  <c r="K48" i="1"/>
  <c r="O48" i="1"/>
  <c r="K49" i="1"/>
  <c r="K50" i="1"/>
  <c r="K52" i="1"/>
  <c r="O52" i="1"/>
  <c r="K53" i="1"/>
  <c r="O53" i="1"/>
  <c r="K54" i="1"/>
  <c r="O54" i="1"/>
  <c r="K55" i="1"/>
  <c r="O55" i="1"/>
  <c r="K56" i="1"/>
  <c r="O56" i="1"/>
  <c r="K57" i="1"/>
  <c r="O57" i="1"/>
  <c r="K58" i="1"/>
  <c r="O58" i="1"/>
  <c r="K59" i="1"/>
  <c r="O59" i="1"/>
  <c r="K60" i="1"/>
  <c r="O60" i="1"/>
  <c r="K61" i="1"/>
  <c r="O61" i="1"/>
  <c r="K62" i="1"/>
  <c r="O62" i="1"/>
  <c r="K63" i="1"/>
  <c r="O63" i="1"/>
  <c r="K64" i="1"/>
  <c r="O64" i="1"/>
  <c r="K65" i="1"/>
  <c r="O65" i="1"/>
  <c r="K66" i="1"/>
  <c r="O66" i="1"/>
  <c r="K67" i="1"/>
  <c r="O67" i="1"/>
  <c r="K68" i="1"/>
  <c r="O68" i="1"/>
  <c r="K69" i="1"/>
  <c r="O69" i="1"/>
  <c r="K70" i="1"/>
  <c r="O70" i="1"/>
  <c r="K71" i="1"/>
  <c r="O71" i="1"/>
  <c r="K72" i="1"/>
  <c r="O72" i="1"/>
  <c r="K73" i="1"/>
  <c r="O73" i="1"/>
  <c r="K74" i="1"/>
  <c r="O74" i="1"/>
  <c r="K75" i="1"/>
  <c r="O75" i="1"/>
  <c r="K76" i="1"/>
  <c r="O76" i="1"/>
  <c r="K77" i="1"/>
  <c r="O77" i="1"/>
  <c r="K79" i="1"/>
  <c r="O79" i="1"/>
  <c r="K80" i="1"/>
  <c r="O80" i="1"/>
  <c r="K81" i="1"/>
  <c r="O81" i="1"/>
  <c r="K85" i="1"/>
  <c r="O85" i="1"/>
  <c r="K86" i="1"/>
  <c r="O86" i="1"/>
  <c r="K87" i="1"/>
  <c r="O87" i="1"/>
  <c r="K89" i="1"/>
  <c r="O89" i="1"/>
  <c r="K90" i="1"/>
  <c r="O90" i="1"/>
  <c r="K91" i="1"/>
  <c r="O91" i="1"/>
  <c r="K92" i="1"/>
  <c r="O92" i="1"/>
  <c r="K93" i="1"/>
  <c r="O93" i="1"/>
  <c r="K94" i="1"/>
  <c r="O94" i="1"/>
  <c r="K97" i="1"/>
  <c r="O97" i="1"/>
  <c r="K98" i="1"/>
  <c r="O98" i="1"/>
  <c r="K99" i="1"/>
  <c r="O99" i="1"/>
  <c r="K100" i="1"/>
  <c r="O100" i="1"/>
  <c r="K101" i="1"/>
  <c r="O101" i="1"/>
  <c r="K102" i="1"/>
  <c r="O102" i="1"/>
  <c r="K106" i="1"/>
  <c r="O106" i="1"/>
  <c r="K107" i="1"/>
  <c r="O107" i="1"/>
  <c r="K108" i="1"/>
  <c r="O108" i="1"/>
  <c r="K109" i="1"/>
  <c r="O109" i="1"/>
  <c r="K110" i="1"/>
  <c r="O110" i="1"/>
  <c r="K111" i="1"/>
  <c r="O111" i="1"/>
  <c r="K112" i="1"/>
  <c r="O112" i="1"/>
  <c r="K113" i="1"/>
  <c r="O113" i="1"/>
  <c r="K115" i="1"/>
  <c r="O115" i="1"/>
  <c r="K116" i="1"/>
  <c r="O116" i="1"/>
  <c r="K117" i="1"/>
  <c r="O117" i="1"/>
  <c r="Q9" i="1"/>
  <c r="J9" i="1"/>
  <c r="L42" i="2"/>
  <c r="AB6" i="1"/>
  <c r="AB7" i="1"/>
  <c r="AB8" i="1"/>
  <c r="AB14" i="1"/>
  <c r="U14" i="1" s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O49" i="1"/>
  <c r="AB50" i="1"/>
  <c r="O50" i="1"/>
  <c r="AB51" i="1"/>
  <c r="AB52" i="1"/>
  <c r="AB53" i="1"/>
  <c r="AB54" i="1"/>
  <c r="AB55" i="1"/>
  <c r="AB56" i="1"/>
  <c r="AB57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A119" i="1"/>
  <c r="J119" i="1"/>
  <c r="H10" i="4"/>
  <c r="L126" i="1"/>
  <c r="J3" i="4"/>
  <c r="AB119" i="1"/>
  <c r="O119" i="1"/>
  <c r="L10" i="4"/>
  <c r="P126" i="1"/>
  <c r="G7" i="4"/>
  <c r="Q119" i="1"/>
  <c r="Q126" i="1"/>
  <c r="H7" i="4"/>
  <c r="R126" i="1"/>
  <c r="J7" i="4"/>
  <c r="U119" i="1"/>
  <c r="W126" i="1"/>
  <c r="J6" i="4"/>
  <c r="Y119" i="1"/>
  <c r="AA120" i="1"/>
  <c r="J120" i="1"/>
  <c r="AB120" i="1"/>
  <c r="O120" i="1"/>
  <c r="L11" i="4"/>
  <c r="AA121" i="1"/>
  <c r="J121" i="1"/>
  <c r="AB121" i="1"/>
  <c r="O121" i="1"/>
  <c r="L12" i="4"/>
  <c r="AA122" i="1"/>
  <c r="J122" i="1"/>
  <c r="AB122" i="1"/>
  <c r="O122" i="1"/>
  <c r="L13" i="4"/>
  <c r="AA123" i="1"/>
  <c r="J123" i="1"/>
  <c r="AB123" i="1"/>
  <c r="O123" i="1"/>
  <c r="L14" i="4"/>
  <c r="AA124" i="1"/>
  <c r="J124" i="1"/>
  <c r="AB124" i="1"/>
  <c r="O124" i="1"/>
  <c r="L15" i="4"/>
  <c r="AA125" i="1"/>
  <c r="J125" i="1"/>
  <c r="AB125" i="1"/>
  <c r="O125" i="1"/>
  <c r="L16" i="4"/>
  <c r="O8" i="1"/>
  <c r="U8" i="1"/>
  <c r="O7" i="1"/>
  <c r="U7" i="1"/>
  <c r="O6" i="1"/>
  <c r="U6" i="1"/>
  <c r="O83" i="1"/>
  <c r="K83" i="1"/>
  <c r="O84" i="1"/>
  <c r="K84" i="1"/>
  <c r="O14" i="1"/>
  <c r="K14" i="1"/>
  <c r="I16" i="4"/>
  <c r="H16" i="4"/>
  <c r="I15" i="4"/>
  <c r="H15" i="4"/>
  <c r="I14" i="4"/>
  <c r="H14" i="4"/>
  <c r="I13" i="4"/>
  <c r="H13" i="4"/>
  <c r="I12" i="4"/>
  <c r="H12" i="4"/>
  <c r="I11" i="4"/>
  <c r="H11" i="4"/>
  <c r="AA126" i="1"/>
  <c r="G3" i="4"/>
  <c r="Y127" i="1"/>
  <c r="Y126" i="1"/>
  <c r="L6" i="4"/>
  <c r="U126" i="1"/>
  <c r="L7" i="4"/>
  <c r="AB126" i="1"/>
  <c r="O126" i="1"/>
  <c r="L3" i="4"/>
  <c r="J126" i="1"/>
  <c r="H3" i="4"/>
  <c r="I3" i="4"/>
  <c r="I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tc={D12E88C0-5F11-4859-94F9-2082A8684976}</author>
  </authors>
  <commentList>
    <comment ref="M15" authorId="0" shapeId="0" xr:uid="{D12E88C0-5F11-4859-94F9-2082A86849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Budget is $50k per performance</t>
      </text>
    </comment>
  </commentList>
</comments>
</file>

<file path=xl/sharedStrings.xml><?xml version="1.0" encoding="utf-8"?>
<sst xmlns="http://schemas.openxmlformats.org/spreadsheetml/2006/main" count="867" uniqueCount="427">
  <si>
    <t>Status:</t>
  </si>
  <si>
    <t>Updated 8.25</t>
  </si>
  <si>
    <t>Update all fields in Blue each week</t>
  </si>
  <si>
    <t>We expect 50% of Single Sales 1 Week Prior</t>
  </si>
  <si>
    <t>85%+ occupancy</t>
  </si>
  <si>
    <t>95%+ of Budget</t>
  </si>
  <si>
    <t>Denotes Piazza</t>
  </si>
  <si>
    <t xml:space="preserve"> </t>
  </si>
  <si>
    <t>70-85% occupancy</t>
  </si>
  <si>
    <t>85-95% of Budget</t>
  </si>
  <si>
    <t>Week #</t>
  </si>
  <si>
    <t>&lt;70% occupancy</t>
  </si>
  <si>
    <t>&lt;85% of Budget</t>
  </si>
  <si>
    <t>TICKET SALES REPORT as of 8/25/2025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</si>
  <si>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</si>
  <si>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</si>
  <si>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</si>
  <si>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</si>
  <si>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</si>
  <si>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</si>
  <si>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</si>
  <si>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</si>
  <si>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</si>
  <si>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</si>
  <si>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</si>
  <si>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</si>
  <si>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</si>
  <si>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Actual Tickets Sold</t>
  </si>
  <si>
    <t>Projected Single Tickets + Actual Subs</t>
  </si>
  <si>
    <t>Projected Occupancy at Performance</t>
  </si>
  <si>
    <t>Total Actual Revenue</t>
  </si>
  <si>
    <t>TOTAL BUDGET</t>
  </si>
  <si>
    <t>Actual/
Budget %</t>
  </si>
  <si>
    <t>Projected/ Budget %</t>
  </si>
  <si>
    <t>Projected Tickets</t>
  </si>
  <si>
    <t>Actual Revenue</t>
  </si>
  <si>
    <t>BUDGET</t>
  </si>
  <si>
    <t>Actual vs Budget %</t>
  </si>
  <si>
    <t>Max CAP</t>
  </si>
  <si>
    <t>Actual OCC SOLD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</si>
  <si>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</si>
  <si>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</si>
  <si>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</si>
  <si>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</si>
  <si>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</si>
  <si>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</si>
  <si>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</si>
  <si>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</si>
  <si>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</si>
  <si>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</si>
  <si>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</si>
  <si>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</si>
  <si>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</si>
  <si>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Chicken Fried</t>
  </si>
  <si>
    <t>26 CS01 Appalachian Spring</t>
  </si>
  <si>
    <t>Classical</t>
  </si>
  <si>
    <t>26 Top Gun: Maverick in Concert</t>
  </si>
  <si>
    <t>Specials/Film</t>
  </si>
  <si>
    <t>26 The Lodger</t>
  </si>
  <si>
    <t>26 PS2 Night of Symphonic 90s</t>
  </si>
  <si>
    <t>26 On-Stage 1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</si>
  <si>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</si>
  <si>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</si>
  <si>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</si>
  <si>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</si>
  <si>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</si>
  <si>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</si>
  <si>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</si>
  <si>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</si>
  <si>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</si>
  <si>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</si>
  <si>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</si>
  <si>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</si>
  <si>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</si>
  <si>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</si>
  <si>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</si>
  <si>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</si>
  <si>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</si>
  <si>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</si>
  <si>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</si>
  <si>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</si>
  <si>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</si>
  <si>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</si>
  <si>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</si>
  <si>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</si>
  <si>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</si>
  <si>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</si>
  <si>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</si>
  <si>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</si>
  <si>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</si>
  <si>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</si>
  <si>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</si>
  <si>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</si>
  <si>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</si>
  <si>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</t>
  </si>
  <si>
    <t>26 CS12 Gil Shaham Plays Brahm's 4th</t>
  </si>
  <si>
    <t>27 CS12 Gil Shaham Plays Brahm's 4th</t>
  </si>
  <si>
    <t>28 CS12 Gil Shaham Plays Brahm's 4th</t>
  </si>
  <si>
    <t>26 On-Stage 4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</si>
  <si>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</si>
  <si>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</si>
  <si>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</si>
  <si>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</si>
  <si>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</si>
  <si>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</si>
  <si>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</si>
  <si>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</si>
  <si>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</si>
  <si>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</si>
  <si>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</si>
  <si>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</si>
  <si>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</si>
  <si>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</si>
  <si>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</si>
  <si>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</si>
  <si>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</si>
  <si>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</si>
  <si>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</si>
  <si>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</si>
  <si>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</si>
  <si>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</si>
  <si>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</si>
  <si>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</si>
  <si>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</si>
  <si>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</si>
  <si>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</si>
  <si>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</si>
  <si>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</si>
  <si>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</si>
  <si>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</si>
  <si>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</si>
  <si>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</si>
  <si>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</si>
  <si>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</si>
  <si>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</si>
  <si>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</si>
  <si>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</si>
  <si>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</si>
  <si>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</si>
  <si>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</si>
  <si>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</si>
  <si>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</si>
  <si>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</si>
  <si>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</si>
  <si>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</si>
  <si>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</si>
  <si>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</si>
  <si>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</si>
  <si>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Renewal as % of 24-25 Total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</si>
  <si>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</si>
  <si>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</si>
  <si>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</si>
  <si>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</si>
  <si>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</si>
  <si>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</si>
  <si>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</si>
  <si>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</si>
  <si>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</si>
  <si>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</si>
  <si>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</si>
  <si>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</si>
  <si>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</si>
  <si>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</si>
  <si>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</si>
  <si>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</si>
  <si>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</si>
  <si>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</si>
  <si>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</si>
  <si>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</si>
  <si>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</si>
  <si>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</si>
  <si>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</si>
  <si>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</si>
  <si>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</si>
  <si>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</si>
  <si>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</si>
  <si>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</si>
  <si>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</si>
  <si>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</si>
  <si>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</si>
  <si>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</si>
  <si>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</si>
  <si>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</si>
  <si>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</si>
  <si>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</si>
  <si>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</si>
  <si>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</si>
  <si>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</si>
  <si>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</si>
  <si>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</si>
  <si>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</si>
  <si>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</si>
  <si>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</si>
  <si>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</si>
  <si>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</si>
  <si>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</si>
  <si>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</si>
  <si>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</si>
  <si>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</si>
  <si>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</si>
  <si>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</si>
  <si>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</si>
  <si>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</si>
  <si>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</si>
  <si>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</si>
  <si>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</si>
  <si>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</si>
  <si>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</si>
  <si>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</si>
  <si>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</si>
  <si>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</si>
  <si>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</si>
  <si>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</si>
  <si>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</si>
  <si>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</si>
  <si>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</si>
  <si>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</si>
  <si>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</si>
  <si>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</si>
  <si>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</si>
  <si>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</si>
  <si>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New Subs</t>
  </si>
  <si>
    <t>Renewal Subs</t>
  </si>
  <si>
    <t># Weeks On Sale</t>
  </si>
  <si>
    <t># Weeks Until Performance</t>
  </si>
  <si>
    <t>Other</t>
  </si>
  <si>
    <t>Extend data for single ticket sales beyond 6 weeks</t>
  </si>
  <si>
    <t>Differentiate single ticket sales by performance type</t>
  </si>
  <si>
    <t>Improve pacing data (always)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</si>
  <si>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</si>
  <si>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</si>
  <si>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</si>
  <si>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</si>
  <si>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</si>
  <si>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</si>
  <si>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</si>
  <si>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</si>
  <si>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</si>
  <si>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</si>
  <si>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</si>
  <si>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</si>
  <si>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</si>
  <si>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</si>
  <si>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</si>
  <si>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</si>
  <si>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DATE</t>
  </si>
  <si>
    <t>Social Post</t>
  </si>
  <si>
    <t>Views</t>
  </si>
  <si>
    <t>Engagement</t>
  </si>
  <si>
    <t>Chicken Fried IG</t>
  </si>
  <si>
    <t>11 interactions</t>
  </si>
  <si>
    <t>Chicken Fried FB</t>
  </si>
  <si>
    <t>15 interactions, 6 link clicks</t>
  </si>
  <si>
    <t>Journey Reel IG</t>
  </si>
  <si>
    <t>16 interactions</t>
  </si>
  <si>
    <t>Journey Reel FB</t>
  </si>
  <si>
    <t>12 interactions</t>
  </si>
  <si>
    <t>KC Blues Society Video IG</t>
  </si>
  <si>
    <t>32 interactions</t>
  </si>
  <si>
    <t>KC Blues Society Video FB</t>
  </si>
  <si>
    <t>19 interactions, 61 link clicks</t>
  </si>
  <si>
    <t>CS1 Nora Video IG</t>
  </si>
  <si>
    <t>42 interactions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</si>
  <si>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</si>
  <si>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</si>
  <si>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</si>
  <si>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</si>
  <si>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</si>
  <si>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</si>
  <si>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</si>
  <si>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</si>
  <si>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65 interactions</t>
  </si>
  <si>
    <t>Nora Intro FB</t>
  </si>
  <si>
    <t>31 interactions</t>
  </si>
  <si>
    <t>Journey Graphic IG</t>
  </si>
  <si>
    <t>29 interactions</t>
  </si>
  <si>
    <t>Journey Graphic FB</t>
  </si>
  <si>
    <t>28 interactions, 22 link clicks</t>
  </si>
  <si>
    <t>Meta Ads</t>
  </si>
  <si>
    <t>7/30-8/13</t>
  </si>
  <si>
    <t>Morgan Freeman video</t>
  </si>
  <si>
    <t>88,119 impressions</t>
  </si>
  <si>
    <t>3,269 link clicks</t>
  </si>
  <si>
    <t>Ends 8/22</t>
  </si>
  <si>
    <t>Music of Journey</t>
  </si>
  <si>
    <t>56,165 impressions</t>
  </si>
  <si>
    <t>3,537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</si>
  <si>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</si>
  <si>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</si>
  <si>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</si>
  <si>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</si>
  <si>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</si>
  <si>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</si>
  <si>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</si>
  <si>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</si>
  <si>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</si>
  <si>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>13 interactions</t>
  </si>
  <si>
    <t xml:space="preserve"> Music is for Everyone IG Reel</t>
  </si>
  <si>
    <t>36 interactions</t>
  </si>
  <si>
    <t xml:space="preserve"> Music is for Everyone TikTok</t>
  </si>
  <si>
    <t>Are you single? FB Reel</t>
  </si>
  <si>
    <t>22 interactions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</si>
  <si>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</si>
  <si>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</si>
  <si>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</si>
  <si>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</si>
  <si>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</si>
  <si>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</si>
  <si>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</si>
  <si>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</si>
  <si>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</si>
  <si>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</si>
  <si>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</si>
  <si>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</si>
  <si>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</si>
  <si>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</si>
  <si>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</si>
  <si>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24 interactions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</si>
  <si>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</si>
  <si>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</si>
  <si>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</si>
  <si>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</si>
  <si>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</si>
  <si>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</si>
  <si>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</si>
  <si>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51 interactions</t>
  </si>
  <si>
    <t>Music is for Everyone YT</t>
  </si>
  <si>
    <t>Specials/Films ad</t>
  </si>
  <si>
    <t>1k impressions</t>
  </si>
  <si>
    <t xml:space="preserve">18 clicks </t>
  </si>
  <si>
    <t>22k impressions</t>
  </si>
  <si>
    <t>1234 link clicks</t>
  </si>
  <si>
    <t>Holiday concerts ad</t>
  </si>
  <si>
    <t>68k impressions</t>
  </si>
  <si>
    <t>1011 link clicks</t>
  </si>
  <si>
    <t>EMAILS SENT</t>
  </si>
  <si>
    <t>DELIVERIES</t>
  </si>
  <si>
    <t>OPENS</t>
  </si>
  <si>
    <t>CLICK RATE</t>
  </si>
  <si>
    <t>8/20 Bi-weekly Merchandise Email</t>
  </si>
  <si>
    <t>35,125 (37%)</t>
  </si>
  <si>
    <t>754 (1%)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</si>
  <si>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</si>
  <si>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</si>
  <si>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</si>
  <si>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</si>
  <si>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</si>
  <si>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</si>
  <si>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</si>
  <si>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</si>
  <si>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</si>
  <si>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</si>
  <si>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</si>
  <si>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</si>
  <si>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</si>
  <si>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</si>
  <si>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</si>
  <si>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</si>
  <si>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</si>
  <si>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</si>
  <si>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</si>
  <si>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</si>
  <si>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  <family val="2"/>
      </rPr>
      <t xml:space="preserve">Tuesday 7/1 </t>
    </r>
    <r>
      <rPr>
        <b/>
        <sz val="10"/>
        <color rgb="FF000000"/>
        <rFont val="Arial"/>
        <family val="2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</si>
  <si>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</si>
  <si>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</si>
  <si>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</si>
  <si>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  <family val="2"/>
      </rPr>
      <t xml:space="preserve">Tuesday 6/25 </t>
    </r>
    <r>
      <rPr>
        <b/>
        <sz val="10"/>
        <color rgb="FF000000"/>
        <rFont val="Arial"/>
        <family val="2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</si>
  <si>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</si>
  <si>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</si>
  <si>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</si>
  <si>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  <family val="2"/>
      </rPr>
      <t xml:space="preserve">Tuesday 6/17 </t>
    </r>
    <r>
      <rPr>
        <b/>
        <sz val="10"/>
        <color rgb="FF000000"/>
        <rFont val="Arial"/>
        <family val="2"/>
      </rPr>
      <t>Mark Your Calendar</t>
    </r>
  </si>
  <si>
    <t>37,343 (39%)</t>
  </si>
  <si>
    <t>1,999 (2%)</t>
  </si>
  <si>
    <r>
      <rPr>
        <sz val="10"/>
        <color rgb="FF000000"/>
        <rFont val="Arial"/>
        <family val="2"/>
      </rPr>
      <t xml:space="preserve">Monday 6/9 </t>
    </r>
    <r>
      <rPr>
        <b/>
        <sz val="10"/>
        <color rgb="FF000000"/>
        <rFont val="Arial"/>
        <family val="2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</si>
  <si>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</si>
  <si>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</si>
  <si>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</si>
  <si>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Rush Promo</t>
    </r>
  </si>
  <si>
    <t>77 (44%)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</si>
  <si>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Pass Promo</t>
    </r>
  </si>
  <si>
    <t>38 (47%)</t>
  </si>
  <si>
    <t>AVERAGE OPEN RATE: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</si>
  <si>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BOGO Promo</t>
    </r>
  </si>
  <si>
    <t>2,165 (44%)</t>
  </si>
  <si>
    <t>65 (1%)</t>
  </si>
  <si>
    <r>
      <rPr>
        <sz val="10"/>
        <color rgb="FF000000"/>
        <rFont val="Arial"/>
        <family val="2"/>
      </rPr>
      <t>Wednesday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6/4</t>
    </r>
    <r>
      <rPr>
        <b/>
        <sz val="10"/>
        <color rgb="FF000000"/>
        <rFont val="Arial"/>
        <family val="2"/>
      </rPr>
      <t xml:space="preserve"> Four Larks Subscriber Early Access</t>
    </r>
  </si>
  <si>
    <t>1,452 (66.5%)</t>
  </si>
  <si>
    <t>135 (6.2%)</t>
  </si>
  <si>
    <t>AVERAGE CLICK RATE:</t>
  </si>
  <si>
    <r>
      <rPr>
        <sz val="10"/>
        <color rgb="FF000000"/>
        <rFont val="Arial"/>
        <family val="2"/>
      </rPr>
      <t>Friday 6/6</t>
    </r>
    <r>
      <rPr>
        <b/>
        <sz val="10"/>
        <color rgb="FF000000"/>
        <rFont val="Arial"/>
        <family val="2"/>
      </rPr>
      <t xml:space="preserve"> Four Lark Public On-Sale</t>
    </r>
  </si>
  <si>
    <t>35,136 (36%)</t>
  </si>
  <si>
    <t>616 (0.6%)</t>
  </si>
  <si>
    <t>Timeframe: August 11-18</t>
  </si>
  <si>
    <t>ECOMMERCE PURCHASES: 877</t>
  </si>
  <si>
    <t>WEBSITE REVENUE: $74,429</t>
  </si>
  <si>
    <t># OF ITEMS</t>
  </si>
  <si>
    <t>Morgan Freeman</t>
  </si>
  <si>
    <t>Top Gun</t>
  </si>
  <si>
    <t>Leslie Odom Jr.</t>
  </si>
  <si>
    <t>Indiana Jones</t>
  </si>
  <si>
    <t>Elf in Concert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</si>
  <si>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</si>
  <si>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</si>
  <si>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</si>
  <si>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</si>
  <si>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</si>
  <si>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</si>
  <si>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Christmas Festival</t>
  </si>
  <si>
    <t>La nuit sombre</t>
  </si>
  <si>
    <t>Harry Potter 2</t>
  </si>
  <si>
    <t>ECOMMERCE PURCHASES: 1,718</t>
  </si>
  <si>
    <t>WEBSITE REVENUE: $115,644</t>
  </si>
  <si>
    <t>2025/26 Sunday Masterworks</t>
  </si>
  <si>
    <t>Handel's Messiah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</si>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</sst>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40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  <family val="2"/>
    </font>
    <font>
      <b/>
      <sz val="11"/>
      <color theme="1"/>
      <name val="Aptos Narrow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2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  <family val="2"/>
    </font>
    <font>
      <sz val="11"/>
      <color rgb="FF000000"/>
      <name val="Aptos Display"/>
      <family val="2"/>
      <scheme val="major"/>
    </font>
    <font>
      <b/>
      <u/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</fonts>
  <fills count="32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410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1" fillId="0" borderId="1" xfId="0" applyFont="1" applyBorder="1"/>
    <xf numFmtId="0" fontId="3" fillId="4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5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1" borderId="8" xfId="0" applyFont="1" applyFill="1" applyBorder="1"/>
    <xf numFmtId="0" fontId="1" fillId="11" borderId="9" xfId="0" applyFont="1" applyFill="1" applyBorder="1"/>
    <xf numFmtId="164" fontId="2" fillId="12" borderId="10" xfId="1" applyNumberFormat="1" applyFont="1" applyFill="1" applyBorder="1" applyAlignment="1">
      <alignment horizontal="center"/>
    </xf>
    <xf numFmtId="164" fontId="2" fillId="12" borderId="9" xfId="1" applyNumberFormat="1" applyFont="1" applyFill="1" applyBorder="1" applyAlignment="1">
      <alignment horizontal="center"/>
    </xf>
    <xf numFmtId="165" fontId="2" fillId="12" borderId="9" xfId="2" applyNumberFormat="1" applyFont="1" applyFill="1" applyBorder="1" applyAlignment="1">
      <alignment horizontal="center"/>
    </xf>
    <xf numFmtId="165" fontId="2" fillId="12" borderId="10" xfId="2" applyNumberFormat="1" applyFont="1" applyFill="1" applyBorder="1" applyAlignment="1">
      <alignment horizontal="center"/>
    </xf>
    <xf numFmtId="9" fontId="2" fillId="12" borderId="9" xfId="3" applyFont="1" applyFill="1" applyBorder="1" applyAlignment="1">
      <alignment horizontal="center"/>
    </xf>
    <xf numFmtId="165" fontId="2" fillId="12" borderId="9" xfId="2" applyNumberFormat="1" applyFont="1" applyFill="1" applyBorder="1"/>
    <xf numFmtId="1" fontId="2" fillId="12" borderId="10" xfId="1" applyNumberFormat="1" applyFont="1" applyFill="1" applyBorder="1" applyAlignment="1">
      <alignment horizontal="right"/>
    </xf>
    <xf numFmtId="1" fontId="2" fillId="12" borderId="9" xfId="1" applyNumberFormat="1" applyFont="1" applyFill="1" applyBorder="1" applyAlignment="1">
      <alignment horizontal="right"/>
    </xf>
    <xf numFmtId="1" fontId="2" fillId="12" borderId="11" xfId="1" applyNumberFormat="1" applyFont="1" applyFill="1" applyBorder="1" applyAlignment="1">
      <alignment horizontal="right"/>
    </xf>
    <xf numFmtId="165" fontId="2" fillId="12" borderId="12" xfId="2" applyNumberFormat="1" applyFont="1" applyFill="1" applyBorder="1"/>
    <xf numFmtId="165" fontId="2" fillId="12" borderId="9" xfId="2" applyNumberFormat="1" applyFont="1" applyFill="1" applyBorder="1" applyAlignment="1">
      <alignment horizontal="right"/>
    </xf>
    <xf numFmtId="9" fontId="2" fillId="12" borderId="12" xfId="3" applyFont="1" applyFill="1" applyBorder="1" applyAlignment="1">
      <alignment horizontal="center"/>
    </xf>
    <xf numFmtId="0" fontId="2" fillId="11" borderId="12" xfId="0" applyFont="1" applyFill="1" applyBorder="1"/>
    <xf numFmtId="0" fontId="1" fillId="11" borderId="12" xfId="0" applyFont="1" applyFill="1" applyBorder="1"/>
    <xf numFmtId="165" fontId="2" fillId="12" borderId="12" xfId="2" applyNumberFormat="1" applyFont="1" applyFill="1" applyBorder="1" applyAlignment="1">
      <alignment horizontal="right"/>
    </xf>
    <xf numFmtId="165" fontId="2" fillId="12" borderId="6" xfId="2" applyNumberFormat="1" applyFont="1" applyFill="1" applyBorder="1" applyAlignment="1">
      <alignment horizontal="center"/>
    </xf>
    <xf numFmtId="1" fontId="2" fillId="12" borderId="6" xfId="1" applyNumberFormat="1" applyFont="1" applyFill="1" applyBorder="1" applyAlignment="1">
      <alignment horizontal="right"/>
    </xf>
    <xf numFmtId="1" fontId="2" fillId="12" borderId="12" xfId="1" applyNumberFormat="1" applyFont="1" applyFill="1" applyBorder="1" applyAlignment="1">
      <alignment horizontal="right"/>
    </xf>
    <xf numFmtId="1" fontId="2" fillId="12" borderId="13" xfId="1" applyNumberFormat="1" applyFont="1" applyFill="1" applyBorder="1" applyAlignment="1">
      <alignment horizontal="right"/>
    </xf>
    <xf numFmtId="165" fontId="2" fillId="12" borderId="12" xfId="2" applyNumberFormat="1" applyFont="1" applyFill="1" applyBorder="1" applyAlignment="1">
      <alignment horizontal="center"/>
    </xf>
    <xf numFmtId="0" fontId="2" fillId="11" borderId="9" xfId="0" applyFont="1" applyFill="1" applyBorder="1"/>
    <xf numFmtId="1" fontId="2" fillId="12" borderId="14" xfId="1" applyNumberFormat="1" applyFont="1" applyFill="1" applyBorder="1" applyAlignment="1">
      <alignment horizontal="right"/>
    </xf>
    <xf numFmtId="0" fontId="17" fillId="0" borderId="0" xfId="0" applyFont="1"/>
    <xf numFmtId="0" fontId="18" fillId="13" borderId="8" xfId="0" applyFont="1" applyFill="1" applyBorder="1"/>
    <xf numFmtId="0" fontId="18" fillId="13" borderId="9" xfId="0" applyFont="1" applyFill="1" applyBorder="1"/>
    <xf numFmtId="164" fontId="18" fillId="13" borderId="10" xfId="1" applyNumberFormat="1" applyFont="1" applyFill="1" applyBorder="1"/>
    <xf numFmtId="165" fontId="18" fillId="13" borderId="10" xfId="2" applyNumberFormat="1" applyFont="1" applyFill="1" applyBorder="1"/>
    <xf numFmtId="165" fontId="18" fillId="13" borderId="10" xfId="2" applyNumberFormat="1" applyFont="1" applyFill="1" applyBorder="1" applyAlignment="1">
      <alignment horizontal="center"/>
    </xf>
    <xf numFmtId="165" fontId="18" fillId="13" borderId="9" xfId="2" applyNumberFormat="1" applyFont="1" applyFill="1" applyBorder="1" applyAlignment="1">
      <alignment horizontal="right"/>
    </xf>
    <xf numFmtId="3" fontId="18" fillId="13" borderId="10" xfId="1" applyNumberFormat="1" applyFont="1" applyFill="1" applyBorder="1" applyAlignment="1">
      <alignment horizontal="center"/>
    </xf>
    <xf numFmtId="9" fontId="18" fillId="13" borderId="9" xfId="3" applyFont="1" applyFill="1" applyBorder="1" applyAlignment="1">
      <alignment horizontal="center"/>
    </xf>
    <xf numFmtId="165" fontId="18" fillId="13" borderId="9" xfId="2" applyNumberFormat="1" applyFont="1" applyFill="1" applyBorder="1"/>
    <xf numFmtId="1" fontId="18" fillId="13" borderId="10" xfId="1" applyNumberFormat="1" applyFont="1" applyFill="1" applyBorder="1" applyAlignment="1">
      <alignment horizontal="right"/>
    </xf>
    <xf numFmtId="1" fontId="18" fillId="13" borderId="9" xfId="1" applyNumberFormat="1" applyFont="1" applyFill="1" applyBorder="1" applyAlignment="1">
      <alignment horizontal="right"/>
    </xf>
    <xf numFmtId="1" fontId="18" fillId="13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9" fillId="0" borderId="0" xfId="4"/>
    <xf numFmtId="0" fontId="19" fillId="10" borderId="0" xfId="4" applyFill="1"/>
    <xf numFmtId="9" fontId="19" fillId="9" borderId="0" xfId="4" applyNumberFormat="1" applyFill="1"/>
    <xf numFmtId="0" fontId="19" fillId="9" borderId="0" xfId="4" applyFill="1"/>
    <xf numFmtId="0" fontId="19" fillId="14" borderId="0" xfId="4" applyFill="1"/>
    <xf numFmtId="9" fontId="19" fillId="15" borderId="0" xfId="4" applyNumberFormat="1" applyFill="1"/>
    <xf numFmtId="0" fontId="19" fillId="15" borderId="0" xfId="4" applyFill="1"/>
    <xf numFmtId="0" fontId="19" fillId="16" borderId="0" xfId="4" applyFill="1"/>
    <xf numFmtId="9" fontId="19" fillId="0" borderId="0" xfId="4" applyNumberFormat="1"/>
    <xf numFmtId="164" fontId="19" fillId="0" borderId="0" xfId="4" applyNumberFormat="1"/>
    <xf numFmtId="168" fontId="19" fillId="0" borderId="0" xfId="4" applyNumberFormat="1"/>
    <xf numFmtId="165" fontId="19" fillId="0" borderId="0" xfId="4" applyNumberFormat="1"/>
    <xf numFmtId="0" fontId="19" fillId="0" borderId="16" xfId="4" applyBorder="1" applyAlignment="1">
      <alignment horizontal="center"/>
    </xf>
    <xf numFmtId="0" fontId="21" fillId="0" borderId="0" xfId="4" applyFont="1"/>
    <xf numFmtId="0" fontId="19" fillId="0" borderId="15" xfId="4" applyBorder="1"/>
    <xf numFmtId="164" fontId="19" fillId="0" borderId="15" xfId="4" applyNumberFormat="1" applyBorder="1"/>
    <xf numFmtId="165" fontId="19" fillId="0" borderId="15" xfId="4" applyNumberFormat="1" applyBorder="1"/>
    <xf numFmtId="0" fontId="21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1" fillId="0" borderId="15" xfId="4" applyNumberFormat="1" applyFont="1" applyBorder="1"/>
    <xf numFmtId="14" fontId="19" fillId="0" borderId="0" xfId="4" applyNumberFormat="1"/>
    <xf numFmtId="164" fontId="0" fillId="10" borderId="0" xfId="5" applyNumberFormat="1" applyFont="1" applyFill="1"/>
    <xf numFmtId="164" fontId="13" fillId="0" borderId="0" xfId="1" applyNumberFormat="1" applyFont="1" applyFill="1" applyBorder="1"/>
    <xf numFmtId="168" fontId="0" fillId="10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1" fillId="0" borderId="0" xfId="6" applyNumberFormat="1" applyFont="1"/>
    <xf numFmtId="169" fontId="19" fillId="0" borderId="0" xfId="4" applyNumberFormat="1"/>
    <xf numFmtId="164" fontId="0" fillId="9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9" fillId="10" borderId="0" xfId="4" applyNumberFormat="1" applyFill="1"/>
    <xf numFmtId="164" fontId="19" fillId="10" borderId="0" xfId="4" applyNumberFormat="1" applyFill="1"/>
    <xf numFmtId="164" fontId="0" fillId="15" borderId="0" xfId="5" applyNumberFormat="1" applyFont="1" applyFill="1"/>
    <xf numFmtId="0" fontId="19" fillId="0" borderId="0" xfId="4" applyAlignment="1">
      <alignment horizontal="right"/>
    </xf>
    <xf numFmtId="14" fontId="19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9" fillId="0" borderId="0" xfId="2" applyNumberFormat="1" applyFont="1"/>
    <xf numFmtId="164" fontId="19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9" borderId="0" xfId="7" applyFont="1" applyFill="1"/>
    <xf numFmtId="9" fontId="0" fillId="9" borderId="0" xfId="0" applyNumberFormat="1" applyFill="1"/>
    <xf numFmtId="9" fontId="0" fillId="15" borderId="0" xfId="7" applyFont="1" applyFill="1"/>
    <xf numFmtId="9" fontId="0" fillId="15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9" borderId="0" xfId="3" applyFont="1" applyFill="1"/>
    <xf numFmtId="9" fontId="0" fillId="0" borderId="0" xfId="3" applyFont="1"/>
    <xf numFmtId="0" fontId="20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2" borderId="0" xfId="0" applyFill="1"/>
    <xf numFmtId="165" fontId="0" fillId="0" borderId="0" xfId="2" applyNumberFormat="1" applyFont="1"/>
    <xf numFmtId="0" fontId="22" fillId="0" borderId="0" xfId="0" applyFont="1"/>
    <xf numFmtId="14" fontId="22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2" fillId="0" borderId="7" xfId="0" applyFont="1" applyBorder="1"/>
    <xf numFmtId="14" fontId="22" fillId="0" borderId="7" xfId="0" applyNumberFormat="1" applyFont="1" applyBorder="1"/>
    <xf numFmtId="164" fontId="1" fillId="0" borderId="17" xfId="1" applyNumberFormat="1" applyFont="1" applyFill="1" applyBorder="1"/>
    <xf numFmtId="0" fontId="23" fillId="0" borderId="18" xfId="0" applyFont="1" applyBorder="1" applyAlignment="1">
      <alignment wrapText="1" readingOrder="1"/>
    </xf>
    <xf numFmtId="0" fontId="23" fillId="0" borderId="19" xfId="0" applyFont="1" applyBorder="1" applyAlignment="1">
      <alignment wrapText="1" readingOrder="1"/>
    </xf>
    <xf numFmtId="0" fontId="23" fillId="0" borderId="23" xfId="0" applyFont="1" applyBorder="1" applyAlignment="1">
      <alignment wrapText="1" readingOrder="1"/>
    </xf>
    <xf numFmtId="0" fontId="23" fillId="0" borderId="24" xfId="0" applyFont="1" applyBorder="1" applyAlignment="1">
      <alignment wrapText="1" readingOrder="1"/>
    </xf>
    <xf numFmtId="0" fontId="23" fillId="0" borderId="25" xfId="0" applyFont="1" applyBorder="1"/>
    <xf numFmtId="0" fontId="23" fillId="0" borderId="25" xfId="0" applyFont="1" applyBorder="1" applyAlignment="1">
      <alignment wrapText="1" readingOrder="1"/>
    </xf>
    <xf numFmtId="0" fontId="23" fillId="0" borderId="26" xfId="0" applyFont="1" applyBorder="1" applyAlignment="1">
      <alignment wrapText="1" readingOrder="1"/>
    </xf>
    <xf numFmtId="0" fontId="0" fillId="0" borderId="27" xfId="0" applyBorder="1"/>
    <xf numFmtId="0" fontId="23" fillId="0" borderId="28" xfId="0" applyFont="1" applyBorder="1"/>
    <xf numFmtId="0" fontId="0" fillId="0" borderId="28" xfId="0" applyBorder="1"/>
    <xf numFmtId="0" fontId="0" fillId="0" borderId="29" xfId="0" applyBorder="1"/>
    <xf numFmtId="0" fontId="23" fillId="0" borderId="24" xfId="0" applyFont="1" applyBorder="1"/>
    <xf numFmtId="0" fontId="23" fillId="0" borderId="27" xfId="0" applyFont="1" applyBorder="1"/>
    <xf numFmtId="0" fontId="23" fillId="0" borderId="30" xfId="0" applyFont="1" applyBorder="1" applyAlignment="1">
      <alignment wrapText="1" readingOrder="1"/>
    </xf>
    <xf numFmtId="0" fontId="23" fillId="0" borderId="16" xfId="0" applyFont="1" applyBorder="1" applyAlignment="1">
      <alignment wrapText="1" readingOrder="1"/>
    </xf>
    <xf numFmtId="0" fontId="23" fillId="0" borderId="31" xfId="0" applyFont="1" applyBorder="1" applyAlignment="1">
      <alignment wrapText="1" readingOrder="1"/>
    </xf>
    <xf numFmtId="0" fontId="23" fillId="18" borderId="30" xfId="0" applyFont="1" applyFill="1" applyBorder="1" applyAlignment="1">
      <alignment wrapText="1" readingOrder="1"/>
    </xf>
    <xf numFmtId="0" fontId="23" fillId="18" borderId="16" xfId="0" applyFont="1" applyFill="1" applyBorder="1" applyAlignment="1">
      <alignment wrapText="1" readingOrder="1"/>
    </xf>
    <xf numFmtId="0" fontId="23" fillId="18" borderId="31" xfId="0" applyFont="1" applyFill="1" applyBorder="1" applyAlignment="1">
      <alignment wrapText="1" readingOrder="1"/>
    </xf>
    <xf numFmtId="0" fontId="23" fillId="0" borderId="32" xfId="0" applyFont="1" applyBorder="1" applyAlignment="1">
      <alignment wrapText="1" readingOrder="1"/>
    </xf>
    <xf numFmtId="0" fontId="23" fillId="0" borderId="33" xfId="0" applyFont="1" applyBorder="1" applyAlignment="1">
      <alignment wrapText="1" readingOrder="1"/>
    </xf>
    <xf numFmtId="0" fontId="23" fillId="0" borderId="34" xfId="0" applyFont="1" applyBorder="1" applyAlignment="1">
      <alignment wrapText="1" readingOrder="1"/>
    </xf>
    <xf numFmtId="0" fontId="23" fillId="0" borderId="35" xfId="0" applyFont="1" applyBorder="1" applyAlignment="1">
      <alignment wrapText="1" readingOrder="1"/>
    </xf>
    <xf numFmtId="0" fontId="23" fillId="0" borderId="36" xfId="0" applyFont="1" applyBorder="1"/>
    <xf numFmtId="0" fontId="23" fillId="0" borderId="36" xfId="0" applyFont="1" applyBorder="1" applyAlignment="1">
      <alignment wrapText="1" readingOrder="1"/>
    </xf>
    <xf numFmtId="0" fontId="23" fillId="0" borderId="37" xfId="0" applyFont="1" applyBorder="1" applyAlignment="1">
      <alignment wrapText="1" readingOrder="1"/>
    </xf>
    <xf numFmtId="0" fontId="24" fillId="0" borderId="0" xfId="0" applyFont="1"/>
    <xf numFmtId="14" fontId="22" fillId="19" borderId="0" xfId="0" applyNumberFormat="1" applyFont="1" applyFill="1"/>
    <xf numFmtId="0" fontId="22" fillId="19" borderId="0" xfId="0" applyFont="1" applyFill="1"/>
    <xf numFmtId="0" fontId="22" fillId="0" borderId="38" xfId="0" applyFont="1" applyBorder="1"/>
    <xf numFmtId="14" fontId="22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2" fillId="20" borderId="7" xfId="0" applyFont="1" applyFill="1" applyBorder="1"/>
    <xf numFmtId="14" fontId="22" fillId="20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2" borderId="0" xfId="2" applyNumberFormat="1" applyFont="1" applyFill="1" applyBorder="1" applyAlignment="1">
      <alignment horizontal="center"/>
    </xf>
    <xf numFmtId="165" fontId="2" fillId="12" borderId="0" xfId="2" applyNumberFormat="1" applyFont="1" applyFill="1" applyBorder="1" applyAlignment="1">
      <alignment horizontal="right"/>
    </xf>
    <xf numFmtId="164" fontId="18" fillId="13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9" fontId="1" fillId="0" borderId="7" xfId="2" applyNumberFormat="1" applyFont="1" applyFill="1" applyBorder="1" applyAlignment="1">
      <alignment horizontal="center"/>
    </xf>
    <xf numFmtId="9" fontId="1" fillId="0" borderId="38" xfId="2" applyNumberFormat="1" applyFont="1" applyFill="1" applyBorder="1" applyAlignment="1">
      <alignment horizontal="center"/>
    </xf>
    <xf numFmtId="14" fontId="22" fillId="21" borderId="7" xfId="0" applyNumberFormat="1" applyFont="1" applyFill="1" applyBorder="1"/>
    <xf numFmtId="0" fontId="22" fillId="21" borderId="7" xfId="0" applyFont="1" applyFill="1" applyBorder="1"/>
    <xf numFmtId="164" fontId="1" fillId="21" borderId="17" xfId="1" applyNumberFormat="1" applyFont="1" applyFill="1" applyBorder="1"/>
    <xf numFmtId="164" fontId="1" fillId="21" borderId="7" xfId="1" applyNumberFormat="1" applyFont="1" applyFill="1" applyBorder="1"/>
    <xf numFmtId="9" fontId="1" fillId="21" borderId="7" xfId="3" applyFont="1" applyFill="1" applyBorder="1"/>
    <xf numFmtId="165" fontId="1" fillId="21" borderId="7" xfId="2" applyNumberFormat="1" applyFont="1" applyFill="1" applyBorder="1" applyAlignment="1">
      <alignment horizontal="right"/>
    </xf>
    <xf numFmtId="165" fontId="1" fillId="21" borderId="7" xfId="2" applyNumberFormat="1" applyFont="1" applyFill="1" applyBorder="1" applyAlignment="1">
      <alignment horizontal="center"/>
    </xf>
    <xf numFmtId="9" fontId="1" fillId="21" borderId="7" xfId="2" applyNumberFormat="1" applyFont="1" applyFill="1" applyBorder="1" applyAlignment="1">
      <alignment horizontal="center"/>
    </xf>
    <xf numFmtId="164" fontId="25" fillId="0" borderId="0" xfId="1" applyNumberFormat="1" applyFont="1" applyFill="1" applyBorder="1" applyAlignment="1">
      <alignment horizontal="center" vertical="center"/>
    </xf>
    <xf numFmtId="9" fontId="25" fillId="0" borderId="0" xfId="3" applyFont="1" applyFill="1" applyBorder="1"/>
    <xf numFmtId="165" fontId="25" fillId="0" borderId="0" xfId="2" applyNumberFormat="1" applyFont="1" applyFill="1" applyBorder="1" applyAlignment="1">
      <alignment horizontal="center"/>
    </xf>
    <xf numFmtId="164" fontId="25" fillId="0" borderId="7" xfId="1" applyNumberFormat="1" applyFont="1" applyFill="1" applyBorder="1" applyAlignment="1">
      <alignment horizontal="center" vertical="center"/>
    </xf>
    <xf numFmtId="9" fontId="25" fillId="0" borderId="7" xfId="3" applyFont="1" applyFill="1" applyBorder="1"/>
    <xf numFmtId="165" fontId="25" fillId="0" borderId="7" xfId="2" applyNumberFormat="1" applyFont="1" applyFill="1" applyBorder="1" applyAlignment="1">
      <alignment horizontal="center"/>
    </xf>
    <xf numFmtId="164" fontId="25" fillId="21" borderId="7" xfId="1" applyNumberFormat="1" applyFont="1" applyFill="1" applyBorder="1" applyAlignment="1">
      <alignment horizontal="center" vertical="center"/>
    </xf>
    <xf numFmtId="9" fontId="25" fillId="21" borderId="7" xfId="3" applyFont="1" applyFill="1" applyBorder="1"/>
    <xf numFmtId="165" fontId="25" fillId="21" borderId="7" xfId="2" applyNumberFormat="1" applyFont="1" applyFill="1" applyBorder="1" applyAlignment="1">
      <alignment horizontal="center"/>
    </xf>
    <xf numFmtId="164" fontId="25" fillId="0" borderId="38" xfId="1" applyNumberFormat="1" applyFont="1" applyFill="1" applyBorder="1" applyAlignment="1">
      <alignment horizontal="center" vertical="center"/>
    </xf>
    <xf numFmtId="9" fontId="25" fillId="0" borderId="38" xfId="3" applyFont="1" applyFill="1" applyBorder="1"/>
    <xf numFmtId="165" fontId="25" fillId="0" borderId="38" xfId="2" applyNumberFormat="1" applyFont="1" applyFill="1" applyBorder="1" applyAlignment="1">
      <alignment horizontal="center"/>
    </xf>
    <xf numFmtId="0" fontId="26" fillId="17" borderId="0" xfId="0" applyFont="1" applyFill="1"/>
    <xf numFmtId="0" fontId="26" fillId="17" borderId="7" xfId="0" applyFont="1" applyFill="1" applyBorder="1"/>
    <xf numFmtId="0" fontId="26" fillId="21" borderId="7" xfId="0" applyFont="1" applyFill="1" applyBorder="1"/>
    <xf numFmtId="0" fontId="26" fillId="17" borderId="38" xfId="0" applyFont="1" applyFill="1" applyBorder="1"/>
    <xf numFmtId="164" fontId="26" fillId="17" borderId="0" xfId="0" applyNumberFormat="1" applyFont="1" applyFill="1"/>
    <xf numFmtId="164" fontId="26" fillId="17" borderId="7" xfId="0" applyNumberFormat="1" applyFont="1" applyFill="1" applyBorder="1"/>
    <xf numFmtId="164" fontId="26" fillId="21" borderId="7" xfId="0" applyNumberFormat="1" applyFont="1" applyFill="1" applyBorder="1"/>
    <xf numFmtId="164" fontId="26" fillId="17" borderId="38" xfId="0" applyNumberFormat="1" applyFont="1" applyFill="1" applyBorder="1"/>
    <xf numFmtId="168" fontId="26" fillId="17" borderId="0" xfId="0" applyNumberFormat="1" applyFont="1" applyFill="1"/>
    <xf numFmtId="168" fontId="26" fillId="17" borderId="7" xfId="0" applyNumberFormat="1" applyFont="1" applyFill="1" applyBorder="1"/>
    <xf numFmtId="168" fontId="26" fillId="21" borderId="7" xfId="0" applyNumberFormat="1" applyFont="1" applyFill="1" applyBorder="1"/>
    <xf numFmtId="168" fontId="26" fillId="17" borderId="38" xfId="0" applyNumberFormat="1" applyFont="1" applyFill="1" applyBorder="1"/>
    <xf numFmtId="168" fontId="26" fillId="0" borderId="0" xfId="0" applyNumberFormat="1" applyFont="1"/>
    <xf numFmtId="168" fontId="26" fillId="0" borderId="7" xfId="0" applyNumberFormat="1" applyFont="1" applyBorder="1"/>
    <xf numFmtId="168" fontId="26" fillId="0" borderId="38" xfId="0" applyNumberFormat="1" applyFont="1" applyBorder="1"/>
    <xf numFmtId="164" fontId="26" fillId="0" borderId="0" xfId="0" applyNumberFormat="1" applyFont="1"/>
    <xf numFmtId="164" fontId="26" fillId="0" borderId="7" xfId="0" applyNumberFormat="1" applyFont="1" applyBorder="1"/>
    <xf numFmtId="164" fontId="26" fillId="0" borderId="38" xfId="0" applyNumberFormat="1" applyFont="1" applyBorder="1"/>
    <xf numFmtId="165" fontId="18" fillId="13" borderId="0" xfId="2" applyNumberFormat="1" applyFont="1" applyFill="1" applyBorder="1" applyAlignment="1">
      <alignment horizontal="center"/>
    </xf>
    <xf numFmtId="9" fontId="26" fillId="0" borderId="0" xfId="0" applyNumberFormat="1" applyFont="1" applyAlignment="1">
      <alignment horizontal="center"/>
    </xf>
    <xf numFmtId="9" fontId="26" fillId="0" borderId="7" xfId="0" applyNumberFormat="1" applyFont="1" applyBorder="1" applyAlignment="1">
      <alignment horizontal="center"/>
    </xf>
    <xf numFmtId="9" fontId="26" fillId="21" borderId="7" xfId="0" applyNumberFormat="1" applyFont="1" applyFill="1" applyBorder="1" applyAlignment="1">
      <alignment horizontal="center"/>
    </xf>
    <xf numFmtId="9" fontId="26" fillId="0" borderId="38" xfId="0" applyNumberFormat="1" applyFont="1" applyBorder="1" applyAlignment="1">
      <alignment horizontal="center"/>
    </xf>
    <xf numFmtId="0" fontId="27" fillId="19" borderId="0" xfId="0" applyFont="1" applyFill="1" applyAlignment="1">
      <alignment wrapText="1"/>
    </xf>
    <xf numFmtId="164" fontId="26" fillId="17" borderId="0" xfId="0" applyNumberFormat="1" applyFont="1" applyFill="1" applyAlignment="1">
      <alignment horizontal="right"/>
    </xf>
    <xf numFmtId="9" fontId="0" fillId="0" borderId="0" xfId="6" applyNumberFormat="1" applyFont="1"/>
    <xf numFmtId="164" fontId="26" fillId="17" borderId="7" xfId="0" applyNumberFormat="1" applyFont="1" applyFill="1" applyBorder="1" applyAlignment="1">
      <alignment horizontal="right"/>
    </xf>
    <xf numFmtId="0" fontId="0" fillId="26" borderId="41" xfId="0" applyFill="1" applyBorder="1" applyAlignment="1">
      <alignment horizontal="left"/>
    </xf>
    <xf numFmtId="0" fontId="30" fillId="24" borderId="43" xfId="0" applyFont="1" applyFill="1" applyBorder="1" applyAlignment="1">
      <alignment vertical="center"/>
    </xf>
    <xf numFmtId="0" fontId="0" fillId="22" borderId="41" xfId="0" applyFill="1" applyBorder="1" applyAlignment="1">
      <alignment horizontal="left"/>
    </xf>
    <xf numFmtId="0" fontId="0" fillId="25" borderId="45" xfId="0" applyFill="1" applyBorder="1"/>
    <xf numFmtId="0" fontId="30" fillId="24" borderId="46" xfId="0" applyFont="1" applyFill="1" applyBorder="1" applyAlignment="1">
      <alignment vertical="center"/>
    </xf>
    <xf numFmtId="0" fontId="0" fillId="25" borderId="42" xfId="0" applyFill="1" applyBorder="1"/>
    <xf numFmtId="0" fontId="0" fillId="22" borderId="42" xfId="0" applyFill="1" applyBorder="1" applyAlignment="1">
      <alignment horizontal="left"/>
    </xf>
    <xf numFmtId="0" fontId="30" fillId="24" borderId="47" xfId="0" applyFont="1" applyFill="1" applyBorder="1" applyAlignment="1">
      <alignment vertical="center"/>
    </xf>
    <xf numFmtId="0" fontId="0" fillId="22" borderId="46" xfId="0" applyFill="1" applyBorder="1" applyAlignment="1">
      <alignment horizontal="left"/>
    </xf>
    <xf numFmtId="0" fontId="0" fillId="25" borderId="48" xfId="0" applyFill="1" applyBorder="1"/>
    <xf numFmtId="0" fontId="0" fillId="22" borderId="49" xfId="0" applyFill="1" applyBorder="1" applyAlignment="1">
      <alignment horizontal="left"/>
    </xf>
    <xf numFmtId="0" fontId="29" fillId="27" borderId="50" xfId="0" applyFont="1" applyFill="1" applyBorder="1" applyAlignment="1">
      <alignment horizontal="center" vertical="center"/>
    </xf>
    <xf numFmtId="9" fontId="0" fillId="24" borderId="40" xfId="0" applyNumberFormat="1" applyFill="1" applyBorder="1" applyAlignment="1">
      <alignment horizontal="center" vertical="center"/>
    </xf>
    <xf numFmtId="3" fontId="0" fillId="22" borderId="47" xfId="0" applyNumberFormat="1" applyFill="1" applyBorder="1" applyAlignment="1">
      <alignment horizontal="left"/>
    </xf>
    <xf numFmtId="0" fontId="0" fillId="26" borderId="49" xfId="0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3" fontId="0" fillId="22" borderId="43" xfId="0" applyNumberFormat="1" applyFill="1" applyBorder="1" applyAlignment="1">
      <alignment horizontal="left"/>
    </xf>
    <xf numFmtId="0" fontId="0" fillId="26" borderId="44" xfId="0" applyFill="1" applyBorder="1"/>
    <xf numFmtId="0" fontId="30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9" fillId="22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0" fillId="24" borderId="52" xfId="0" applyFont="1" applyFill="1" applyBorder="1" applyAlignment="1">
      <alignment vertical="center"/>
    </xf>
    <xf numFmtId="3" fontId="0" fillId="22" borderId="53" xfId="0" applyNumberFormat="1" applyFill="1" applyBorder="1" applyAlignment="1">
      <alignment horizontal="left"/>
    </xf>
    <xf numFmtId="0" fontId="0" fillId="22" borderId="44" xfId="0" applyFill="1" applyBorder="1" applyAlignment="1">
      <alignment horizontal="left" wrapText="1"/>
    </xf>
    <xf numFmtId="3" fontId="0" fillId="0" borderId="0" xfId="0" applyNumberFormat="1"/>
    <xf numFmtId="168" fontId="32" fillId="17" borderId="0" xfId="0" applyNumberFormat="1" applyFont="1" applyFill="1"/>
    <xf numFmtId="164" fontId="33" fillId="0" borderId="0" xfId="4" applyNumberFormat="1" applyFont="1"/>
    <xf numFmtId="168" fontId="33" fillId="0" borderId="0" xfId="4" applyNumberFormat="1" applyFont="1"/>
    <xf numFmtId="0" fontId="33" fillId="0" borderId="0" xfId="4" applyFont="1"/>
    <xf numFmtId="0" fontId="29" fillId="23" borderId="44" xfId="0" applyFont="1" applyFill="1" applyBorder="1" applyAlignment="1">
      <alignment horizontal="center" vertical="center"/>
    </xf>
    <xf numFmtId="0" fontId="29" fillId="23" borderId="43" xfId="0" applyFont="1" applyFill="1" applyBorder="1" applyAlignment="1">
      <alignment horizontal="center" vertical="center"/>
    </xf>
    <xf numFmtId="3" fontId="0" fillId="22" borderId="52" xfId="0" applyNumberFormat="1" applyFill="1" applyBorder="1" applyAlignment="1">
      <alignment horizontal="left"/>
    </xf>
    <xf numFmtId="0" fontId="28" fillId="23" borderId="44" xfId="0" applyFont="1" applyFill="1" applyBorder="1" applyAlignment="1">
      <alignment horizontal="left" vertical="center"/>
    </xf>
    <xf numFmtId="0" fontId="0" fillId="28" borderId="0" xfId="0" applyFill="1"/>
    <xf numFmtId="0" fontId="0" fillId="28" borderId="53" xfId="0" applyFill="1" applyBorder="1" applyAlignment="1">
      <alignment horizontal="left"/>
    </xf>
    <xf numFmtId="0" fontId="0" fillId="28" borderId="44" xfId="0" applyFill="1" applyBorder="1" applyAlignment="1">
      <alignment horizontal="left"/>
    </xf>
    <xf numFmtId="0" fontId="0" fillId="28" borderId="41" xfId="0" applyFill="1" applyBorder="1" applyAlignment="1">
      <alignment horizontal="left"/>
    </xf>
    <xf numFmtId="0" fontId="0" fillId="28" borderId="54" xfId="0" applyFill="1" applyBorder="1" applyAlignment="1">
      <alignment horizontal="left"/>
    </xf>
    <xf numFmtId="0" fontId="29" fillId="24" borderId="44" xfId="0" applyFont="1" applyFill="1" applyBorder="1" applyAlignment="1">
      <alignment horizontal="center" vertical="center"/>
    </xf>
    <xf numFmtId="3" fontId="0" fillId="26" borderId="41" xfId="0" applyNumberFormat="1" applyFill="1" applyBorder="1" applyAlignment="1">
      <alignment horizontal="left"/>
    </xf>
    <xf numFmtId="0" fontId="0" fillId="29" borderId="51" xfId="0" applyFill="1" applyBorder="1"/>
    <xf numFmtId="10" fontId="0" fillId="29" borderId="54" xfId="0" applyNumberFormat="1" applyFill="1" applyBorder="1" applyAlignment="1">
      <alignment horizontal="left"/>
    </xf>
    <xf numFmtId="6" fontId="0" fillId="0" borderId="0" xfId="0" applyNumberFormat="1"/>
    <xf numFmtId="0" fontId="29" fillId="23" borderId="52" xfId="0" applyFont="1" applyFill="1" applyBorder="1" applyAlignment="1">
      <alignment horizontal="center" vertical="center"/>
    </xf>
    <xf numFmtId="164" fontId="25" fillId="0" borderId="7" xfId="1" applyNumberFormat="1" applyFont="1" applyBorder="1"/>
    <xf numFmtId="165" fontId="25" fillId="0" borderId="7" xfId="2" applyNumberFormat="1" applyFont="1" applyBorder="1" applyAlignment="1">
      <alignment horizontal="right"/>
    </xf>
    <xf numFmtId="9" fontId="25" fillId="0" borderId="7" xfId="2" applyNumberFormat="1" applyFont="1" applyBorder="1" applyAlignment="1">
      <alignment horizontal="center"/>
    </xf>
    <xf numFmtId="0" fontId="29" fillId="23" borderId="49" xfId="0" applyFont="1" applyFill="1" applyBorder="1" applyAlignment="1">
      <alignment horizontal="center" vertical="center"/>
    </xf>
    <xf numFmtId="0" fontId="22" fillId="20" borderId="0" xfId="0" applyFont="1" applyFill="1"/>
    <xf numFmtId="0" fontId="29" fillId="23" borderId="38" xfId="0" applyFont="1" applyFill="1" applyBorder="1" applyAlignment="1">
      <alignment horizontal="center" vertical="center"/>
    </xf>
    <xf numFmtId="9" fontId="25" fillId="0" borderId="7" xfId="3" applyFont="1" applyBorder="1"/>
    <xf numFmtId="165" fontId="25" fillId="0" borderId="7" xfId="2" applyNumberFormat="1" applyFont="1" applyBorder="1" applyAlignment="1">
      <alignment horizontal="center"/>
    </xf>
    <xf numFmtId="0" fontId="34" fillId="0" borderId="0" xfId="0" applyFont="1"/>
    <xf numFmtId="0" fontId="0" fillId="30" borderId="0" xfId="0" applyFill="1"/>
    <xf numFmtId="0" fontId="29" fillId="30" borderId="52" xfId="0" applyFont="1" applyFill="1" applyBorder="1" applyAlignment="1">
      <alignment horizontal="center" vertical="center"/>
    </xf>
    <xf numFmtId="0" fontId="29" fillId="30" borderId="41" xfId="0" applyFont="1" applyFill="1" applyBorder="1" applyAlignment="1">
      <alignment horizontal="center" vertical="center"/>
    </xf>
    <xf numFmtId="3" fontId="0" fillId="30" borderId="0" xfId="0" applyNumberFormat="1" applyFill="1"/>
    <xf numFmtId="164" fontId="25" fillId="0" borderId="0" xfId="1" applyNumberFormat="1" applyFont="1" applyBorder="1"/>
    <xf numFmtId="165" fontId="25" fillId="0" borderId="0" xfId="2" applyNumberFormat="1" applyFont="1" applyBorder="1" applyAlignment="1">
      <alignment horizontal="right"/>
    </xf>
    <xf numFmtId="165" fontId="25" fillId="0" borderId="0" xfId="2" applyNumberFormat="1" applyFont="1" applyBorder="1" applyAlignment="1">
      <alignment horizontal="center"/>
    </xf>
    <xf numFmtId="9" fontId="25" fillId="0" borderId="0" xfId="2" applyNumberFormat="1" applyFont="1" applyBorder="1" applyAlignment="1">
      <alignment horizontal="center"/>
    </xf>
    <xf numFmtId="164" fontId="25" fillId="0" borderId="1" xfId="1" applyNumberFormat="1" applyFont="1" applyBorder="1"/>
    <xf numFmtId="164" fontId="26" fillId="17" borderId="38" xfId="0" applyNumberFormat="1" applyFont="1" applyFill="1" applyBorder="1" applyAlignment="1">
      <alignment horizontal="right"/>
    </xf>
    <xf numFmtId="3" fontId="0" fillId="28" borderId="41" xfId="0" applyNumberFormat="1" applyFill="1" applyBorder="1" applyAlignment="1">
      <alignment horizontal="left"/>
    </xf>
    <xf numFmtId="16" fontId="0" fillId="0" borderId="0" xfId="0" applyNumberFormat="1"/>
    <xf numFmtId="3" fontId="36" fillId="0" borderId="0" xfId="0" applyNumberFormat="1" applyFont="1"/>
    <xf numFmtId="10" fontId="0" fillId="25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2" borderId="44" xfId="0" applyNumberFormat="1" applyFill="1" applyBorder="1" applyAlignment="1">
      <alignment horizontal="left"/>
    </xf>
    <xf numFmtId="3" fontId="0" fillId="28" borderId="51" xfId="0" applyNumberFormat="1" applyFill="1" applyBorder="1" applyAlignment="1">
      <alignment horizontal="left"/>
    </xf>
    <xf numFmtId="0" fontId="2" fillId="11" borderId="50" xfId="0" applyFont="1" applyFill="1" applyBorder="1"/>
    <xf numFmtId="0" fontId="1" fillId="11" borderId="55" xfId="0" applyFont="1" applyFill="1" applyBorder="1"/>
    <xf numFmtId="164" fontId="2" fillId="12" borderId="56" xfId="1" applyNumberFormat="1" applyFont="1" applyFill="1" applyBorder="1" applyAlignment="1">
      <alignment horizontal="center"/>
    </xf>
    <xf numFmtId="164" fontId="2" fillId="12" borderId="57" xfId="1" applyNumberFormat="1" applyFont="1" applyFill="1" applyBorder="1" applyAlignment="1">
      <alignment horizontal="center"/>
    </xf>
    <xf numFmtId="0" fontId="2" fillId="11" borderId="58" xfId="0" applyFont="1" applyFill="1" applyBorder="1"/>
    <xf numFmtId="0" fontId="1" fillId="11" borderId="59" xfId="0" applyFont="1" applyFill="1" applyBorder="1"/>
    <xf numFmtId="164" fontId="2" fillId="12" borderId="60" xfId="1" applyNumberFormat="1" applyFont="1" applyFill="1" applyBorder="1" applyAlignment="1">
      <alignment horizontal="center"/>
    </xf>
    <xf numFmtId="164" fontId="2" fillId="12" borderId="61" xfId="1" applyNumberFormat="1" applyFont="1" applyFill="1" applyBorder="1" applyAlignment="1">
      <alignment horizontal="center"/>
    </xf>
    <xf numFmtId="0" fontId="2" fillId="11" borderId="62" xfId="0" applyFont="1" applyFill="1" applyBorder="1"/>
    <xf numFmtId="0" fontId="1" fillId="11" borderId="0" xfId="0" applyFont="1" applyFill="1"/>
    <xf numFmtId="164" fontId="2" fillId="12" borderId="1" xfId="1" applyNumberFormat="1" applyFont="1" applyFill="1" applyBorder="1" applyAlignment="1">
      <alignment horizontal="center"/>
    </xf>
    <xf numFmtId="164" fontId="2" fillId="12" borderId="63" xfId="1" applyNumberFormat="1" applyFont="1" applyFill="1" applyBorder="1" applyAlignment="1">
      <alignment horizontal="center"/>
    </xf>
    <xf numFmtId="0" fontId="2" fillId="11" borderId="64" xfId="0" applyFont="1" applyFill="1" applyBorder="1"/>
    <xf numFmtId="0" fontId="1" fillId="11" borderId="65" xfId="0" applyFont="1" applyFill="1" applyBorder="1"/>
    <xf numFmtId="164" fontId="2" fillId="12" borderId="66" xfId="1" applyNumberFormat="1" applyFont="1" applyFill="1" applyBorder="1" applyAlignment="1">
      <alignment horizontal="center"/>
    </xf>
    <xf numFmtId="164" fontId="2" fillId="12" borderId="67" xfId="1" applyNumberFormat="1" applyFont="1" applyFill="1" applyBorder="1" applyAlignment="1">
      <alignment horizontal="center"/>
    </xf>
    <xf numFmtId="0" fontId="18" fillId="13" borderId="50" xfId="0" applyFont="1" applyFill="1" applyBorder="1"/>
    <xf numFmtId="0" fontId="18" fillId="13" borderId="55" xfId="0" applyFont="1" applyFill="1" applyBorder="1"/>
    <xf numFmtId="164" fontId="18" fillId="13" borderId="56" xfId="1" applyNumberFormat="1" applyFont="1" applyFill="1" applyBorder="1"/>
    <xf numFmtId="164" fontId="18" fillId="13" borderId="68" xfId="1" applyNumberFormat="1" applyFont="1" applyFill="1" applyBorder="1"/>
    <xf numFmtId="0" fontId="2" fillId="11" borderId="59" xfId="0" applyFont="1" applyFill="1" applyBorder="1"/>
    <xf numFmtId="3" fontId="0" fillId="28" borderId="54" xfId="0" applyNumberFormat="1" applyFill="1" applyBorder="1" applyAlignment="1">
      <alignment horizontal="left"/>
    </xf>
    <xf numFmtId="3" fontId="0" fillId="22" borderId="41" xfId="0" applyNumberFormat="1" applyFill="1" applyBorder="1" applyAlignment="1">
      <alignment horizontal="left"/>
    </xf>
    <xf numFmtId="0" fontId="37" fillId="0" borderId="0" xfId="0" applyFont="1"/>
    <xf numFmtId="0" fontId="10" fillId="7" borderId="0" xfId="0" applyFont="1" applyFill="1" applyAlignment="1">
      <alignment wrapText="1"/>
    </xf>
    <xf numFmtId="0" fontId="10" fillId="0" borderId="0" xfId="0" applyFont="1" applyAlignment="1">
      <alignment wrapText="1"/>
    </xf>
    <xf numFmtId="8" fontId="26" fillId="0" borderId="0" xfId="0" applyNumberFormat="1" applyFont="1"/>
    <xf numFmtId="0" fontId="26" fillId="20" borderId="7" xfId="0" applyFont="1" applyFill="1" applyBorder="1"/>
    <xf numFmtId="8" fontId="26" fillId="0" borderId="7" xfId="0" applyNumberFormat="1" applyFont="1" applyBorder="1"/>
    <xf numFmtId="8" fontId="26" fillId="0" borderId="38" xfId="0" applyNumberFormat="1" applyFont="1" applyBorder="1"/>
    <xf numFmtId="170" fontId="26" fillId="0" borderId="0" xfId="0" applyNumberFormat="1" applyFont="1"/>
    <xf numFmtId="170" fontId="22" fillId="20" borderId="7" xfId="0" applyNumberFormat="1" applyFont="1" applyFill="1" applyBorder="1"/>
    <xf numFmtId="170" fontId="26" fillId="0" borderId="7" xfId="0" applyNumberFormat="1" applyFont="1" applyBorder="1"/>
    <xf numFmtId="170" fontId="0" fillId="0" borderId="0" xfId="0" applyNumberFormat="1"/>
    <xf numFmtId="168" fontId="26" fillId="17" borderId="0" xfId="0" applyNumberFormat="1" applyFont="1" applyFill="1" applyAlignment="1">
      <alignment horizontal="right"/>
    </xf>
    <xf numFmtId="168" fontId="26" fillId="17" borderId="7" xfId="0" applyNumberFormat="1" applyFont="1" applyFill="1" applyBorder="1" applyAlignment="1">
      <alignment horizontal="right"/>
    </xf>
    <xf numFmtId="9" fontId="25" fillId="0" borderId="0" xfId="3" applyFont="1" applyBorder="1"/>
    <xf numFmtId="164" fontId="1" fillId="21" borderId="1" xfId="1" applyNumberFormat="1" applyFont="1" applyFill="1" applyBorder="1"/>
    <xf numFmtId="164" fontId="1" fillId="21" borderId="0" xfId="1" applyNumberFormat="1" applyFont="1" applyFill="1" applyBorder="1"/>
    <xf numFmtId="9" fontId="1" fillId="21" borderId="0" xfId="3" applyFont="1" applyFill="1" applyBorder="1"/>
    <xf numFmtId="165" fontId="1" fillId="21" borderId="0" xfId="2" applyNumberFormat="1" applyFont="1" applyFill="1" applyBorder="1" applyAlignment="1">
      <alignment horizontal="right"/>
    </xf>
    <xf numFmtId="165" fontId="1" fillId="21" borderId="0" xfId="2" applyNumberFormat="1" applyFont="1" applyFill="1" applyBorder="1" applyAlignment="1">
      <alignment horizontal="center"/>
    </xf>
    <xf numFmtId="9" fontId="1" fillId="21" borderId="0" xfId="2" applyNumberFormat="1" applyFont="1" applyFill="1" applyBorder="1" applyAlignment="1">
      <alignment horizontal="center"/>
    </xf>
    <xf numFmtId="164" fontId="26" fillId="21" borderId="0" xfId="0" applyNumberFormat="1" applyFont="1" applyFill="1"/>
    <xf numFmtId="164" fontId="25" fillId="21" borderId="0" xfId="1" applyNumberFormat="1" applyFont="1" applyFill="1" applyBorder="1" applyAlignment="1">
      <alignment horizontal="center" vertical="center"/>
    </xf>
    <xf numFmtId="168" fontId="26" fillId="21" borderId="0" xfId="0" applyNumberFormat="1" applyFont="1" applyFill="1"/>
    <xf numFmtId="9" fontId="26" fillId="21" borderId="0" xfId="0" applyNumberFormat="1" applyFont="1" applyFill="1" applyAlignment="1">
      <alignment horizontal="center"/>
    </xf>
    <xf numFmtId="9" fontId="25" fillId="21" borderId="0" xfId="3" applyFont="1" applyFill="1" applyBorder="1"/>
    <xf numFmtId="165" fontId="25" fillId="21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9" fillId="17" borderId="0" xfId="4" applyNumberFormat="1" applyFill="1"/>
    <xf numFmtId="168" fontId="32" fillId="17" borderId="0" xfId="0" applyNumberFormat="1" applyFont="1" applyFill="1" applyAlignment="1">
      <alignment horizontal="right"/>
    </xf>
    <xf numFmtId="165" fontId="0" fillId="14" borderId="0" xfId="6" applyNumberFormat="1" applyFont="1" applyFill="1"/>
    <xf numFmtId="0" fontId="19" fillId="31" borderId="0" xfId="4" applyFill="1"/>
    <xf numFmtId="165" fontId="0" fillId="31" borderId="0" xfId="6" applyNumberFormat="1" applyFont="1" applyFill="1"/>
    <xf numFmtId="0" fontId="30" fillId="24" borderId="52" xfId="0" applyFont="1" applyFill="1" applyBorder="1" applyAlignment="1">
      <alignment vertical="center" wrapText="1"/>
    </xf>
    <xf numFmtId="0" fontId="38" fillId="0" borderId="0" xfId="8" applyAlignment="1">
      <alignment wrapText="1"/>
    </xf>
    <xf numFmtId="3" fontId="39" fillId="0" borderId="0" xfId="0" applyNumberFormat="1" applyFont="1"/>
    <xf numFmtId="165" fontId="1" fillId="14" borderId="0" xfId="2" applyNumberFormat="1" applyFont="1" applyFill="1" applyBorder="1" applyAlignment="1">
      <alignment horizontal="center"/>
    </xf>
    <xf numFmtId="165" fontId="1" fillId="14" borderId="7" xfId="2" applyNumberFormat="1" applyFont="1" applyFill="1" applyBorder="1" applyAlignment="1">
      <alignment horizontal="center"/>
    </xf>
    <xf numFmtId="16" fontId="30" fillId="24" borderId="52" xfId="0" applyNumberFormat="1" applyFont="1" applyFill="1" applyBorder="1" applyAlignment="1">
      <alignment vertical="center"/>
    </xf>
    <xf numFmtId="3" fontId="0" fillId="28" borderId="44" xfId="0" applyNumberFormat="1" applyFill="1" applyBorder="1" applyAlignment="1">
      <alignment horizontal="left"/>
    </xf>
    <xf numFmtId="0" fontId="35" fillId="0" borderId="7" xfId="0" applyFont="1" applyBorder="1"/>
    <xf numFmtId="0" fontId="1" fillId="0" borderId="0" xfId="0" applyFont="1"/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 wrapText="1"/>
    </xf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20" fillId="0" borderId="0" xfId="4" applyFont="1" applyAlignment="1">
      <alignment horizontal="center"/>
    </xf>
    <xf numFmtId="0" fontId="19" fillId="0" borderId="16" xfId="4" applyBorder="1" applyAlignment="1">
      <alignment horizontal="center"/>
    </xf>
    <xf numFmtId="0" fontId="23" fillId="0" borderId="20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0" fontId="23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30" borderId="43" xfId="0" applyFill="1" applyBorder="1" applyAlignment="1">
      <alignment horizontal="center"/>
    </xf>
    <xf numFmtId="0" fontId="0" fillId="30" borderId="51" xfId="0" applyFill="1" applyBorder="1" applyAlignment="1">
      <alignment horizontal="center"/>
    </xf>
    <xf numFmtId="0" fontId="0" fillId="10" borderId="52" xfId="0" applyFill="1" applyBorder="1" applyAlignment="1">
      <alignment horizontal="center"/>
    </xf>
    <xf numFmtId="0" fontId="0" fillId="10" borderId="7" xfId="0" applyFill="1" applyBorder="1" applyAlignment="1">
      <alignment horizontal="center"/>
    </xf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80"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us Lai" id="{EB458C61-CFA2-1140-9739-03681FA1DE31}" userId="S::jlai@kcsymphony.org::37464538-f398-48ad-b81f-5627dc2f20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5-08-18T18:28:46.69" personId="{EB458C61-CFA2-1140-9739-03681FA1DE31}" id="{D12E88C0-5F11-4859-94F9-2082A8684976}">
    <text>Actual Budget is $50k per performance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R136"/>
  <sheetViews>
    <sheetView tabSelected="1" zoomScaleNormal="100" workbookViewId="0">
      <pane xSplit="8" ySplit="5" topLeftCell="I6" activePane="bottomRight" state="frozen"/>
      <selection pane="topRight"/>
      <selection pane="bottomLeft"/>
      <selection pane="bottomRight" activeCell="H14" sqref="H14"/>
    </sheetView>
  </sheetViews>
  <sheetFormatPr defaultRowHeight="15" customHeight="1" x14ac:dyDescent="0.3"/>
  <cols>
    <col min="3" max="3" width="12.6640625" bestFit="1" customWidth="1"/>
    <col min="6" max="6" width="26.109375" customWidth="1"/>
    <col min="7" max="7" width="12.5546875" bestFit="1" customWidth="1"/>
    <col min="8" max="8" width="14.6640625" bestFit="1" customWidth="1"/>
    <col min="11" max="11" width="9.88671875" customWidth="1"/>
    <col min="13" max="13" width="11.5546875" customWidth="1"/>
    <col min="14" max="14" width="9" customWidth="1"/>
    <col min="18" max="18" width="9.44140625" customWidth="1"/>
    <col min="19" max="19" width="10.6640625" customWidth="1"/>
    <col min="20" max="20" width="9.109375" customWidth="1"/>
    <col min="23" max="23" width="9.33203125" customWidth="1"/>
    <col min="24" max="24" width="11.88671875" bestFit="1" customWidth="1"/>
    <col min="32" max="32" width="15.109375" customWidth="1"/>
    <col min="33" max="33" width="16" customWidth="1"/>
  </cols>
  <sheetData>
    <row r="1" spans="1:34" ht="54" customHeight="1" x14ac:dyDescent="0.3">
      <c r="A1" s="385"/>
      <c r="B1" s="385"/>
      <c r="C1" s="385"/>
      <c r="D1" s="385"/>
      <c r="E1" s="2" t="s">
        <v>0</v>
      </c>
      <c r="F1" s="2" t="s">
        <v>1</v>
      </c>
      <c r="G1" s="1"/>
      <c r="H1" s="1"/>
      <c r="I1" s="391" t="s">
        <v>2</v>
      </c>
      <c r="J1" s="392" t="s">
        <v>3</v>
      </c>
      <c r="K1" s="3" t="s">
        <v>4</v>
      </c>
      <c r="L1" s="3"/>
      <c r="M1" s="1"/>
      <c r="N1" s="1"/>
      <c r="O1" s="3" t="s">
        <v>5</v>
      </c>
      <c r="P1" s="3"/>
      <c r="Q1" s="1"/>
      <c r="R1" s="242" t="s">
        <v>6</v>
      </c>
      <c r="S1" s="4" t="s">
        <v>7</v>
      </c>
      <c r="T1" s="4"/>
      <c r="U1" s="1"/>
      <c r="V1" s="5"/>
      <c r="W1" s="1"/>
      <c r="X1" s="1"/>
      <c r="Y1" s="1"/>
      <c r="Z1" s="393"/>
      <c r="AA1" s="393"/>
      <c r="AB1" s="393"/>
      <c r="AC1" s="393"/>
      <c r="AD1" s="393"/>
      <c r="AE1" s="393"/>
    </row>
    <row r="2" spans="1:34" ht="14.4" x14ac:dyDescent="0.3">
      <c r="A2" s="385"/>
      <c r="B2" s="385"/>
      <c r="C2" s="385"/>
      <c r="D2" s="385"/>
      <c r="E2" s="1"/>
      <c r="F2" s="1"/>
      <c r="G2" s="1"/>
      <c r="H2" s="1"/>
      <c r="I2" s="391"/>
      <c r="J2" s="392"/>
      <c r="K2" s="6" t="s">
        <v>8</v>
      </c>
      <c r="L2" s="6"/>
      <c r="M2" s="7"/>
      <c r="N2" s="7"/>
      <c r="O2" s="6" t="s">
        <v>9</v>
      </c>
      <c r="P2" s="6"/>
      <c r="Q2" s="1"/>
      <c r="R2" s="8"/>
      <c r="S2" s="8"/>
      <c r="T2" s="8"/>
      <c r="U2" s="1"/>
      <c r="V2" s="5"/>
      <c r="W2" s="1"/>
      <c r="X2" s="1"/>
      <c r="Y2" s="1"/>
      <c r="Z2" s="5"/>
      <c r="AA2" s="385"/>
      <c r="AB2" s="385"/>
      <c r="AC2" s="385"/>
      <c r="AD2" s="385"/>
      <c r="AE2" s="1"/>
    </row>
    <row r="3" spans="1:34" ht="14.4" x14ac:dyDescent="0.3">
      <c r="A3" s="385"/>
      <c r="B3" s="385"/>
      <c r="C3" s="385"/>
      <c r="D3" s="385"/>
      <c r="E3" s="1"/>
      <c r="F3" s="1"/>
      <c r="G3" s="9" t="s">
        <v>10</v>
      </c>
      <c r="H3" s="1"/>
      <c r="I3" s="391"/>
      <c r="J3" s="392"/>
      <c r="K3" s="10" t="s">
        <v>11</v>
      </c>
      <c r="L3" s="10"/>
      <c r="M3" s="7"/>
      <c r="N3" s="7"/>
      <c r="O3" s="10" t="s">
        <v>12</v>
      </c>
      <c r="P3" s="10"/>
      <c r="Q3" s="1"/>
      <c r="R3" s="8"/>
      <c r="S3" s="8"/>
      <c r="T3" s="8"/>
      <c r="U3" s="1"/>
      <c r="V3" s="5"/>
      <c r="W3" s="1"/>
      <c r="X3" s="1"/>
      <c r="Y3" s="1"/>
      <c r="Z3" s="5"/>
      <c r="AA3" s="385"/>
      <c r="AB3" s="385"/>
      <c r="AC3" s="385"/>
      <c r="AD3" s="385"/>
      <c r="AE3" s="1"/>
    </row>
    <row r="4" spans="1:34" ht="14.4" x14ac:dyDescent="0.3">
      <c r="A4" s="385"/>
      <c r="B4" s="385"/>
      <c r="C4" s="1"/>
      <c r="D4" s="147" t="s">
        <v>13</v>
      </c>
      <c r="E4" s="147"/>
      <c r="F4" s="146"/>
      <c r="G4" s="11">
        <v>0</v>
      </c>
      <c r="H4" s="1"/>
      <c r="I4" s="386" t="s">
        <v>14</v>
      </c>
      <c r="J4" s="386"/>
      <c r="K4" s="386"/>
      <c r="L4" s="386"/>
      <c r="M4" s="386"/>
      <c r="N4" s="386"/>
      <c r="O4" s="386"/>
      <c r="P4" s="387" t="s">
        <v>15</v>
      </c>
      <c r="Q4" s="387"/>
      <c r="R4" s="387"/>
      <c r="S4" s="387"/>
      <c r="T4" s="387"/>
      <c r="U4" s="387"/>
      <c r="V4" s="388" t="s">
        <v>16</v>
      </c>
      <c r="W4" s="388"/>
      <c r="X4" s="388"/>
      <c r="Y4" s="388"/>
      <c r="Z4" s="387" t="s">
        <v>17</v>
      </c>
      <c r="AA4" s="387"/>
      <c r="AB4" s="387"/>
      <c r="AC4" s="389" t="s">
        <v>18</v>
      </c>
      <c r="AD4" s="389"/>
      <c r="AE4" s="389"/>
      <c r="AF4" s="346" t="s">
        <v>19</v>
      </c>
      <c r="AG4" s="346" t="s">
        <v>20</v>
      </c>
      <c r="AH4" s="347"/>
    </row>
    <row r="5" spans="1:34" ht="70.8" x14ac:dyDescent="0.45">
      <c r="A5" s="8" t="s">
        <v>21</v>
      </c>
      <c r="B5" s="8" t="s">
        <v>22</v>
      </c>
      <c r="C5" s="12" t="s">
        <v>23</v>
      </c>
      <c r="D5" s="390" t="s">
        <v>24</v>
      </c>
      <c r="E5" s="390"/>
      <c r="F5" s="390"/>
      <c r="G5" s="190" t="s">
        <v>25</v>
      </c>
      <c r="H5" s="190" t="s">
        <v>26</v>
      </c>
      <c r="I5" s="189" t="s">
        <v>27</v>
      </c>
      <c r="J5" s="191" t="s">
        <v>28</v>
      </c>
      <c r="K5" s="191" t="s">
        <v>29</v>
      </c>
      <c r="L5" s="191" t="s">
        <v>30</v>
      </c>
      <c r="M5" s="189" t="s">
        <v>31</v>
      </c>
      <c r="N5" s="191" t="s">
        <v>32</v>
      </c>
      <c r="O5" s="191" t="s">
        <v>33</v>
      </c>
      <c r="P5" s="189" t="s">
        <v>27</v>
      </c>
      <c r="Q5" s="191" t="s">
        <v>34</v>
      </c>
      <c r="R5" s="191" t="s">
        <v>35</v>
      </c>
      <c r="S5" s="189" t="s">
        <v>36</v>
      </c>
      <c r="T5" s="191" t="s">
        <v>32</v>
      </c>
      <c r="U5" s="191" t="s">
        <v>33</v>
      </c>
      <c r="V5" s="189" t="s">
        <v>27</v>
      </c>
      <c r="W5" s="191" t="s">
        <v>35</v>
      </c>
      <c r="X5" s="189" t="s">
        <v>36</v>
      </c>
      <c r="Y5" s="191" t="s">
        <v>37</v>
      </c>
      <c r="Z5" s="189" t="s">
        <v>38</v>
      </c>
      <c r="AA5" s="192" t="s">
        <v>39</v>
      </c>
      <c r="AB5" s="191" t="s">
        <v>40</v>
      </c>
      <c r="AC5" s="16" t="s">
        <v>41</v>
      </c>
      <c r="AD5" s="15" t="s">
        <v>42</v>
      </c>
      <c r="AE5" s="17" t="s">
        <v>43</v>
      </c>
      <c r="AF5" s="271"/>
    </row>
    <row r="6" spans="1:34" s="144" customFormat="1" ht="14.25" customHeight="1" x14ac:dyDescent="0.35">
      <c r="A6" s="144">
        <v>1</v>
      </c>
      <c r="B6" s="144">
        <f>A6-$G$4</f>
        <v>1</v>
      </c>
      <c r="C6" s="145">
        <v>45901</v>
      </c>
      <c r="D6" s="144" t="s">
        <v>44</v>
      </c>
      <c r="G6" s="145">
        <v>45902.833333333336</v>
      </c>
      <c r="H6" s="144" t="s">
        <v>45</v>
      </c>
      <c r="I6" s="38">
        <f t="shared" ref="I6" si="0">P6+V6</f>
        <v>1021</v>
      </c>
      <c r="J6" s="39">
        <f>IF(Q6="Too early",Q6,Q6+V6)</f>
        <v>1730.5084745762713</v>
      </c>
      <c r="K6" s="32">
        <f>IF(J6="Too early",J6,J6/Z6)</f>
        <v>1.329115571871176</v>
      </c>
      <c r="L6" s="40">
        <f>R6+W6</f>
        <v>121597</v>
      </c>
      <c r="M6" s="33">
        <f>S6+X6</f>
        <v>153473</v>
      </c>
      <c r="N6" s="196">
        <f>L6/M6</f>
        <v>0.79230222905657677</v>
      </c>
      <c r="O6" s="32">
        <f>IF($J6="Too early",J6,J6*AB6/M6)</f>
        <v>1.3428851339941981</v>
      </c>
      <c r="P6" s="243">
        <v>1021</v>
      </c>
      <c r="Q6" s="207">
        <f>IF(B6&lt;7,(P6/VLOOKUP(B6,'Sales Pacing'!$A$23:$E$36,2)),"Too early")</f>
        <v>1730.5084745762713</v>
      </c>
      <c r="R6" s="356">
        <v>121597</v>
      </c>
      <c r="S6" s="231">
        <v>153473</v>
      </c>
      <c r="T6" s="196">
        <f>IF(R6&gt;0,R6/S6,"")</f>
        <v>0.79230222905657677</v>
      </c>
      <c r="U6" s="32">
        <f t="shared" ref="U6:U8" si="1">IF($Q6="Too early",Q6,Q6*AB6/S6)</f>
        <v>1.3428851339941981</v>
      </c>
      <c r="V6" s="223"/>
      <c r="W6" s="227"/>
      <c r="X6" s="231">
        <v>0</v>
      </c>
      <c r="Y6" s="208" t="str">
        <f>IF(W6&gt;0,W6/X6,"")</f>
        <v/>
      </c>
      <c r="Z6" s="234">
        <v>1302</v>
      </c>
      <c r="AA6" s="208">
        <f t="shared" ref="AA6:AA17" si="2">I6/Z6</f>
        <v>0.78417818740399381</v>
      </c>
      <c r="AB6" s="209">
        <f t="shared" ref="AB6" si="3">L6/I6</f>
        <v>119.09598432908913</v>
      </c>
      <c r="AC6" s="219">
        <v>113</v>
      </c>
      <c r="AD6" s="219">
        <v>223</v>
      </c>
      <c r="AE6" s="219">
        <v>336</v>
      </c>
      <c r="AF6" s="348">
        <v>110902</v>
      </c>
      <c r="AG6" s="352">
        <f>L6-AF6</f>
        <v>10695</v>
      </c>
    </row>
    <row r="7" spans="1:34" s="144" customFormat="1" ht="14.25" customHeight="1" x14ac:dyDescent="0.35">
      <c r="A7" s="144">
        <v>1</v>
      </c>
      <c r="B7" s="144">
        <f t="shared" ref="B7:B70" si="4">A7-$G$4</f>
        <v>1</v>
      </c>
      <c r="C7" s="145">
        <v>45901</v>
      </c>
      <c r="D7" s="144" t="s">
        <v>44</v>
      </c>
      <c r="G7" s="145">
        <v>45903.833333333336</v>
      </c>
      <c r="H7" s="144" t="s">
        <v>45</v>
      </c>
      <c r="I7" s="38">
        <f t="shared" ref="I7:I70" si="5">P7+V7</f>
        <v>932</v>
      </c>
      <c r="J7" s="39">
        <f t="shared" ref="J7:J70" si="6">IF(Q7="Too early",Q7,Q7+V7)</f>
        <v>1579.6610169491526</v>
      </c>
      <c r="K7" s="32">
        <f>IF(J7="Too early",J7,J7/Z7)</f>
        <v>1.2132573094847563</v>
      </c>
      <c r="L7" s="40">
        <f t="shared" ref="L7:L70" si="7">R7+W7</f>
        <v>111049</v>
      </c>
      <c r="M7" s="33">
        <f t="shared" ref="M7:M70" si="8">S7+X7</f>
        <v>153473</v>
      </c>
      <c r="N7" s="196">
        <f t="shared" ref="N7:N70" si="9">L7/M7</f>
        <v>0.72357352759117244</v>
      </c>
      <c r="O7" s="32">
        <f t="shared" ref="O7:O70" si="10">IF($J7="Too early",J7,J7*AB7/M7)</f>
        <v>1.2263958094765635</v>
      </c>
      <c r="P7" s="243">
        <v>932</v>
      </c>
      <c r="Q7" s="207">
        <f>IF(B7&lt;7,(P7/VLOOKUP(B7,'Sales Pacing'!$A$23:$E$36,2)),"Too early")</f>
        <v>1579.6610169491526</v>
      </c>
      <c r="R7" s="373">
        <v>111049</v>
      </c>
      <c r="S7" s="231">
        <v>153473</v>
      </c>
      <c r="T7" s="238">
        <f t="shared" ref="T7:T70" si="11">IF(R7&gt;0,R7/S7,"")</f>
        <v>0.72357352759117244</v>
      </c>
      <c r="U7" s="208">
        <f t="shared" si="1"/>
        <v>1.2263958094765635</v>
      </c>
      <c r="V7" s="223"/>
      <c r="W7" s="227"/>
      <c r="X7" s="231">
        <v>0</v>
      </c>
      <c r="Y7" s="208" t="str">
        <f t="shared" ref="Y7:Y70" si="12">IF(W7&gt;0,W7/X7,"")</f>
        <v/>
      </c>
      <c r="Z7" s="234">
        <v>1302</v>
      </c>
      <c r="AA7" s="208">
        <f t="shared" si="2"/>
        <v>0.71582181259600619</v>
      </c>
      <c r="AB7" s="209">
        <f t="shared" ref="AB7:AB70" si="13">L7/I7</f>
        <v>119.15128755364807</v>
      </c>
      <c r="AC7" s="219">
        <v>95</v>
      </c>
      <c r="AD7" s="219">
        <v>187</v>
      </c>
      <c r="AE7" s="219">
        <v>282</v>
      </c>
      <c r="AF7" s="348">
        <v>100649</v>
      </c>
      <c r="AG7" s="352">
        <f t="shared" ref="AG7:AG70" si="14">L7-AF7</f>
        <v>10400</v>
      </c>
    </row>
    <row r="8" spans="1:34" s="148" customFormat="1" ht="14.25" customHeight="1" x14ac:dyDescent="0.35">
      <c r="A8" s="148">
        <v>1</v>
      </c>
      <c r="B8" s="148">
        <f t="shared" si="4"/>
        <v>1</v>
      </c>
      <c r="C8" s="149">
        <v>45901</v>
      </c>
      <c r="D8" s="148" t="s">
        <v>46</v>
      </c>
      <c r="G8" s="149">
        <v>45905.833333333336</v>
      </c>
      <c r="H8" s="148" t="s">
        <v>45</v>
      </c>
      <c r="I8" s="150">
        <f t="shared" si="5"/>
        <v>625</v>
      </c>
      <c r="J8" s="34">
        <f t="shared" si="6"/>
        <v>1059.3220338983051</v>
      </c>
      <c r="K8" s="35">
        <f>IF(J8="Too early",J8,J8/Z8)</f>
        <v>1.7655367231638419</v>
      </c>
      <c r="L8" s="36">
        <f t="shared" si="7"/>
        <v>17555</v>
      </c>
      <c r="M8" s="37">
        <f t="shared" si="8"/>
        <v>15000</v>
      </c>
      <c r="N8" s="197">
        <f t="shared" si="9"/>
        <v>1.1703333333333332</v>
      </c>
      <c r="O8" s="35">
        <f t="shared" si="10"/>
        <v>1.9836158192090396</v>
      </c>
      <c r="P8" s="245">
        <v>625</v>
      </c>
      <c r="Q8" s="210">
        <f>IF(B8&lt;7,(P8/VLOOKUP(B8,'Sales Pacing'!$A$23:$E$36,2)),"Too early")</f>
        <v>1059.3220338983051</v>
      </c>
      <c r="R8" s="357">
        <v>17555</v>
      </c>
      <c r="S8" s="232">
        <v>15000</v>
      </c>
      <c r="T8" s="239">
        <f t="shared" si="11"/>
        <v>1.1703333333333332</v>
      </c>
      <c r="U8" s="211">
        <f t="shared" si="1"/>
        <v>1.9836158192090396</v>
      </c>
      <c r="V8" s="224"/>
      <c r="W8" s="228"/>
      <c r="X8" s="232">
        <v>0</v>
      </c>
      <c r="Y8" s="211" t="str">
        <f t="shared" si="12"/>
        <v/>
      </c>
      <c r="Z8" s="235">
        <v>600</v>
      </c>
      <c r="AA8" s="211">
        <f>I8/Z8</f>
        <v>1.0416666666666667</v>
      </c>
      <c r="AB8" s="212">
        <f t="shared" si="13"/>
        <v>28.088000000000001</v>
      </c>
      <c r="AC8" s="220">
        <v>59</v>
      </c>
      <c r="AD8" s="220">
        <v>185</v>
      </c>
      <c r="AE8" s="220">
        <v>244</v>
      </c>
      <c r="AF8" s="348">
        <v>16435</v>
      </c>
      <c r="AG8" s="352">
        <f t="shared" si="14"/>
        <v>1120</v>
      </c>
    </row>
    <row r="9" spans="1:34" s="187" customFormat="1" ht="14.25" customHeight="1" x14ac:dyDescent="0.35">
      <c r="A9" s="187">
        <v>2</v>
      </c>
      <c r="B9" s="187">
        <f t="shared" si="4"/>
        <v>2</v>
      </c>
      <c r="C9" s="188">
        <v>45908</v>
      </c>
      <c r="D9" s="187" t="s">
        <v>47</v>
      </c>
      <c r="G9" s="199"/>
      <c r="H9" s="200"/>
      <c r="I9" s="201">
        <f t="shared" si="5"/>
        <v>0</v>
      </c>
      <c r="J9" s="202">
        <f t="shared" si="6"/>
        <v>0</v>
      </c>
      <c r="K9" s="203"/>
      <c r="L9" s="204"/>
      <c r="M9" s="205"/>
      <c r="N9" s="206" t="e">
        <f t="shared" si="9"/>
        <v>#DIV/0!</v>
      </c>
      <c r="O9" s="203"/>
      <c r="P9" s="225"/>
      <c r="Q9" s="213">
        <f>IF(B9&lt;7,(P9/VLOOKUP(B9,'Sales Pacing'!$A$23:$E$36,2)),"Too early")</f>
        <v>0</v>
      </c>
      <c r="R9" s="229"/>
      <c r="S9" s="229"/>
      <c r="T9" s="240" t="str">
        <f t="shared" si="11"/>
        <v/>
      </c>
      <c r="U9" s="214"/>
      <c r="V9" s="225"/>
      <c r="W9" s="229"/>
      <c r="X9" s="229"/>
      <c r="Y9" s="214" t="s">
        <v>48</v>
      </c>
      <c r="Z9" s="225"/>
      <c r="AA9" s="214" t="e">
        <f t="shared" si="2"/>
        <v>#DIV/0!</v>
      </c>
      <c r="AB9" s="215"/>
      <c r="AC9" s="221"/>
      <c r="AD9" s="221"/>
      <c r="AE9" s="221"/>
      <c r="AF9" s="349"/>
      <c r="AG9" s="353"/>
    </row>
    <row r="10" spans="1:34" s="144" customFormat="1" ht="14.25" customHeight="1" x14ac:dyDescent="0.35">
      <c r="A10" s="144">
        <v>3</v>
      </c>
      <c r="B10" s="144">
        <f t="shared" si="4"/>
        <v>3</v>
      </c>
      <c r="C10" s="145">
        <v>45915</v>
      </c>
      <c r="D10" s="144" t="s">
        <v>49</v>
      </c>
      <c r="G10" s="145">
        <v>45919.833333333336</v>
      </c>
      <c r="H10" s="144" t="s">
        <v>50</v>
      </c>
      <c r="I10" s="318">
        <f>P10+V10</f>
        <v>904</v>
      </c>
      <c r="J10" s="39">
        <f t="shared" si="6"/>
        <v>1234.0256410256411</v>
      </c>
      <c r="K10" s="32">
        <f>IF(J10="Too early",J10,J10/Z10)</f>
        <v>0.77611675536203839</v>
      </c>
      <c r="L10" s="40">
        <f t="shared" si="7"/>
        <v>63589.3</v>
      </c>
      <c r="M10" s="33">
        <f t="shared" si="8"/>
        <v>100666</v>
      </c>
      <c r="N10" s="196">
        <f t="shared" si="9"/>
        <v>0.63168597143027438</v>
      </c>
      <c r="O10" s="32">
        <f t="shared" si="10"/>
        <v>0.86229721882870491</v>
      </c>
      <c r="P10" s="223">
        <v>211</v>
      </c>
      <c r="Q10" s="207">
        <f>IF(B10&lt;7,(P10/VLOOKUP(B10,'Sales Pacing'!$A$23:$E$36,2)),"Too early")</f>
        <v>541.02564102564099</v>
      </c>
      <c r="R10" s="227">
        <v>13694</v>
      </c>
      <c r="S10" s="231">
        <v>59333</v>
      </c>
      <c r="T10" s="238">
        <f t="shared" si="11"/>
        <v>0.23079904943286197</v>
      </c>
      <c r="U10" s="208">
        <f>IF($Q10="Too early",Q10,Q10*AB10/S10)</f>
        <v>0.64141210861316489</v>
      </c>
      <c r="V10" s="223">
        <v>693</v>
      </c>
      <c r="W10" s="227">
        <v>49895.3</v>
      </c>
      <c r="X10" s="231">
        <v>41333</v>
      </c>
      <c r="Y10" s="208">
        <f t="shared" si="12"/>
        <v>1.2071540899523383</v>
      </c>
      <c r="Z10" s="234">
        <v>1590</v>
      </c>
      <c r="AA10" s="208">
        <f t="shared" si="2"/>
        <v>0.56855345911949684</v>
      </c>
      <c r="AB10" s="209">
        <f t="shared" si="13"/>
        <v>70.342146017699122</v>
      </c>
      <c r="AC10" s="219">
        <v>10</v>
      </c>
      <c r="AD10" s="219">
        <v>355</v>
      </c>
      <c r="AE10" s="219">
        <v>365</v>
      </c>
      <c r="AF10" s="348">
        <v>61035.1</v>
      </c>
      <c r="AG10" s="352">
        <f t="shared" si="14"/>
        <v>2554.2000000000044</v>
      </c>
    </row>
    <row r="11" spans="1:34" s="144" customFormat="1" ht="14.25" customHeight="1" x14ac:dyDescent="0.35">
      <c r="A11" s="144">
        <v>3</v>
      </c>
      <c r="B11" s="144">
        <f t="shared" si="4"/>
        <v>3</v>
      </c>
      <c r="C11" s="145">
        <v>45915</v>
      </c>
      <c r="D11" s="144" t="s">
        <v>49</v>
      </c>
      <c r="G11" s="145">
        <v>45920.833333333336</v>
      </c>
      <c r="H11" s="144" t="s">
        <v>50</v>
      </c>
      <c r="I11" s="318">
        <f t="shared" si="5"/>
        <v>868</v>
      </c>
      <c r="J11" s="39">
        <f t="shared" si="6"/>
        <v>1265.2820512820513</v>
      </c>
      <c r="K11" s="32">
        <f>IF(J11="Too early",J11,J11/Z11)</f>
        <v>0.79577487502015798</v>
      </c>
      <c r="L11" s="40">
        <f t="shared" si="7"/>
        <v>62401.3</v>
      </c>
      <c r="M11" s="33">
        <f t="shared" si="8"/>
        <v>100667</v>
      </c>
      <c r="N11" s="196">
        <f t="shared" si="9"/>
        <v>0.61987841099863905</v>
      </c>
      <c r="O11" s="32">
        <f t="shared" si="10"/>
        <v>0.90359565370255368</v>
      </c>
      <c r="P11" s="223">
        <v>254</v>
      </c>
      <c r="Q11" s="207">
        <f>IF(B11&lt;7,(P11/VLOOKUP(B11,'Sales Pacing'!$A$23:$E$36,2)),"Too early")</f>
        <v>651.28205128205127</v>
      </c>
      <c r="R11" s="227">
        <v>17508</v>
      </c>
      <c r="S11" s="231">
        <v>59333</v>
      </c>
      <c r="T11" s="238">
        <f t="shared" si="11"/>
        <v>0.29508030943994068</v>
      </c>
      <c r="U11" s="208">
        <f t="shared" ref="U11:U74" si="15">IF($Q11="Too early",Q11,Q11*AB11/S11)</f>
        <v>0.78912665666868165</v>
      </c>
      <c r="V11" s="223">
        <v>614</v>
      </c>
      <c r="W11" s="227">
        <v>44893.3</v>
      </c>
      <c r="X11" s="231">
        <v>41334</v>
      </c>
      <c r="Y11" s="208">
        <f t="shared" si="12"/>
        <v>1.0861107078918082</v>
      </c>
      <c r="Z11" s="234">
        <v>1590</v>
      </c>
      <c r="AA11" s="208">
        <f t="shared" si="2"/>
        <v>0.54591194968553458</v>
      </c>
      <c r="AB11" s="209">
        <f t="shared" si="13"/>
        <v>71.890898617511525</v>
      </c>
      <c r="AC11" s="219">
        <v>20</v>
      </c>
      <c r="AD11" s="219">
        <v>314</v>
      </c>
      <c r="AE11" s="219">
        <v>334</v>
      </c>
      <c r="AF11" s="348">
        <v>60302.5</v>
      </c>
      <c r="AG11" s="352">
        <f t="shared" si="14"/>
        <v>2098.8000000000029</v>
      </c>
    </row>
    <row r="12" spans="1:34" s="148" customFormat="1" ht="14.25" customHeight="1" x14ac:dyDescent="0.35">
      <c r="A12" s="148">
        <v>3</v>
      </c>
      <c r="B12" s="148">
        <f t="shared" si="4"/>
        <v>3</v>
      </c>
      <c r="C12" s="149">
        <v>45915</v>
      </c>
      <c r="D12" s="148" t="s">
        <v>49</v>
      </c>
      <c r="G12" s="149">
        <v>45921.583333333336</v>
      </c>
      <c r="H12" s="148" t="s">
        <v>50</v>
      </c>
      <c r="I12" s="319">
        <f t="shared" si="5"/>
        <v>678</v>
      </c>
      <c r="J12" s="34">
        <f t="shared" si="6"/>
        <v>1153.4871794871794</v>
      </c>
      <c r="K12" s="35">
        <f>IF(J12="Too early",J12,J12/Z12)</f>
        <v>0.72546363489759713</v>
      </c>
      <c r="L12" s="36">
        <f t="shared" si="7"/>
        <v>45027.8</v>
      </c>
      <c r="M12" s="37">
        <f t="shared" si="8"/>
        <v>100666</v>
      </c>
      <c r="N12" s="197">
        <f t="shared" si="9"/>
        <v>0.44729898873502477</v>
      </c>
      <c r="O12" s="35">
        <f t="shared" si="10"/>
        <v>0.76099358245343862</v>
      </c>
      <c r="P12" s="224">
        <v>304</v>
      </c>
      <c r="Q12" s="210">
        <f>IF(B12&lt;7,(P12/VLOOKUP(B12,'Sales Pacing'!$A$23:$E$36,2)),"Too early")</f>
        <v>779.48717948717945</v>
      </c>
      <c r="R12" s="228">
        <v>19552</v>
      </c>
      <c r="S12" s="232">
        <v>59333</v>
      </c>
      <c r="T12" s="239">
        <f t="shared" si="11"/>
        <v>0.32952994117944484</v>
      </c>
      <c r="U12" s="211">
        <f t="shared" si="15"/>
        <v>0.87249651995441813</v>
      </c>
      <c r="V12" s="224">
        <v>374</v>
      </c>
      <c r="W12" s="228">
        <v>25475.8</v>
      </c>
      <c r="X12" s="232">
        <v>41333</v>
      </c>
      <c r="Y12" s="211">
        <f t="shared" si="12"/>
        <v>0.61635497060460165</v>
      </c>
      <c r="Z12" s="235">
        <v>1590</v>
      </c>
      <c r="AA12" s="211">
        <f t="shared" si="2"/>
        <v>0.42641509433962266</v>
      </c>
      <c r="AB12" s="212">
        <f t="shared" si="13"/>
        <v>66.412684365781715</v>
      </c>
      <c r="AC12" s="220">
        <v>16</v>
      </c>
      <c r="AD12" s="220">
        <v>223</v>
      </c>
      <c r="AE12" s="220">
        <v>239</v>
      </c>
      <c r="AF12" s="350">
        <v>40030.800000000003</v>
      </c>
      <c r="AG12" s="352">
        <f t="shared" si="14"/>
        <v>4997</v>
      </c>
    </row>
    <row r="13" spans="1:34" s="148" customFormat="1" ht="14.25" customHeight="1" x14ac:dyDescent="0.35">
      <c r="A13" s="148">
        <v>4</v>
      </c>
      <c r="B13" s="148">
        <f t="shared" si="4"/>
        <v>4</v>
      </c>
      <c r="C13" s="149">
        <v>45922</v>
      </c>
      <c r="D13" s="148" t="s">
        <v>51</v>
      </c>
      <c r="G13" s="149">
        <v>45928.583333333336</v>
      </c>
      <c r="H13" s="148" t="s">
        <v>52</v>
      </c>
      <c r="I13" s="150">
        <f t="shared" si="5"/>
        <v>429</v>
      </c>
      <c r="J13" s="34">
        <f t="shared" si="6"/>
        <v>707.15151515151513</v>
      </c>
      <c r="K13" s="35">
        <f>IF(J13="Too early",J13,J13/Z13)</f>
        <v>0.543127123772285</v>
      </c>
      <c r="L13" s="36">
        <f t="shared" si="7"/>
        <v>11177</v>
      </c>
      <c r="M13" s="37">
        <f t="shared" si="8"/>
        <v>19500</v>
      </c>
      <c r="N13" s="197">
        <f t="shared" si="9"/>
        <v>0.57317948717948719</v>
      </c>
      <c r="O13" s="35">
        <f t="shared" si="10"/>
        <v>0.94481292030942376</v>
      </c>
      <c r="P13" s="245">
        <v>137</v>
      </c>
      <c r="Q13" s="210">
        <f>IF(B13&lt;7,(P13/VLOOKUP(B13,'Sales Pacing'!$A$23:$E$36,2)),"Too early")</f>
        <v>415.15151515151513</v>
      </c>
      <c r="R13" s="228">
        <v>4687</v>
      </c>
      <c r="S13" s="232">
        <v>10000</v>
      </c>
      <c r="T13" s="239">
        <f t="shared" si="11"/>
        <v>0.46870000000000001</v>
      </c>
      <c r="U13" s="211">
        <f t="shared" si="15"/>
        <v>1.0816196934378752</v>
      </c>
      <c r="V13" s="224">
        <v>292</v>
      </c>
      <c r="W13" s="228">
        <v>6490</v>
      </c>
      <c r="X13" s="232">
        <v>9500</v>
      </c>
      <c r="Y13" s="211">
        <f t="shared" si="12"/>
        <v>0.68315789473684208</v>
      </c>
      <c r="Z13" s="235">
        <v>1302</v>
      </c>
      <c r="AA13" s="211">
        <f t="shared" si="2"/>
        <v>0.3294930875576037</v>
      </c>
      <c r="AB13" s="212">
        <f t="shared" si="13"/>
        <v>26.053613053613052</v>
      </c>
      <c r="AC13" s="220">
        <v>15</v>
      </c>
      <c r="AD13" s="220">
        <v>88</v>
      </c>
      <c r="AE13" s="220">
        <v>103</v>
      </c>
      <c r="AF13" s="350">
        <v>10625</v>
      </c>
      <c r="AG13" s="352">
        <f t="shared" si="14"/>
        <v>552</v>
      </c>
    </row>
    <row r="14" spans="1:34" s="148" customFormat="1" ht="14.25" customHeight="1" x14ac:dyDescent="0.35">
      <c r="A14" s="148">
        <v>5</v>
      </c>
      <c r="B14" s="148">
        <f t="shared" si="4"/>
        <v>5</v>
      </c>
      <c r="C14" s="149">
        <v>45929</v>
      </c>
      <c r="D14" s="148" t="s">
        <v>53</v>
      </c>
      <c r="G14" s="149">
        <v>45934</v>
      </c>
      <c r="H14" s="148" t="s">
        <v>45</v>
      </c>
      <c r="I14" s="150">
        <f t="shared" si="5"/>
        <v>150</v>
      </c>
      <c r="J14" s="34">
        <f t="shared" si="6"/>
        <v>500</v>
      </c>
      <c r="K14" s="35">
        <f>IF(J14="Too early",J14,J14/Z14)</f>
        <v>0.31446540880503143</v>
      </c>
      <c r="L14" s="36">
        <f t="shared" si="7"/>
        <v>10596</v>
      </c>
      <c r="M14" s="37">
        <f t="shared" si="8"/>
        <v>58000</v>
      </c>
      <c r="N14" s="197">
        <f t="shared" si="9"/>
        <v>0.18268965517241378</v>
      </c>
      <c r="O14" s="35">
        <f t="shared" si="10"/>
        <v>0.60896551724137926</v>
      </c>
      <c r="P14" s="224">
        <v>150</v>
      </c>
      <c r="Q14" s="210">
        <f>IF(B14&lt;7,(P14/VLOOKUP(B14,'Sales Pacing'!$A$23:$E$36,2)),"Too early")</f>
        <v>500</v>
      </c>
      <c r="R14" s="228">
        <v>10596</v>
      </c>
      <c r="S14" s="232">
        <v>58000</v>
      </c>
      <c r="T14" s="239">
        <f t="shared" si="11"/>
        <v>0.18268965517241378</v>
      </c>
      <c r="U14" s="211">
        <f t="shared" si="15"/>
        <v>0.60896551724137926</v>
      </c>
      <c r="V14" s="224"/>
      <c r="W14" s="228"/>
      <c r="X14" s="232"/>
      <c r="Y14" s="211" t="str">
        <f t="shared" si="12"/>
        <v/>
      </c>
      <c r="Z14" s="235">
        <v>1590</v>
      </c>
      <c r="AA14" s="211">
        <f t="shared" si="2"/>
        <v>9.4339622641509441E-2</v>
      </c>
      <c r="AB14" s="212">
        <f t="shared" si="13"/>
        <v>70.64</v>
      </c>
      <c r="AC14" s="220">
        <v>6</v>
      </c>
      <c r="AD14" s="220">
        <v>40</v>
      </c>
      <c r="AE14" s="220">
        <v>46</v>
      </c>
      <c r="AF14" s="350">
        <v>9094</v>
      </c>
      <c r="AG14" s="352">
        <f t="shared" si="14"/>
        <v>1502</v>
      </c>
    </row>
    <row r="15" spans="1:34" s="144" customFormat="1" ht="14.25" customHeight="1" x14ac:dyDescent="0.35">
      <c r="A15" s="144">
        <v>6</v>
      </c>
      <c r="B15" s="144">
        <f t="shared" si="4"/>
        <v>6</v>
      </c>
      <c r="C15" s="145">
        <v>45936</v>
      </c>
      <c r="D15" s="144" t="s">
        <v>54</v>
      </c>
      <c r="G15" s="145">
        <v>45940.833333333336</v>
      </c>
      <c r="H15" s="144" t="s">
        <v>55</v>
      </c>
      <c r="I15" s="38">
        <f t="shared" si="5"/>
        <v>662</v>
      </c>
      <c r="J15" s="39">
        <f t="shared" si="6"/>
        <v>983.74074074074065</v>
      </c>
      <c r="K15" s="32">
        <f t="shared" ref="K15:K29" si="16">IF(J15="Too early",J15,J15/Z15)</f>
        <v>0.68649039828383851</v>
      </c>
      <c r="L15" s="40">
        <f t="shared" si="7"/>
        <v>43762.3</v>
      </c>
      <c r="M15" s="380">
        <v>100000</v>
      </c>
      <c r="N15" s="196">
        <f t="shared" si="9"/>
        <v>0.43762300000000004</v>
      </c>
      <c r="O15" s="32">
        <f t="shared" si="10"/>
        <v>0.65031355617097453</v>
      </c>
      <c r="P15" s="223">
        <v>119</v>
      </c>
      <c r="Q15" s="207">
        <f>IF(B15&lt;7,(P15/VLOOKUP(B15,'Sales Pacing'!$A$23:$E$36,2)),"Too early")</f>
        <v>440.7407407407407</v>
      </c>
      <c r="R15" s="227">
        <v>7327</v>
      </c>
      <c r="S15" s="231">
        <v>16666</v>
      </c>
      <c r="T15" s="238">
        <f t="shared" si="11"/>
        <v>0.43963758550342014</v>
      </c>
      <c r="U15" s="208">
        <f t="shared" si="15"/>
        <v>1.7482114860290954</v>
      </c>
      <c r="V15" s="223">
        <v>543</v>
      </c>
      <c r="W15" s="227">
        <v>36435.300000000003</v>
      </c>
      <c r="X15" s="231">
        <v>33333</v>
      </c>
      <c r="Y15" s="208">
        <f t="shared" si="12"/>
        <v>1.093069930699307</v>
      </c>
      <c r="Z15" s="234">
        <v>1433</v>
      </c>
      <c r="AA15" s="208">
        <f t="shared" si="2"/>
        <v>0.46196789951151429</v>
      </c>
      <c r="AB15" s="209">
        <f t="shared" si="13"/>
        <v>66.106193353474325</v>
      </c>
      <c r="AC15" s="219">
        <v>7</v>
      </c>
      <c r="AD15" s="219">
        <v>323</v>
      </c>
      <c r="AE15" s="219">
        <v>330</v>
      </c>
      <c r="AF15" s="348">
        <v>43678.3</v>
      </c>
      <c r="AG15" s="352">
        <f t="shared" si="14"/>
        <v>84</v>
      </c>
    </row>
    <row r="16" spans="1:34" s="144" customFormat="1" ht="14.25" customHeight="1" x14ac:dyDescent="0.35">
      <c r="A16" s="144">
        <v>6</v>
      </c>
      <c r="B16" s="144">
        <f t="shared" si="4"/>
        <v>6</v>
      </c>
      <c r="C16" s="145">
        <v>45936</v>
      </c>
      <c r="D16" s="144" t="s">
        <v>54</v>
      </c>
      <c r="G16" s="145">
        <v>45941.833333333336</v>
      </c>
      <c r="H16" s="144" t="s">
        <v>55</v>
      </c>
      <c r="I16" s="38">
        <f t="shared" si="5"/>
        <v>724</v>
      </c>
      <c r="J16" s="39">
        <f t="shared" si="6"/>
        <v>1110.6296296296296</v>
      </c>
      <c r="K16" s="32">
        <f t="shared" si="16"/>
        <v>0.77503812256080218</v>
      </c>
      <c r="L16" s="40">
        <f t="shared" si="7"/>
        <v>48541.1</v>
      </c>
      <c r="M16" s="380">
        <v>100000</v>
      </c>
      <c r="N16" s="196">
        <f t="shared" si="9"/>
        <v>0.48541099999999998</v>
      </c>
      <c r="O16" s="32">
        <f t="shared" si="10"/>
        <v>0.74462961208307754</v>
      </c>
      <c r="P16" s="223">
        <v>143</v>
      </c>
      <c r="Q16" s="207">
        <f>IF(B16&lt;7,(P16/VLOOKUP(B16,'Sales Pacing'!$A$23:$E$36,2)),"Too early")</f>
        <v>529.62962962962956</v>
      </c>
      <c r="R16" s="227">
        <v>8845</v>
      </c>
      <c r="S16" s="231">
        <v>16666</v>
      </c>
      <c r="T16" s="238">
        <f t="shared" si="11"/>
        <v>0.53072122884915396</v>
      </c>
      <c r="U16" s="208">
        <f t="shared" si="15"/>
        <v>2.1306491608958402</v>
      </c>
      <c r="V16" s="223">
        <v>581</v>
      </c>
      <c r="W16" s="227">
        <v>39696.1</v>
      </c>
      <c r="X16" s="231">
        <v>33333</v>
      </c>
      <c r="Y16" s="208">
        <f t="shared" si="12"/>
        <v>1.1908949089490894</v>
      </c>
      <c r="Z16" s="234">
        <v>1433</v>
      </c>
      <c r="AA16" s="208">
        <f t="shared" si="2"/>
        <v>0.50523377529658064</v>
      </c>
      <c r="AB16" s="209">
        <f t="shared" si="13"/>
        <v>67.045718232044194</v>
      </c>
      <c r="AC16" s="219">
        <v>411</v>
      </c>
      <c r="AD16" s="219">
        <v>342</v>
      </c>
      <c r="AE16" s="219">
        <v>353</v>
      </c>
      <c r="AF16" s="348">
        <v>47426.6</v>
      </c>
      <c r="AG16" s="352">
        <f t="shared" si="14"/>
        <v>1114.5</v>
      </c>
    </row>
    <row r="17" spans="1:33" s="148" customFormat="1" ht="14.25" customHeight="1" x14ac:dyDescent="0.35">
      <c r="A17" s="148">
        <v>6</v>
      </c>
      <c r="B17" s="148">
        <f t="shared" si="4"/>
        <v>6</v>
      </c>
      <c r="C17" s="149">
        <v>45936</v>
      </c>
      <c r="D17" s="148" t="s">
        <v>54</v>
      </c>
      <c r="G17" s="149">
        <v>45942.583333333336</v>
      </c>
      <c r="H17" s="148" t="s">
        <v>55</v>
      </c>
      <c r="I17" s="150">
        <f t="shared" si="5"/>
        <v>791</v>
      </c>
      <c r="J17" s="34">
        <f t="shared" si="6"/>
        <v>1272.2592592592591</v>
      </c>
      <c r="K17" s="35">
        <f t="shared" si="16"/>
        <v>0.88782921092760581</v>
      </c>
      <c r="L17" s="36">
        <f t="shared" si="7"/>
        <v>51198.6</v>
      </c>
      <c r="M17" s="381">
        <v>100000</v>
      </c>
      <c r="N17" s="197">
        <f t="shared" si="9"/>
        <v>0.51198599999999994</v>
      </c>
      <c r="O17" s="35">
        <f t="shared" si="10"/>
        <v>0.82348790026689123</v>
      </c>
      <c r="P17" s="224">
        <v>178</v>
      </c>
      <c r="Q17" s="210">
        <f>IF(B17&lt;7,(P17/VLOOKUP(B17,'Sales Pacing'!$A$23:$E$36,2)),"Too early")</f>
        <v>659.25925925925924</v>
      </c>
      <c r="R17" s="228">
        <v>11452</v>
      </c>
      <c r="S17" s="232">
        <v>16666</v>
      </c>
      <c r="T17" s="239">
        <f t="shared" si="11"/>
        <v>0.68714748589943597</v>
      </c>
      <c r="U17" s="211">
        <f t="shared" si="15"/>
        <v>2.5603920069150004</v>
      </c>
      <c r="V17" s="224">
        <v>613</v>
      </c>
      <c r="W17" s="228">
        <v>39746.6</v>
      </c>
      <c r="X17" s="232">
        <v>33334</v>
      </c>
      <c r="Y17" s="211">
        <f t="shared" si="12"/>
        <v>1.1923741525169496</v>
      </c>
      <c r="Z17" s="235">
        <v>1433</v>
      </c>
      <c r="AA17" s="211">
        <f t="shared" si="2"/>
        <v>0.55198883461270065</v>
      </c>
      <c r="AB17" s="212">
        <f t="shared" si="13"/>
        <v>64.726422250316048</v>
      </c>
      <c r="AC17" s="220">
        <v>8</v>
      </c>
      <c r="AD17" s="220">
        <v>402</v>
      </c>
      <c r="AE17" s="220">
        <v>410</v>
      </c>
      <c r="AF17" s="350">
        <v>49731.6</v>
      </c>
      <c r="AG17" s="352">
        <f t="shared" si="14"/>
        <v>1467</v>
      </c>
    </row>
    <row r="18" spans="1:33" s="144" customFormat="1" ht="14.25" customHeight="1" x14ac:dyDescent="0.35">
      <c r="A18" s="144">
        <v>7</v>
      </c>
      <c r="B18" s="144">
        <f t="shared" si="4"/>
        <v>7</v>
      </c>
      <c r="C18" s="145">
        <v>45943</v>
      </c>
      <c r="D18" s="144" t="s">
        <v>56</v>
      </c>
      <c r="G18" s="145">
        <v>45947.791666666664</v>
      </c>
      <c r="H18" s="144" t="s">
        <v>57</v>
      </c>
      <c r="I18" s="318">
        <f t="shared" si="5"/>
        <v>546</v>
      </c>
      <c r="J18" s="39" t="str">
        <f t="shared" si="6"/>
        <v>Too early</v>
      </c>
      <c r="K18" s="32" t="str">
        <f t="shared" si="16"/>
        <v>Too early</v>
      </c>
      <c r="L18" s="40">
        <f t="shared" si="7"/>
        <v>41731.5</v>
      </c>
      <c r="M18" s="33">
        <f t="shared" si="8"/>
        <v>103497</v>
      </c>
      <c r="N18" s="196">
        <f t="shared" si="9"/>
        <v>0.40321458593002696</v>
      </c>
      <c r="O18" s="32" t="str">
        <f t="shared" si="10"/>
        <v>Too early</v>
      </c>
      <c r="P18" s="243">
        <v>546</v>
      </c>
      <c r="Q18" s="207" t="str">
        <f>IF(B18&lt;7,(P18/VLOOKUP(B18,'Sales Pacing'!$A$23:$E$36,2)),"Too early")</f>
        <v>Too early</v>
      </c>
      <c r="R18" s="227">
        <v>41731.5</v>
      </c>
      <c r="S18" s="231">
        <v>103497</v>
      </c>
      <c r="T18" s="238">
        <f t="shared" si="11"/>
        <v>0.40321458593002696</v>
      </c>
      <c r="U18" s="208" t="str">
        <f t="shared" si="15"/>
        <v>Too early</v>
      </c>
      <c r="V18" s="223"/>
      <c r="W18" s="227"/>
      <c r="X18" s="231"/>
      <c r="Y18" s="208" t="str">
        <f t="shared" si="12"/>
        <v/>
      </c>
      <c r="Z18" s="234">
        <v>1302</v>
      </c>
      <c r="AA18" s="208">
        <f>I18/Z19</f>
        <v>0.41935483870967744</v>
      </c>
      <c r="AB18" s="209">
        <f t="shared" si="13"/>
        <v>76.431318681318686</v>
      </c>
      <c r="AC18" s="219"/>
      <c r="AD18" s="219"/>
      <c r="AE18" s="219"/>
      <c r="AF18" s="348">
        <v>38186</v>
      </c>
      <c r="AG18" s="352">
        <f t="shared" si="14"/>
        <v>3545.5</v>
      </c>
    </row>
    <row r="19" spans="1:33" s="144" customFormat="1" ht="14.25" customHeight="1" x14ac:dyDescent="0.35">
      <c r="A19" s="144">
        <v>7</v>
      </c>
      <c r="B19" s="144">
        <f t="shared" si="4"/>
        <v>7</v>
      </c>
      <c r="C19" s="145">
        <v>45943</v>
      </c>
      <c r="D19" s="144" t="s">
        <v>56</v>
      </c>
      <c r="G19" s="145">
        <v>45948.791666666664</v>
      </c>
      <c r="H19" s="144" t="s">
        <v>57</v>
      </c>
      <c r="I19" s="318">
        <f t="shared" si="5"/>
        <v>661</v>
      </c>
      <c r="J19" s="39" t="str">
        <f t="shared" si="6"/>
        <v>Too early</v>
      </c>
      <c r="K19" s="32" t="str">
        <f t="shared" si="16"/>
        <v>Too early</v>
      </c>
      <c r="L19" s="40">
        <f t="shared" si="7"/>
        <v>50068</v>
      </c>
      <c r="M19" s="33">
        <f t="shared" si="8"/>
        <v>103497</v>
      </c>
      <c r="N19" s="196">
        <f t="shared" si="9"/>
        <v>0.4837628143810932</v>
      </c>
      <c r="O19" s="32" t="str">
        <f t="shared" si="10"/>
        <v>Too early</v>
      </c>
      <c r="P19" s="243">
        <v>661</v>
      </c>
      <c r="Q19" s="207" t="str">
        <f>IF(B19&lt;7,(P19/VLOOKUP(B19,'Sales Pacing'!$A$23:$E$36,2)),"Too early")</f>
        <v>Too early</v>
      </c>
      <c r="R19" s="227">
        <v>50068</v>
      </c>
      <c r="S19" s="231">
        <v>103497</v>
      </c>
      <c r="T19" s="238">
        <f t="shared" si="11"/>
        <v>0.4837628143810932</v>
      </c>
      <c r="U19" s="208" t="str">
        <f t="shared" si="15"/>
        <v>Too early</v>
      </c>
      <c r="V19" s="223"/>
      <c r="W19" s="227"/>
      <c r="X19" s="231"/>
      <c r="Y19" s="208" t="str">
        <f t="shared" si="12"/>
        <v/>
      </c>
      <c r="Z19" s="234">
        <v>1302</v>
      </c>
      <c r="AA19" s="208">
        <f t="shared" ref="AA19:AA50" si="17">I19/Z19</f>
        <v>0.50768049155145933</v>
      </c>
      <c r="AB19" s="209">
        <f t="shared" si="13"/>
        <v>75.745839636913772</v>
      </c>
      <c r="AC19" s="219"/>
      <c r="AD19" s="219"/>
      <c r="AE19" s="219"/>
      <c r="AF19" s="348">
        <v>47838</v>
      </c>
      <c r="AG19" s="352">
        <f t="shared" si="14"/>
        <v>2230</v>
      </c>
    </row>
    <row r="20" spans="1:33" s="148" customFormat="1" ht="14.25" customHeight="1" x14ac:dyDescent="0.35">
      <c r="A20" s="148">
        <v>7</v>
      </c>
      <c r="B20" s="148">
        <f t="shared" si="4"/>
        <v>7</v>
      </c>
      <c r="C20" s="149">
        <v>45943</v>
      </c>
      <c r="D20" s="148" t="s">
        <v>56</v>
      </c>
      <c r="G20" s="149">
        <v>45949.583333333336</v>
      </c>
      <c r="H20" s="148" t="s">
        <v>57</v>
      </c>
      <c r="I20" s="319">
        <f t="shared" si="5"/>
        <v>473</v>
      </c>
      <c r="J20" s="34" t="str">
        <f t="shared" si="6"/>
        <v>Too early</v>
      </c>
      <c r="K20" s="35" t="str">
        <f t="shared" si="16"/>
        <v>Too early</v>
      </c>
      <c r="L20" s="36">
        <f t="shared" si="7"/>
        <v>36255</v>
      </c>
      <c r="M20" s="37">
        <f t="shared" si="8"/>
        <v>103496</v>
      </c>
      <c r="N20" s="197">
        <f t="shared" si="9"/>
        <v>0.35030339336785965</v>
      </c>
      <c r="O20" s="35" t="str">
        <f t="shared" si="10"/>
        <v>Too early</v>
      </c>
      <c r="P20" s="245">
        <v>473</v>
      </c>
      <c r="Q20" s="210" t="str">
        <f>IF(B20&lt;7,(P20/VLOOKUP(B20,'Sales Pacing'!$A$23:$E$36,2)),"Too early")</f>
        <v>Too early</v>
      </c>
      <c r="R20" s="228">
        <v>36255</v>
      </c>
      <c r="S20" s="232">
        <v>103496</v>
      </c>
      <c r="T20" s="239">
        <f t="shared" si="11"/>
        <v>0.35030339336785965</v>
      </c>
      <c r="U20" s="211" t="str">
        <f t="shared" si="15"/>
        <v>Too early</v>
      </c>
      <c r="V20" s="224"/>
      <c r="W20" s="228"/>
      <c r="X20" s="232"/>
      <c r="Y20" s="211" t="str">
        <f t="shared" si="12"/>
        <v/>
      </c>
      <c r="Z20" s="235">
        <v>1302</v>
      </c>
      <c r="AA20" s="211">
        <f t="shared" si="17"/>
        <v>0.3632872503840246</v>
      </c>
      <c r="AB20" s="212">
        <f t="shared" si="13"/>
        <v>76.649048625792815</v>
      </c>
      <c r="AC20" s="220"/>
      <c r="AD20" s="220"/>
      <c r="AE20" s="220"/>
      <c r="AF20" s="350">
        <v>34131</v>
      </c>
      <c r="AG20" s="352">
        <f t="shared" si="14"/>
        <v>2124</v>
      </c>
    </row>
    <row r="21" spans="1:33" s="144" customFormat="1" ht="14.25" customHeight="1" x14ac:dyDescent="0.35">
      <c r="A21" s="144">
        <v>8</v>
      </c>
      <c r="B21" s="144">
        <f t="shared" si="4"/>
        <v>8</v>
      </c>
      <c r="C21" s="145">
        <v>45950</v>
      </c>
      <c r="D21" s="144" t="s">
        <v>58</v>
      </c>
      <c r="G21" s="145">
        <v>45952.791666666664</v>
      </c>
      <c r="H21" s="144" t="s">
        <v>57</v>
      </c>
      <c r="I21" s="38">
        <f t="shared" si="5"/>
        <v>187</v>
      </c>
      <c r="J21" s="39" t="str">
        <f t="shared" si="6"/>
        <v>Too early</v>
      </c>
      <c r="K21" s="32" t="str">
        <f t="shared" si="16"/>
        <v>Too early</v>
      </c>
      <c r="L21" s="40">
        <f t="shared" si="7"/>
        <v>9513</v>
      </c>
      <c r="M21" s="33">
        <f t="shared" si="8"/>
        <v>50000</v>
      </c>
      <c r="N21" s="196">
        <f t="shared" si="9"/>
        <v>0.19026000000000001</v>
      </c>
      <c r="O21" s="32" t="str">
        <f t="shared" si="10"/>
        <v>Too early</v>
      </c>
      <c r="P21" s="223">
        <v>187</v>
      </c>
      <c r="Q21" s="207" t="str">
        <f>IF(B21&lt;7,(P21/VLOOKUP(B21,'Sales Pacing'!$A$23:$E$36,2)),"Too early")</f>
        <v>Too early</v>
      </c>
      <c r="R21" s="227">
        <v>9513</v>
      </c>
      <c r="S21" s="231">
        <v>50000</v>
      </c>
      <c r="T21" s="238">
        <f t="shared" si="11"/>
        <v>0.19026000000000001</v>
      </c>
      <c r="U21" s="208" t="str">
        <f t="shared" si="15"/>
        <v>Too early</v>
      </c>
      <c r="V21" s="223"/>
      <c r="W21" s="227"/>
      <c r="X21" s="231"/>
      <c r="Y21" s="208" t="str">
        <f t="shared" si="12"/>
        <v/>
      </c>
      <c r="Z21" s="234">
        <v>1302</v>
      </c>
      <c r="AA21" s="208">
        <f t="shared" si="17"/>
        <v>0.14362519201228879</v>
      </c>
      <c r="AB21" s="209">
        <f t="shared" si="13"/>
        <v>50.871657754010698</v>
      </c>
      <c r="AC21" s="219"/>
      <c r="AD21" s="219"/>
      <c r="AE21" s="219"/>
      <c r="AF21" s="348">
        <v>9284</v>
      </c>
      <c r="AG21" s="352">
        <f t="shared" si="14"/>
        <v>229</v>
      </c>
    </row>
    <row r="22" spans="1:33" s="180" customFormat="1" ht="14.25" customHeight="1" x14ac:dyDescent="0.35">
      <c r="A22" s="180">
        <v>8</v>
      </c>
      <c r="B22" s="180">
        <f t="shared" si="4"/>
        <v>8</v>
      </c>
      <c r="C22" s="181">
        <v>45950</v>
      </c>
      <c r="D22" s="180" t="s">
        <v>59</v>
      </c>
      <c r="G22" s="181">
        <v>45954.833333333336</v>
      </c>
      <c r="H22" s="180" t="s">
        <v>50</v>
      </c>
      <c r="I22" s="182">
        <f t="shared" si="5"/>
        <v>783</v>
      </c>
      <c r="J22" s="183" t="str">
        <f t="shared" si="6"/>
        <v>Too early</v>
      </c>
      <c r="K22" s="184" t="str">
        <f t="shared" si="16"/>
        <v>Too early</v>
      </c>
      <c r="L22" s="185">
        <f t="shared" si="7"/>
        <v>55866.3</v>
      </c>
      <c r="M22" s="186">
        <f t="shared" si="8"/>
        <v>92333</v>
      </c>
      <c r="N22" s="198">
        <f t="shared" si="9"/>
        <v>0.60505236480998126</v>
      </c>
      <c r="O22" s="184" t="str">
        <f t="shared" si="10"/>
        <v>Too early</v>
      </c>
      <c r="P22" s="313">
        <v>70</v>
      </c>
      <c r="Q22" s="216" t="str">
        <f>IF(B22&lt;7,(P22/VLOOKUP(B22,'Sales Pacing'!$A$23:$E$36,2)),"Too early")</f>
        <v>Too early</v>
      </c>
      <c r="R22" s="230">
        <v>4060</v>
      </c>
      <c r="S22" s="233">
        <v>53333</v>
      </c>
      <c r="T22" s="241">
        <f t="shared" si="11"/>
        <v>7.6125475784223656E-2</v>
      </c>
      <c r="U22" s="217" t="str">
        <f t="shared" si="15"/>
        <v>Too early</v>
      </c>
      <c r="V22" s="226">
        <v>713</v>
      </c>
      <c r="W22" s="230">
        <v>51806.3</v>
      </c>
      <c r="X22" s="233">
        <v>39000</v>
      </c>
      <c r="Y22" s="217">
        <f t="shared" si="12"/>
        <v>1.3283666666666667</v>
      </c>
      <c r="Z22" s="236">
        <v>1590</v>
      </c>
      <c r="AA22" s="217">
        <f t="shared" si="17"/>
        <v>0.49245283018867925</v>
      </c>
      <c r="AB22" s="218">
        <f t="shared" si="13"/>
        <v>71.34904214559387</v>
      </c>
      <c r="AC22" s="222"/>
      <c r="AD22" s="222"/>
      <c r="AE22" s="222"/>
      <c r="AF22" s="351">
        <v>55899.1</v>
      </c>
      <c r="AG22" s="352">
        <f t="shared" si="14"/>
        <v>-32.799999999995634</v>
      </c>
    </row>
    <row r="23" spans="1:33" s="144" customFormat="1" ht="14.25" customHeight="1" x14ac:dyDescent="0.35">
      <c r="A23" s="144">
        <v>8</v>
      </c>
      <c r="B23" s="144">
        <f t="shared" si="4"/>
        <v>8</v>
      </c>
      <c r="C23" s="145">
        <v>45950</v>
      </c>
      <c r="D23" s="144" t="s">
        <v>59</v>
      </c>
      <c r="G23" s="145">
        <v>45955.833333333336</v>
      </c>
      <c r="H23" s="144" t="s">
        <v>50</v>
      </c>
      <c r="I23" s="38">
        <f t="shared" si="5"/>
        <v>703</v>
      </c>
      <c r="J23" s="39" t="str">
        <f t="shared" si="6"/>
        <v>Too early</v>
      </c>
      <c r="K23" s="32" t="str">
        <f t="shared" si="16"/>
        <v>Too early</v>
      </c>
      <c r="L23" s="40">
        <f t="shared" si="7"/>
        <v>50141.3</v>
      </c>
      <c r="M23" s="33">
        <f t="shared" si="8"/>
        <v>92333</v>
      </c>
      <c r="N23" s="196">
        <f t="shared" si="9"/>
        <v>0.54304853086112226</v>
      </c>
      <c r="O23" s="32" t="str">
        <f t="shared" si="10"/>
        <v>Too early</v>
      </c>
      <c r="P23" s="243">
        <v>66</v>
      </c>
      <c r="Q23" s="207" t="str">
        <f>IF(B23&lt;7,(P23/VLOOKUP(B23,'Sales Pacing'!$A$23:$E$36,2)),"Too early")</f>
        <v>Too early</v>
      </c>
      <c r="R23" s="227">
        <v>3760</v>
      </c>
      <c r="S23" s="231">
        <v>53333</v>
      </c>
      <c r="T23" s="238">
        <f t="shared" si="11"/>
        <v>7.050044062775393E-2</v>
      </c>
      <c r="U23" s="208" t="str">
        <f t="shared" si="15"/>
        <v>Too early</v>
      </c>
      <c r="V23" s="223">
        <v>637</v>
      </c>
      <c r="W23" s="227">
        <v>46381.3</v>
      </c>
      <c r="X23" s="231">
        <v>39000</v>
      </c>
      <c r="Y23" s="208">
        <f t="shared" si="12"/>
        <v>1.1892641025641026</v>
      </c>
      <c r="Z23" s="234">
        <v>1590</v>
      </c>
      <c r="AA23" s="208">
        <f t="shared" si="17"/>
        <v>0.44213836477987423</v>
      </c>
      <c r="AB23" s="209">
        <f t="shared" si="13"/>
        <v>71.324751066856336</v>
      </c>
      <c r="AC23" s="219"/>
      <c r="AD23" s="219"/>
      <c r="AE23" s="219"/>
      <c r="AF23" s="348">
        <v>50410.5</v>
      </c>
      <c r="AG23" s="352">
        <f t="shared" si="14"/>
        <v>-269.19999999999709</v>
      </c>
    </row>
    <row r="24" spans="1:33" s="148" customFormat="1" ht="14.25" customHeight="1" x14ac:dyDescent="0.35">
      <c r="A24" s="148">
        <v>8</v>
      </c>
      <c r="B24" s="148">
        <f t="shared" si="4"/>
        <v>8</v>
      </c>
      <c r="C24" s="149">
        <v>45950</v>
      </c>
      <c r="D24" s="148" t="s">
        <v>59</v>
      </c>
      <c r="G24" s="149">
        <v>45956.583333333336</v>
      </c>
      <c r="H24" s="148" t="s">
        <v>50</v>
      </c>
      <c r="I24" s="150">
        <f t="shared" si="5"/>
        <v>450</v>
      </c>
      <c r="J24" s="34" t="str">
        <f t="shared" si="6"/>
        <v>Too early</v>
      </c>
      <c r="K24" s="35" t="str">
        <f t="shared" si="16"/>
        <v>Too early</v>
      </c>
      <c r="L24" s="36">
        <f t="shared" si="7"/>
        <v>33121.5</v>
      </c>
      <c r="M24" s="37">
        <f t="shared" si="8"/>
        <v>92333</v>
      </c>
      <c r="N24" s="197">
        <f t="shared" si="9"/>
        <v>0.35871790150866972</v>
      </c>
      <c r="O24" s="35" t="str">
        <f t="shared" si="10"/>
        <v>Too early</v>
      </c>
      <c r="P24" s="245">
        <v>68</v>
      </c>
      <c r="Q24" s="210" t="str">
        <f>IF(B24&lt;7,(P24/VLOOKUP(B24,'Sales Pacing'!$A$23:$E$36,2)),"Too early")</f>
        <v>Too early</v>
      </c>
      <c r="R24" s="228">
        <v>7092</v>
      </c>
      <c r="S24" s="232">
        <v>53333</v>
      </c>
      <c r="T24" s="239">
        <f t="shared" si="11"/>
        <v>0.13297583109894437</v>
      </c>
      <c r="U24" s="211" t="str">
        <f t="shared" si="15"/>
        <v>Too early</v>
      </c>
      <c r="V24" s="224">
        <v>382</v>
      </c>
      <c r="W24" s="228">
        <v>26029.5</v>
      </c>
      <c r="X24" s="232">
        <v>39000</v>
      </c>
      <c r="Y24" s="211">
        <f t="shared" si="12"/>
        <v>0.6674230769230769</v>
      </c>
      <c r="Z24" s="235">
        <v>1590</v>
      </c>
      <c r="AA24" s="211">
        <f t="shared" si="17"/>
        <v>0.28301886792452829</v>
      </c>
      <c r="AB24" s="212">
        <f t="shared" si="13"/>
        <v>73.603333333333339</v>
      </c>
      <c r="AC24" s="220"/>
      <c r="AD24" s="220"/>
      <c r="AE24" s="220"/>
      <c r="AF24" s="350">
        <v>32829.5</v>
      </c>
      <c r="AG24" s="352">
        <f t="shared" si="14"/>
        <v>292</v>
      </c>
    </row>
    <row r="25" spans="1:33" s="144" customFormat="1" ht="14.25" customHeight="1" x14ac:dyDescent="0.35">
      <c r="A25" s="144">
        <v>9</v>
      </c>
      <c r="B25" s="144">
        <f t="shared" si="4"/>
        <v>9</v>
      </c>
      <c r="C25" s="145">
        <v>45957</v>
      </c>
      <c r="D25" s="144" t="s">
        <v>60</v>
      </c>
      <c r="G25" s="145">
        <v>45959.833333333336</v>
      </c>
      <c r="H25" s="144" t="s">
        <v>61</v>
      </c>
      <c r="I25" s="38">
        <f t="shared" si="5"/>
        <v>23</v>
      </c>
      <c r="J25" s="39" t="str">
        <f t="shared" si="6"/>
        <v>Too early</v>
      </c>
      <c r="K25" s="32" t="str">
        <f t="shared" si="16"/>
        <v>Too early</v>
      </c>
      <c r="L25" s="40">
        <f t="shared" si="7"/>
        <v>2520</v>
      </c>
      <c r="M25" s="33">
        <v>11200</v>
      </c>
      <c r="N25" s="196">
        <f t="shared" si="9"/>
        <v>0.22500000000000001</v>
      </c>
      <c r="O25" s="32" t="str">
        <f t="shared" si="10"/>
        <v>Too early</v>
      </c>
      <c r="P25" s="223">
        <v>23</v>
      </c>
      <c r="Q25" s="207" t="str">
        <f>IF(B25&lt;7,(P25/VLOOKUP(B25,'Sales Pacing'!$A$23:$E$36,2)),"Too early")</f>
        <v>Too early</v>
      </c>
      <c r="R25" s="227">
        <v>2520</v>
      </c>
      <c r="S25" s="231">
        <v>11200</v>
      </c>
      <c r="T25" s="238">
        <f t="shared" si="11"/>
        <v>0.22500000000000001</v>
      </c>
      <c r="U25" s="208" t="str">
        <f t="shared" si="15"/>
        <v>Too early</v>
      </c>
      <c r="V25" s="223"/>
      <c r="W25" s="227"/>
      <c r="X25" s="231"/>
      <c r="Y25" s="208" t="str">
        <f t="shared" si="12"/>
        <v/>
      </c>
      <c r="Z25" s="234">
        <v>100</v>
      </c>
      <c r="AA25" s="208">
        <f t="shared" si="17"/>
        <v>0.23</v>
      </c>
      <c r="AB25" s="209">
        <f t="shared" si="13"/>
        <v>109.56521739130434</v>
      </c>
      <c r="AC25" s="219"/>
      <c r="AD25" s="219"/>
      <c r="AE25" s="219"/>
      <c r="AF25" s="348">
        <v>2520</v>
      </c>
      <c r="AG25" s="352">
        <f t="shared" si="14"/>
        <v>0</v>
      </c>
    </row>
    <row r="26" spans="1:33" s="144" customFormat="1" ht="14.25" customHeight="1" x14ac:dyDescent="0.35">
      <c r="A26" s="144">
        <v>9</v>
      </c>
      <c r="B26" s="144">
        <f t="shared" si="4"/>
        <v>9</v>
      </c>
      <c r="C26" s="178">
        <v>45957</v>
      </c>
      <c r="D26" s="179" t="s">
        <v>62</v>
      </c>
      <c r="E26" s="179"/>
      <c r="F26" s="179"/>
      <c r="G26" s="178">
        <v>45961.833333333336</v>
      </c>
      <c r="H26" s="179" t="s">
        <v>55</v>
      </c>
      <c r="I26" s="38">
        <f t="shared" si="5"/>
        <v>460</v>
      </c>
      <c r="J26" s="39" t="str">
        <f t="shared" si="6"/>
        <v>Too early</v>
      </c>
      <c r="K26" s="32" t="str">
        <f t="shared" si="16"/>
        <v>Too early</v>
      </c>
      <c r="L26" s="40">
        <f t="shared" si="7"/>
        <v>30054</v>
      </c>
      <c r="M26" s="33">
        <f t="shared" si="8"/>
        <v>52000</v>
      </c>
      <c r="N26" s="196">
        <f t="shared" si="9"/>
        <v>0.57796153846153842</v>
      </c>
      <c r="O26" s="32" t="str">
        <f t="shared" si="10"/>
        <v>Too early</v>
      </c>
      <c r="P26" s="223">
        <v>102</v>
      </c>
      <c r="Q26" s="207" t="str">
        <f>IF(B26&lt;7,(P26/VLOOKUP(B26,'Sales Pacing'!$A$23:$E$36,2)),"Too early")</f>
        <v>Too early</v>
      </c>
      <c r="R26" s="227">
        <v>5125</v>
      </c>
      <c r="S26" s="231">
        <v>22000</v>
      </c>
      <c r="T26" s="238">
        <f t="shared" si="11"/>
        <v>0.23295454545454544</v>
      </c>
      <c r="U26" s="208" t="str">
        <f t="shared" si="15"/>
        <v>Too early</v>
      </c>
      <c r="V26" s="223">
        <v>358</v>
      </c>
      <c r="W26" s="227">
        <v>24929</v>
      </c>
      <c r="X26" s="231">
        <v>30000</v>
      </c>
      <c r="Y26" s="208">
        <f t="shared" si="12"/>
        <v>0.83096666666666663</v>
      </c>
      <c r="Z26" s="234">
        <v>1433</v>
      </c>
      <c r="AA26" s="208">
        <f t="shared" si="17"/>
        <v>0.32100488485694345</v>
      </c>
      <c r="AB26" s="209">
        <f t="shared" si="13"/>
        <v>65.334782608695647</v>
      </c>
      <c r="AC26" s="219"/>
      <c r="AD26" s="219"/>
      <c r="AE26" s="219"/>
      <c r="AF26" s="348">
        <v>29912</v>
      </c>
      <c r="AG26" s="352">
        <f t="shared" si="14"/>
        <v>142</v>
      </c>
    </row>
    <row r="27" spans="1:33" s="144" customFormat="1" ht="14.25" customHeight="1" x14ac:dyDescent="0.35">
      <c r="A27" s="144">
        <v>9</v>
      </c>
      <c r="B27" s="144">
        <f t="shared" si="4"/>
        <v>9</v>
      </c>
      <c r="C27" s="145">
        <v>45957</v>
      </c>
      <c r="D27" s="144" t="s">
        <v>62</v>
      </c>
      <c r="G27" s="145">
        <v>45962.833333333336</v>
      </c>
      <c r="H27" s="144" t="s">
        <v>55</v>
      </c>
      <c r="I27" s="38">
        <f t="shared" si="5"/>
        <v>799</v>
      </c>
      <c r="J27" s="39" t="str">
        <f t="shared" si="6"/>
        <v>Too early</v>
      </c>
      <c r="K27" s="32" t="str">
        <f t="shared" si="16"/>
        <v>Too early</v>
      </c>
      <c r="L27" s="40">
        <f t="shared" si="7"/>
        <v>52200</v>
      </c>
      <c r="M27" s="33">
        <f t="shared" si="8"/>
        <v>86500</v>
      </c>
      <c r="N27" s="196">
        <f t="shared" si="9"/>
        <v>0.60346820809248558</v>
      </c>
      <c r="O27" s="32" t="str">
        <f t="shared" si="10"/>
        <v>Too early</v>
      </c>
      <c r="P27" s="223">
        <v>229</v>
      </c>
      <c r="Q27" s="207" t="str">
        <f>IF(B27&lt;7,(P27/VLOOKUP(B27,'Sales Pacing'!$A$23:$E$36,2)),"Too early")</f>
        <v>Too early</v>
      </c>
      <c r="R27" s="227">
        <v>14935</v>
      </c>
      <c r="S27" s="231">
        <v>31500</v>
      </c>
      <c r="T27" s="238">
        <f t="shared" si="11"/>
        <v>0.47412698412698412</v>
      </c>
      <c r="U27" s="208" t="str">
        <f t="shared" si="15"/>
        <v>Too early</v>
      </c>
      <c r="V27" s="223">
        <v>570</v>
      </c>
      <c r="W27" s="227">
        <v>37265</v>
      </c>
      <c r="X27" s="231">
        <v>55000</v>
      </c>
      <c r="Y27" s="208">
        <f t="shared" si="12"/>
        <v>0.67754545454545456</v>
      </c>
      <c r="Z27" s="234">
        <v>1433</v>
      </c>
      <c r="AA27" s="208">
        <f t="shared" si="17"/>
        <v>0.55757152826238665</v>
      </c>
      <c r="AB27" s="209">
        <f t="shared" si="13"/>
        <v>65.331664580725914</v>
      </c>
      <c r="AC27" s="219"/>
      <c r="AD27" s="219"/>
      <c r="AE27" s="219"/>
      <c r="AF27" s="348">
        <v>51076.800000000003</v>
      </c>
      <c r="AG27" s="352">
        <f t="shared" si="14"/>
        <v>1123.1999999999971</v>
      </c>
    </row>
    <row r="28" spans="1:33" s="148" customFormat="1" ht="14.25" customHeight="1" x14ac:dyDescent="0.35">
      <c r="A28" s="148">
        <v>9</v>
      </c>
      <c r="B28" s="148">
        <f t="shared" si="4"/>
        <v>9</v>
      </c>
      <c r="C28" s="149">
        <v>45957</v>
      </c>
      <c r="D28" s="148" t="s">
        <v>62</v>
      </c>
      <c r="G28" s="149">
        <v>45963.583333333336</v>
      </c>
      <c r="H28" s="148" t="s">
        <v>55</v>
      </c>
      <c r="I28" s="150">
        <f t="shared" si="5"/>
        <v>734</v>
      </c>
      <c r="J28" s="34" t="str">
        <f t="shared" si="6"/>
        <v>Too early</v>
      </c>
      <c r="K28" s="35" t="str">
        <f t="shared" si="16"/>
        <v>Too early</v>
      </c>
      <c r="L28" s="36">
        <f t="shared" si="7"/>
        <v>46474.1</v>
      </c>
      <c r="M28" s="37">
        <f t="shared" si="8"/>
        <v>86500</v>
      </c>
      <c r="N28" s="197">
        <f t="shared" si="9"/>
        <v>0.53727283236994217</v>
      </c>
      <c r="O28" s="35" t="str">
        <f t="shared" si="10"/>
        <v>Too early</v>
      </c>
      <c r="P28" s="224">
        <v>185</v>
      </c>
      <c r="Q28" s="210" t="str">
        <f>IF(B28&lt;7,(P28/VLOOKUP(B28,'Sales Pacing'!$A$23:$E$36,2)),"Too early")</f>
        <v>Too early</v>
      </c>
      <c r="R28" s="228">
        <v>10688</v>
      </c>
      <c r="S28" s="232">
        <v>31500</v>
      </c>
      <c r="T28" s="239">
        <f t="shared" si="11"/>
        <v>0.33930158730158733</v>
      </c>
      <c r="U28" s="211" t="str">
        <f t="shared" si="15"/>
        <v>Too early</v>
      </c>
      <c r="V28" s="224">
        <v>549</v>
      </c>
      <c r="W28" s="228">
        <v>35786.1</v>
      </c>
      <c r="X28" s="232">
        <v>55000</v>
      </c>
      <c r="Y28" s="211">
        <f t="shared" si="12"/>
        <v>0.65065636363636359</v>
      </c>
      <c r="Z28" s="235">
        <v>1433</v>
      </c>
      <c r="AA28" s="211">
        <f t="shared" si="17"/>
        <v>0.51221214235868806</v>
      </c>
      <c r="AB28" s="212">
        <f t="shared" si="13"/>
        <v>63.316212534059943</v>
      </c>
      <c r="AC28" s="220"/>
      <c r="AD28" s="220"/>
      <c r="AE28" s="220"/>
      <c r="AF28" s="350">
        <v>44684.7</v>
      </c>
      <c r="AG28" s="352">
        <f t="shared" si="14"/>
        <v>1789.4000000000015</v>
      </c>
    </row>
    <row r="29" spans="1:33" s="148" customFormat="1" ht="14.25" customHeight="1" x14ac:dyDescent="0.35">
      <c r="A29" s="148">
        <v>10</v>
      </c>
      <c r="B29" s="148">
        <f t="shared" si="4"/>
        <v>10</v>
      </c>
      <c r="C29" s="149">
        <v>45964</v>
      </c>
      <c r="D29" s="148" t="s">
        <v>63</v>
      </c>
      <c r="G29" s="149">
        <v>45970.583333333336</v>
      </c>
      <c r="H29" s="148" t="s">
        <v>52</v>
      </c>
      <c r="I29" s="150">
        <f t="shared" si="5"/>
        <v>433</v>
      </c>
      <c r="J29" s="34" t="str">
        <f t="shared" si="6"/>
        <v>Too early</v>
      </c>
      <c r="K29" s="35" t="str">
        <f t="shared" si="16"/>
        <v>Too early</v>
      </c>
      <c r="L29" s="36">
        <f t="shared" si="7"/>
        <v>11089</v>
      </c>
      <c r="M29" s="37">
        <f t="shared" si="8"/>
        <v>19500</v>
      </c>
      <c r="N29" s="197">
        <f t="shared" si="9"/>
        <v>0.56866666666666665</v>
      </c>
      <c r="O29" s="35" t="str">
        <f t="shared" si="10"/>
        <v>Too early</v>
      </c>
      <c r="P29" s="224">
        <v>137</v>
      </c>
      <c r="Q29" s="210" t="str">
        <f>IF(B29&lt;7,(P29/VLOOKUP(B29,'Sales Pacing'!$A$23:$E$36,2)),"Too early")</f>
        <v>Too early</v>
      </c>
      <c r="R29" s="228">
        <v>4543</v>
      </c>
      <c r="S29" s="232">
        <v>10000</v>
      </c>
      <c r="T29" s="239">
        <f t="shared" si="11"/>
        <v>0.45429999999999998</v>
      </c>
      <c r="U29" s="211" t="str">
        <f t="shared" si="15"/>
        <v>Too early</v>
      </c>
      <c r="V29" s="224">
        <v>296</v>
      </c>
      <c r="W29" s="228">
        <v>6546</v>
      </c>
      <c r="X29" s="232">
        <v>9500</v>
      </c>
      <c r="Y29" s="211">
        <f t="shared" si="12"/>
        <v>0.68905263157894736</v>
      </c>
      <c r="Z29" s="235">
        <v>1300</v>
      </c>
      <c r="AA29" s="211">
        <f t="shared" si="17"/>
        <v>0.3330769230769231</v>
      </c>
      <c r="AB29" s="212">
        <f t="shared" si="13"/>
        <v>25.609699769053119</v>
      </c>
      <c r="AC29" s="220"/>
      <c r="AD29" s="220"/>
      <c r="AE29" s="220"/>
      <c r="AF29" s="350">
        <v>9445</v>
      </c>
      <c r="AG29" s="352">
        <f t="shared" si="14"/>
        <v>1644</v>
      </c>
    </row>
    <row r="30" spans="1:33" s="187" customFormat="1" ht="14.25" customHeight="1" x14ac:dyDescent="0.35">
      <c r="A30" s="187">
        <v>11</v>
      </c>
      <c r="B30" s="187">
        <f t="shared" si="4"/>
        <v>11</v>
      </c>
      <c r="C30" s="188">
        <v>45971</v>
      </c>
      <c r="D30" s="187" t="s">
        <v>64</v>
      </c>
      <c r="G30" s="199"/>
      <c r="H30" s="200"/>
      <c r="I30" s="201">
        <f t="shared" si="5"/>
        <v>0</v>
      </c>
      <c r="J30" s="202" t="str">
        <f t="shared" si="6"/>
        <v>Too early</v>
      </c>
      <c r="K30" s="203"/>
      <c r="L30" s="204">
        <f t="shared" si="7"/>
        <v>0</v>
      </c>
      <c r="M30" s="205">
        <f t="shared" si="8"/>
        <v>0</v>
      </c>
      <c r="N30" s="206" t="e">
        <f t="shared" si="9"/>
        <v>#DIV/0!</v>
      </c>
      <c r="O30" s="203"/>
      <c r="P30" s="225"/>
      <c r="Q30" s="213" t="str">
        <f>IF(B30&lt;7,(P30/VLOOKUP(B30,'Sales Pacing'!$A$23:$E$36,2)),"Too early")</f>
        <v>Too early</v>
      </c>
      <c r="R30" s="229"/>
      <c r="S30" s="229"/>
      <c r="T30" s="240" t="str">
        <f t="shared" si="11"/>
        <v/>
      </c>
      <c r="U30" s="214"/>
      <c r="V30" s="225"/>
      <c r="W30" s="229"/>
      <c r="X30" s="229"/>
      <c r="Y30" s="214" t="s">
        <v>48</v>
      </c>
      <c r="Z30" s="225"/>
      <c r="AA30" s="214" t="e">
        <f t="shared" si="17"/>
        <v>#DIV/0!</v>
      </c>
      <c r="AB30" s="215" t="e">
        <f t="shared" si="13"/>
        <v>#DIV/0!</v>
      </c>
      <c r="AC30" s="221"/>
      <c r="AD30" s="221"/>
      <c r="AE30" s="221"/>
      <c r="AF30" s="349">
        <v>0</v>
      </c>
      <c r="AG30" s="353"/>
    </row>
    <row r="31" spans="1:33" s="144" customFormat="1" ht="14.25" customHeight="1" x14ac:dyDescent="0.35">
      <c r="A31" s="144">
        <v>12</v>
      </c>
      <c r="B31" s="144">
        <f t="shared" si="4"/>
        <v>12</v>
      </c>
      <c r="C31" s="178">
        <v>45978</v>
      </c>
      <c r="D31" s="179" t="s">
        <v>65</v>
      </c>
      <c r="E31" s="179"/>
      <c r="F31" s="179"/>
      <c r="G31" s="178">
        <v>45982.833333333336</v>
      </c>
      <c r="H31" s="179" t="s">
        <v>55</v>
      </c>
      <c r="I31" s="38">
        <f t="shared" si="5"/>
        <v>424</v>
      </c>
      <c r="J31" s="39" t="str">
        <f t="shared" si="6"/>
        <v>Too early</v>
      </c>
      <c r="K31" s="32" t="str">
        <f t="shared" ref="K31:K50" si="18">IF(J31="Too early",J31,J31/Z31)</f>
        <v>Too early</v>
      </c>
      <c r="L31" s="40">
        <f t="shared" si="7"/>
        <v>28545</v>
      </c>
      <c r="M31" s="33">
        <f t="shared" si="8"/>
        <v>40000</v>
      </c>
      <c r="N31" s="196">
        <f t="shared" si="9"/>
        <v>0.71362499999999995</v>
      </c>
      <c r="O31" s="32" t="str">
        <f t="shared" si="10"/>
        <v>Too early</v>
      </c>
      <c r="P31" s="243">
        <v>57</v>
      </c>
      <c r="Q31" s="207" t="str">
        <f>IF(B31&lt;7,(P31/VLOOKUP(B31,'Sales Pacing'!$A$23:$E$36,2)),"Too early")</f>
        <v>Too early</v>
      </c>
      <c r="R31" s="227">
        <v>2943</v>
      </c>
      <c r="S31" s="231">
        <v>15000</v>
      </c>
      <c r="T31" s="238">
        <f t="shared" si="11"/>
        <v>0.19620000000000001</v>
      </c>
      <c r="U31" s="208" t="str">
        <f t="shared" si="15"/>
        <v>Too early</v>
      </c>
      <c r="V31" s="223">
        <v>367</v>
      </c>
      <c r="W31" s="227">
        <v>25602</v>
      </c>
      <c r="X31" s="231">
        <v>25000</v>
      </c>
      <c r="Y31" s="208">
        <f t="shared" si="12"/>
        <v>1.0240800000000001</v>
      </c>
      <c r="Z31" s="234">
        <v>1590</v>
      </c>
      <c r="AA31" s="208">
        <f t="shared" si="17"/>
        <v>0.26666666666666666</v>
      </c>
      <c r="AB31" s="209">
        <f t="shared" si="13"/>
        <v>67.323113207547166</v>
      </c>
      <c r="AC31" s="219"/>
      <c r="AD31" s="219"/>
      <c r="AE31" s="219"/>
      <c r="AF31" s="348">
        <v>28545</v>
      </c>
      <c r="AG31" s="352">
        <f t="shared" si="14"/>
        <v>0</v>
      </c>
    </row>
    <row r="32" spans="1:33" s="144" customFormat="1" ht="14.25" customHeight="1" x14ac:dyDescent="0.35">
      <c r="A32" s="144">
        <v>12</v>
      </c>
      <c r="B32" s="144">
        <f t="shared" si="4"/>
        <v>12</v>
      </c>
      <c r="C32" s="145">
        <v>45978</v>
      </c>
      <c r="D32" s="144" t="s">
        <v>65</v>
      </c>
      <c r="G32" s="145">
        <v>45983.833333333336</v>
      </c>
      <c r="H32" s="144" t="s">
        <v>55</v>
      </c>
      <c r="I32" s="38">
        <f t="shared" si="5"/>
        <v>651</v>
      </c>
      <c r="J32" s="39" t="str">
        <f t="shared" si="6"/>
        <v>Too early</v>
      </c>
      <c r="K32" s="32" t="str">
        <f t="shared" si="18"/>
        <v>Too early</v>
      </c>
      <c r="L32" s="40">
        <f t="shared" si="7"/>
        <v>44302.9</v>
      </c>
      <c r="M32" s="33">
        <f t="shared" si="8"/>
        <v>66500</v>
      </c>
      <c r="N32" s="196">
        <f t="shared" si="9"/>
        <v>0.66620902255639103</v>
      </c>
      <c r="O32" s="32" t="str">
        <f t="shared" si="10"/>
        <v>Too early</v>
      </c>
      <c r="P32" s="243">
        <v>75</v>
      </c>
      <c r="Q32" s="207" t="str">
        <f>IF(B32&lt;7,(P32/VLOOKUP(B32,'Sales Pacing'!$A$23:$E$36,2)),"Too early")</f>
        <v>Too early</v>
      </c>
      <c r="R32" s="227">
        <v>4681</v>
      </c>
      <c r="S32" s="231">
        <v>11500</v>
      </c>
      <c r="T32" s="238">
        <f t="shared" si="11"/>
        <v>0.40704347826086956</v>
      </c>
      <c r="U32" s="208" t="str">
        <f t="shared" si="15"/>
        <v>Too early</v>
      </c>
      <c r="V32" s="223">
        <v>576</v>
      </c>
      <c r="W32" s="227">
        <v>39621.9</v>
      </c>
      <c r="X32" s="231">
        <v>55000</v>
      </c>
      <c r="Y32" s="208">
        <f t="shared" si="12"/>
        <v>0.72039818181818183</v>
      </c>
      <c r="Z32" s="234">
        <v>1590</v>
      </c>
      <c r="AA32" s="208">
        <f t="shared" si="17"/>
        <v>0.40943396226415096</v>
      </c>
      <c r="AB32" s="209">
        <f t="shared" si="13"/>
        <v>68.053609831029192</v>
      </c>
      <c r="AC32" s="219"/>
      <c r="AD32" s="219"/>
      <c r="AE32" s="219"/>
      <c r="AF32" s="348">
        <v>44221.4</v>
      </c>
      <c r="AG32" s="352">
        <f t="shared" si="14"/>
        <v>81.5</v>
      </c>
    </row>
    <row r="33" spans="1:33" s="148" customFormat="1" ht="14.25" customHeight="1" x14ac:dyDescent="0.35">
      <c r="A33" s="148">
        <v>12</v>
      </c>
      <c r="B33" s="148">
        <f t="shared" si="4"/>
        <v>12</v>
      </c>
      <c r="C33" s="149">
        <v>45978</v>
      </c>
      <c r="D33" s="148" t="s">
        <v>65</v>
      </c>
      <c r="G33" s="149">
        <v>45984.583333333336</v>
      </c>
      <c r="H33" s="148" t="s">
        <v>55</v>
      </c>
      <c r="I33" s="150">
        <f t="shared" si="5"/>
        <v>705</v>
      </c>
      <c r="J33" s="34" t="str">
        <f t="shared" si="6"/>
        <v>Too early</v>
      </c>
      <c r="K33" s="35" t="str">
        <f t="shared" si="18"/>
        <v>Too early</v>
      </c>
      <c r="L33" s="36">
        <f t="shared" si="7"/>
        <v>45933.2</v>
      </c>
      <c r="M33" s="37">
        <f t="shared" si="8"/>
        <v>66500</v>
      </c>
      <c r="N33" s="197">
        <f t="shared" si="9"/>
        <v>0.69072481203007519</v>
      </c>
      <c r="O33" s="35" t="str">
        <f t="shared" si="10"/>
        <v>Too early</v>
      </c>
      <c r="P33" s="245">
        <v>84</v>
      </c>
      <c r="Q33" s="210" t="str">
        <f>IF(B33&lt;7,(P33/VLOOKUP(B33,'Sales Pacing'!$A$23:$E$36,2)),"Too early")</f>
        <v>Too early</v>
      </c>
      <c r="R33" s="228">
        <v>5769</v>
      </c>
      <c r="S33" s="232">
        <v>11500</v>
      </c>
      <c r="T33" s="239">
        <f t="shared" si="11"/>
        <v>0.50165217391304351</v>
      </c>
      <c r="U33" s="211" t="str">
        <f t="shared" si="15"/>
        <v>Too early</v>
      </c>
      <c r="V33" s="224">
        <v>621</v>
      </c>
      <c r="W33" s="228">
        <v>40164.199999999997</v>
      </c>
      <c r="X33" s="232">
        <v>55000</v>
      </c>
      <c r="Y33" s="211">
        <f t="shared" si="12"/>
        <v>0.73025818181818181</v>
      </c>
      <c r="Z33" s="235">
        <v>1590</v>
      </c>
      <c r="AA33" s="211">
        <f t="shared" si="17"/>
        <v>0.44339622641509435</v>
      </c>
      <c r="AB33" s="212">
        <f t="shared" si="13"/>
        <v>65.153475177304955</v>
      </c>
      <c r="AC33" s="220"/>
      <c r="AD33" s="220"/>
      <c r="AE33" s="220"/>
      <c r="AF33" s="350">
        <v>45373.2</v>
      </c>
      <c r="AG33" s="352">
        <f t="shared" si="14"/>
        <v>560</v>
      </c>
    </row>
    <row r="34" spans="1:33" s="144" customFormat="1" x14ac:dyDescent="0.35">
      <c r="A34" s="144">
        <v>13</v>
      </c>
      <c r="B34" s="144">
        <f t="shared" si="4"/>
        <v>13</v>
      </c>
      <c r="C34" s="145">
        <v>45985</v>
      </c>
      <c r="D34" s="144" t="s">
        <v>66</v>
      </c>
      <c r="G34" s="145">
        <v>45989.791666666664</v>
      </c>
      <c r="H34" s="144" t="s">
        <v>57</v>
      </c>
      <c r="I34" s="38">
        <f t="shared" si="5"/>
        <v>272</v>
      </c>
      <c r="J34" s="39" t="str">
        <f t="shared" si="6"/>
        <v>Too early</v>
      </c>
      <c r="K34" s="32" t="str">
        <f t="shared" si="18"/>
        <v>Too early</v>
      </c>
      <c r="L34" s="40">
        <f t="shared" si="7"/>
        <v>18219</v>
      </c>
      <c r="M34" s="33">
        <f t="shared" si="8"/>
        <v>107500</v>
      </c>
      <c r="N34" s="196">
        <f t="shared" si="9"/>
        <v>0.16947906976744187</v>
      </c>
      <c r="O34" s="32" t="str">
        <f t="shared" si="10"/>
        <v>Too early</v>
      </c>
      <c r="P34" s="243">
        <v>272</v>
      </c>
      <c r="Q34" s="207" t="str">
        <f>IF(B34&lt;7,(P34/VLOOKUP(B34,'Sales Pacing'!$A$23:$E$36,2)),"Too early")</f>
        <v>Too early</v>
      </c>
      <c r="R34" s="227">
        <v>18219</v>
      </c>
      <c r="S34" s="231">
        <v>107500</v>
      </c>
      <c r="T34" s="238">
        <f t="shared" si="11"/>
        <v>0.16947906976744187</v>
      </c>
      <c r="U34" s="208" t="str">
        <f t="shared" si="15"/>
        <v>Too early</v>
      </c>
      <c r="V34" s="223"/>
      <c r="W34" s="227"/>
      <c r="X34" s="231"/>
      <c r="Y34" s="208" t="str">
        <f t="shared" si="12"/>
        <v/>
      </c>
      <c r="Z34" s="234">
        <v>1302</v>
      </c>
      <c r="AA34" s="208">
        <f t="shared" si="17"/>
        <v>0.20890937019969277</v>
      </c>
      <c r="AB34" s="209">
        <f t="shared" si="13"/>
        <v>66.981617647058826</v>
      </c>
      <c r="AC34" s="219"/>
      <c r="AD34" s="219"/>
      <c r="AE34" s="219"/>
      <c r="AF34" s="348">
        <v>18219</v>
      </c>
      <c r="AG34" s="352">
        <f t="shared" si="14"/>
        <v>0</v>
      </c>
    </row>
    <row r="35" spans="1:33" s="144" customFormat="1" x14ac:dyDescent="0.35">
      <c r="A35" s="144">
        <v>13</v>
      </c>
      <c r="B35" s="144">
        <f t="shared" si="4"/>
        <v>13</v>
      </c>
      <c r="C35" s="145">
        <v>45985</v>
      </c>
      <c r="D35" s="144" t="s">
        <v>66</v>
      </c>
      <c r="G35" s="145">
        <v>45990.541666666664</v>
      </c>
      <c r="H35" s="144" t="s">
        <v>57</v>
      </c>
      <c r="I35" s="38">
        <f t="shared" si="5"/>
        <v>250</v>
      </c>
      <c r="J35" s="39" t="str">
        <f t="shared" si="6"/>
        <v>Too early</v>
      </c>
      <c r="K35" s="32" t="str">
        <f t="shared" si="18"/>
        <v>Too early</v>
      </c>
      <c r="L35" s="40">
        <f t="shared" si="7"/>
        <v>16760</v>
      </c>
      <c r="M35" s="33">
        <f t="shared" si="8"/>
        <v>107500</v>
      </c>
      <c r="N35" s="196">
        <f t="shared" si="9"/>
        <v>0.15590697674418605</v>
      </c>
      <c r="O35" s="32" t="str">
        <f t="shared" si="10"/>
        <v>Too early</v>
      </c>
      <c r="P35" s="243">
        <v>250</v>
      </c>
      <c r="Q35" s="207" t="str">
        <f>IF(B35&lt;7,(P35/VLOOKUP(B35,'Sales Pacing'!$A$23:$E$36,2)),"Too early")</f>
        <v>Too early</v>
      </c>
      <c r="R35" s="227">
        <v>16760</v>
      </c>
      <c r="S35" s="231">
        <v>107500</v>
      </c>
      <c r="T35" s="238">
        <f t="shared" si="11"/>
        <v>0.15590697674418605</v>
      </c>
      <c r="U35" s="208" t="str">
        <f t="shared" si="15"/>
        <v>Too early</v>
      </c>
      <c r="V35" s="223"/>
      <c r="W35" s="227"/>
      <c r="X35" s="231"/>
      <c r="Y35" s="208" t="str">
        <f t="shared" si="12"/>
        <v/>
      </c>
      <c r="Z35" s="234">
        <v>1302</v>
      </c>
      <c r="AA35" s="208">
        <f t="shared" si="17"/>
        <v>0.19201228878648233</v>
      </c>
      <c r="AB35" s="209">
        <f t="shared" si="13"/>
        <v>67.040000000000006</v>
      </c>
      <c r="AC35" s="219"/>
      <c r="AD35" s="219"/>
      <c r="AE35" s="219"/>
      <c r="AF35" s="348">
        <v>15032</v>
      </c>
      <c r="AG35" s="352">
        <f t="shared" si="14"/>
        <v>1728</v>
      </c>
    </row>
    <row r="36" spans="1:33" s="144" customFormat="1" x14ac:dyDescent="0.35">
      <c r="A36" s="144">
        <v>13</v>
      </c>
      <c r="B36" s="144">
        <f t="shared" si="4"/>
        <v>13</v>
      </c>
      <c r="C36" s="145">
        <v>45985</v>
      </c>
      <c r="D36" s="144" t="s">
        <v>66</v>
      </c>
      <c r="G36" s="145">
        <v>45990.791666666664</v>
      </c>
      <c r="H36" s="144" t="s">
        <v>57</v>
      </c>
      <c r="I36" s="38">
        <f t="shared" si="5"/>
        <v>242</v>
      </c>
      <c r="J36" s="39" t="str">
        <f t="shared" si="6"/>
        <v>Too early</v>
      </c>
      <c r="K36" s="32" t="str">
        <f t="shared" si="18"/>
        <v>Too early</v>
      </c>
      <c r="L36" s="40">
        <f t="shared" si="7"/>
        <v>15945</v>
      </c>
      <c r="M36" s="33">
        <f t="shared" si="8"/>
        <v>107500</v>
      </c>
      <c r="N36" s="196">
        <f t="shared" si="9"/>
        <v>0.14832558139534885</v>
      </c>
      <c r="O36" s="32" t="str">
        <f t="shared" si="10"/>
        <v>Too early</v>
      </c>
      <c r="P36" s="243">
        <v>242</v>
      </c>
      <c r="Q36" s="207" t="str">
        <f>IF(B36&lt;7,(P36/VLOOKUP(B36,'Sales Pacing'!$A$23:$E$36,2)),"Too early")</f>
        <v>Too early</v>
      </c>
      <c r="R36" s="227">
        <v>15945</v>
      </c>
      <c r="S36" s="231">
        <v>107500</v>
      </c>
      <c r="T36" s="238">
        <f t="shared" si="11"/>
        <v>0.14832558139534885</v>
      </c>
      <c r="U36" s="208" t="str">
        <f t="shared" si="15"/>
        <v>Too early</v>
      </c>
      <c r="V36" s="223"/>
      <c r="W36" s="227"/>
      <c r="X36" s="231"/>
      <c r="Y36" s="208" t="str">
        <f t="shared" si="12"/>
        <v/>
      </c>
      <c r="Z36" s="234">
        <v>1302</v>
      </c>
      <c r="AA36" s="208">
        <f t="shared" si="17"/>
        <v>0.18586789554531491</v>
      </c>
      <c r="AB36" s="209">
        <f t="shared" si="13"/>
        <v>65.888429752066116</v>
      </c>
      <c r="AC36" s="219"/>
      <c r="AD36" s="219"/>
      <c r="AE36" s="219"/>
      <c r="AF36" s="348">
        <v>14394</v>
      </c>
      <c r="AG36" s="352">
        <f t="shared" si="14"/>
        <v>1551</v>
      </c>
    </row>
    <row r="37" spans="1:33" s="148" customFormat="1" x14ac:dyDescent="0.35">
      <c r="A37" s="148">
        <v>13</v>
      </c>
      <c r="B37" s="148">
        <f t="shared" si="4"/>
        <v>13</v>
      </c>
      <c r="C37" s="149">
        <v>45985</v>
      </c>
      <c r="D37" s="148" t="s">
        <v>66</v>
      </c>
      <c r="G37" s="149">
        <v>45991.583333333336</v>
      </c>
      <c r="H37" s="148" t="s">
        <v>57</v>
      </c>
      <c r="I37" s="150">
        <f t="shared" si="5"/>
        <v>408</v>
      </c>
      <c r="J37" s="34" t="str">
        <f t="shared" si="6"/>
        <v>Too early</v>
      </c>
      <c r="K37" s="35" t="str">
        <f t="shared" si="18"/>
        <v>Too early</v>
      </c>
      <c r="L37" s="36">
        <f t="shared" si="7"/>
        <v>29095</v>
      </c>
      <c r="M37" s="37">
        <f t="shared" si="8"/>
        <v>107500</v>
      </c>
      <c r="N37" s="197">
        <f t="shared" si="9"/>
        <v>0.27065116279069767</v>
      </c>
      <c r="O37" s="35" t="str">
        <f t="shared" si="10"/>
        <v>Too early</v>
      </c>
      <c r="P37" s="245">
        <v>408</v>
      </c>
      <c r="Q37" s="210" t="str">
        <f>IF(B37&lt;7,(P37/VLOOKUP(B37,'Sales Pacing'!$A$23:$E$36,2)),"Too early")</f>
        <v>Too early</v>
      </c>
      <c r="R37" s="228">
        <v>29095</v>
      </c>
      <c r="S37" s="232">
        <v>107500</v>
      </c>
      <c r="T37" s="239">
        <f t="shared" si="11"/>
        <v>0.27065116279069767</v>
      </c>
      <c r="U37" s="211" t="str">
        <f t="shared" si="15"/>
        <v>Too early</v>
      </c>
      <c r="V37" s="224"/>
      <c r="W37" s="228"/>
      <c r="X37" s="232"/>
      <c r="Y37" s="211" t="str">
        <f t="shared" si="12"/>
        <v/>
      </c>
      <c r="Z37" s="235">
        <v>1302</v>
      </c>
      <c r="AA37" s="211">
        <f t="shared" si="17"/>
        <v>0.31336405529953915</v>
      </c>
      <c r="AB37" s="212">
        <f t="shared" si="13"/>
        <v>71.311274509803923</v>
      </c>
      <c r="AC37" s="220"/>
      <c r="AD37" s="220"/>
      <c r="AE37" s="220"/>
      <c r="AF37" s="348">
        <v>28457</v>
      </c>
      <c r="AG37" s="352">
        <f t="shared" si="14"/>
        <v>638</v>
      </c>
    </row>
    <row r="38" spans="1:33" s="144" customFormat="1" x14ac:dyDescent="0.35">
      <c r="A38" s="144">
        <v>14</v>
      </c>
      <c r="B38" s="144">
        <f t="shared" si="4"/>
        <v>14</v>
      </c>
      <c r="C38" s="145">
        <v>45992</v>
      </c>
      <c r="D38" s="144" t="s">
        <v>67</v>
      </c>
      <c r="G38" s="145">
        <v>45996.791666666664</v>
      </c>
      <c r="H38" s="144" t="s">
        <v>68</v>
      </c>
      <c r="I38" s="38">
        <f t="shared" si="5"/>
        <v>285</v>
      </c>
      <c r="J38" s="39" t="str">
        <f t="shared" si="6"/>
        <v>Too early</v>
      </c>
      <c r="K38" s="32" t="str">
        <f t="shared" si="18"/>
        <v>Too early</v>
      </c>
      <c r="L38" s="40">
        <f t="shared" si="7"/>
        <v>14705.5</v>
      </c>
      <c r="M38" s="33">
        <f t="shared" si="8"/>
        <v>78333</v>
      </c>
      <c r="N38" s="196">
        <f t="shared" si="9"/>
        <v>0.18773058608760038</v>
      </c>
      <c r="O38" s="32" t="str">
        <f t="shared" si="10"/>
        <v>Too early</v>
      </c>
      <c r="P38" s="223">
        <v>285</v>
      </c>
      <c r="Q38" s="207" t="str">
        <f>IF(B38&lt;7,(P38/VLOOKUP(B38,'Sales Pacing'!$A$23:$E$36,2)),"Too early")</f>
        <v>Too early</v>
      </c>
      <c r="R38" s="227">
        <v>14705.5</v>
      </c>
      <c r="S38" s="231">
        <v>78333</v>
      </c>
      <c r="T38" s="238">
        <f t="shared" si="11"/>
        <v>0.18773058608760038</v>
      </c>
      <c r="U38" s="208" t="str">
        <f t="shared" si="15"/>
        <v>Too early</v>
      </c>
      <c r="V38" s="223"/>
      <c r="W38" s="227"/>
      <c r="X38" s="231"/>
      <c r="Y38" s="208" t="str">
        <f t="shared" si="12"/>
        <v/>
      </c>
      <c r="Z38" s="234">
        <v>1433</v>
      </c>
      <c r="AA38" s="208">
        <f t="shared" si="17"/>
        <v>0.19888346127006282</v>
      </c>
      <c r="AB38" s="209">
        <f t="shared" si="13"/>
        <v>51.598245614035086</v>
      </c>
      <c r="AC38" s="219"/>
      <c r="AD38" s="219"/>
      <c r="AE38" s="219"/>
      <c r="AF38" s="348">
        <v>13735</v>
      </c>
      <c r="AG38" s="352">
        <f t="shared" si="14"/>
        <v>970.5</v>
      </c>
    </row>
    <row r="39" spans="1:33" s="144" customFormat="1" x14ac:dyDescent="0.35">
      <c r="A39" s="144">
        <v>14</v>
      </c>
      <c r="B39" s="144">
        <f t="shared" si="4"/>
        <v>14</v>
      </c>
      <c r="C39" s="145">
        <v>45992</v>
      </c>
      <c r="D39" s="144" t="s">
        <v>67</v>
      </c>
      <c r="G39" s="145">
        <v>45997.791666666664</v>
      </c>
      <c r="H39" s="144" t="s">
        <v>68</v>
      </c>
      <c r="I39" s="38">
        <f t="shared" si="5"/>
        <v>312</v>
      </c>
      <c r="J39" s="39" t="str">
        <f t="shared" si="6"/>
        <v>Too early</v>
      </c>
      <c r="K39" s="32" t="str">
        <f t="shared" si="18"/>
        <v>Too early</v>
      </c>
      <c r="L39" s="40">
        <f t="shared" si="7"/>
        <v>18906.5</v>
      </c>
      <c r="M39" s="33">
        <f t="shared" si="8"/>
        <v>78334</v>
      </c>
      <c r="N39" s="196">
        <f t="shared" si="9"/>
        <v>0.24135752036152883</v>
      </c>
      <c r="O39" s="32" t="str">
        <f t="shared" si="10"/>
        <v>Too early</v>
      </c>
      <c r="P39" s="223">
        <v>312</v>
      </c>
      <c r="Q39" s="207" t="str">
        <f>IF(B39&lt;7,(P39/VLOOKUP(B39,'Sales Pacing'!$A$23:$E$36,2)),"Too early")</f>
        <v>Too early</v>
      </c>
      <c r="R39" s="227">
        <v>18906.5</v>
      </c>
      <c r="S39" s="231">
        <v>78334</v>
      </c>
      <c r="T39" s="238">
        <f t="shared" si="11"/>
        <v>0.24135752036152883</v>
      </c>
      <c r="U39" s="208" t="str">
        <f t="shared" si="15"/>
        <v>Too early</v>
      </c>
      <c r="V39" s="223"/>
      <c r="W39" s="227"/>
      <c r="X39" s="231"/>
      <c r="Y39" s="208" t="str">
        <f t="shared" si="12"/>
        <v/>
      </c>
      <c r="Z39" s="234">
        <v>1433</v>
      </c>
      <c r="AA39" s="208">
        <f t="shared" si="17"/>
        <v>0.21772505233775297</v>
      </c>
      <c r="AB39" s="209">
        <f t="shared" si="13"/>
        <v>60.597756410256409</v>
      </c>
      <c r="AC39" s="219"/>
      <c r="AD39" s="219"/>
      <c r="AE39" s="219"/>
      <c r="AF39" s="348">
        <v>17711</v>
      </c>
      <c r="AG39" s="352">
        <f t="shared" si="14"/>
        <v>1195.5</v>
      </c>
    </row>
    <row r="40" spans="1:33" s="148" customFormat="1" x14ac:dyDescent="0.35">
      <c r="A40" s="148">
        <v>14</v>
      </c>
      <c r="B40" s="148">
        <f t="shared" si="4"/>
        <v>14</v>
      </c>
      <c r="C40" s="149">
        <v>45992</v>
      </c>
      <c r="D40" s="148" t="s">
        <v>67</v>
      </c>
      <c r="G40" s="149">
        <v>45998.583333333336</v>
      </c>
      <c r="H40" s="148" t="s">
        <v>68</v>
      </c>
      <c r="I40" s="150">
        <f t="shared" si="5"/>
        <v>304</v>
      </c>
      <c r="J40" s="34" t="str">
        <f t="shared" si="6"/>
        <v>Too early</v>
      </c>
      <c r="K40" s="35" t="str">
        <f t="shared" si="18"/>
        <v>Too early</v>
      </c>
      <c r="L40" s="36">
        <f t="shared" si="7"/>
        <v>16445</v>
      </c>
      <c r="M40" s="37">
        <f t="shared" si="8"/>
        <v>78333</v>
      </c>
      <c r="N40" s="197">
        <f t="shared" si="9"/>
        <v>0.20993706356197261</v>
      </c>
      <c r="O40" s="35" t="str">
        <f t="shared" si="10"/>
        <v>Too early</v>
      </c>
      <c r="P40" s="224">
        <v>304</v>
      </c>
      <c r="Q40" s="210" t="str">
        <f>IF(B40&lt;7,(P40/VLOOKUP(B40,'Sales Pacing'!$A$23:$E$36,2)),"Too early")</f>
        <v>Too early</v>
      </c>
      <c r="R40" s="228">
        <v>16445</v>
      </c>
      <c r="S40" s="232">
        <v>78333</v>
      </c>
      <c r="T40" s="239">
        <f t="shared" si="11"/>
        <v>0.20993706356197261</v>
      </c>
      <c r="U40" s="211" t="str">
        <f t="shared" si="15"/>
        <v>Too early</v>
      </c>
      <c r="V40" s="224"/>
      <c r="W40" s="228"/>
      <c r="X40" s="232"/>
      <c r="Y40" s="211" t="str">
        <f t="shared" si="12"/>
        <v/>
      </c>
      <c r="Z40" s="235">
        <v>1433</v>
      </c>
      <c r="AA40" s="211">
        <f t="shared" si="17"/>
        <v>0.212142358688067</v>
      </c>
      <c r="AB40" s="212">
        <f t="shared" si="13"/>
        <v>54.095394736842103</v>
      </c>
      <c r="AC40" s="220"/>
      <c r="AD40" s="220"/>
      <c r="AE40" s="220"/>
      <c r="AF40" s="350">
        <v>15287</v>
      </c>
      <c r="AG40" s="352">
        <f t="shared" si="14"/>
        <v>1158</v>
      </c>
    </row>
    <row r="41" spans="1:33" s="144" customFormat="1" x14ac:dyDescent="0.35">
      <c r="A41" s="144">
        <v>15</v>
      </c>
      <c r="B41" s="144">
        <f t="shared" si="4"/>
        <v>15</v>
      </c>
      <c r="C41" s="145">
        <v>45999</v>
      </c>
      <c r="D41" s="144" t="s">
        <v>69</v>
      </c>
      <c r="G41" s="145">
        <v>46003.791666666664</v>
      </c>
      <c r="H41" s="144" t="s">
        <v>45</v>
      </c>
      <c r="I41" s="38">
        <f t="shared" si="5"/>
        <v>906</v>
      </c>
      <c r="J41" s="39" t="str">
        <f t="shared" si="6"/>
        <v>Too early</v>
      </c>
      <c r="K41" s="32" t="str">
        <f t="shared" si="18"/>
        <v>Too early</v>
      </c>
      <c r="L41" s="40">
        <f t="shared" si="7"/>
        <v>93212</v>
      </c>
      <c r="M41" s="33">
        <f t="shared" si="8"/>
        <v>150000</v>
      </c>
      <c r="N41" s="196">
        <f t="shared" si="9"/>
        <v>0.62141333333333337</v>
      </c>
      <c r="O41" s="32" t="str">
        <f t="shared" si="10"/>
        <v>Too early</v>
      </c>
      <c r="P41" s="223">
        <v>906</v>
      </c>
      <c r="Q41" s="207" t="str">
        <f>IF(B41&lt;7,(P41/VLOOKUP(B41,'Sales Pacing'!$A$23:$E$36,2)),"Too early")</f>
        <v>Too early</v>
      </c>
      <c r="R41" s="356">
        <v>93212</v>
      </c>
      <c r="S41" s="231">
        <v>150000</v>
      </c>
      <c r="T41" s="238">
        <f t="shared" si="11"/>
        <v>0.62141333333333337</v>
      </c>
      <c r="U41" s="208" t="str">
        <f t="shared" si="15"/>
        <v>Too early</v>
      </c>
      <c r="V41" s="223"/>
      <c r="W41" s="227"/>
      <c r="X41" s="231"/>
      <c r="Y41" s="208" t="str">
        <f t="shared" si="12"/>
        <v/>
      </c>
      <c r="Z41" s="234">
        <v>1590</v>
      </c>
      <c r="AA41" s="208">
        <f t="shared" si="17"/>
        <v>0.56981132075471697</v>
      </c>
      <c r="AB41" s="209">
        <f t="shared" si="13"/>
        <v>102.88300220750551</v>
      </c>
      <c r="AC41" s="219"/>
      <c r="AD41" s="219"/>
      <c r="AE41" s="219"/>
      <c r="AF41" s="348">
        <v>84030</v>
      </c>
      <c r="AG41" s="352">
        <f t="shared" si="14"/>
        <v>9182</v>
      </c>
    </row>
    <row r="42" spans="1:33" s="148" customFormat="1" x14ac:dyDescent="0.35">
      <c r="A42" s="148">
        <v>15</v>
      </c>
      <c r="B42" s="148">
        <f t="shared" si="4"/>
        <v>15</v>
      </c>
      <c r="C42" s="149">
        <v>45999</v>
      </c>
      <c r="D42" s="148" t="s">
        <v>69</v>
      </c>
      <c r="G42" s="149">
        <v>46004.791666666664</v>
      </c>
      <c r="H42" s="148" t="s">
        <v>45</v>
      </c>
      <c r="I42" s="150">
        <f t="shared" si="5"/>
        <v>1102</v>
      </c>
      <c r="J42" s="34" t="str">
        <f t="shared" si="6"/>
        <v>Too early</v>
      </c>
      <c r="K42" s="35" t="str">
        <f t="shared" si="18"/>
        <v>Too early</v>
      </c>
      <c r="L42" s="36">
        <f t="shared" si="7"/>
        <v>111247</v>
      </c>
      <c r="M42" s="37">
        <f t="shared" si="8"/>
        <v>150000</v>
      </c>
      <c r="N42" s="197">
        <f t="shared" si="9"/>
        <v>0.74164666666666668</v>
      </c>
      <c r="O42" s="35" t="str">
        <f t="shared" si="10"/>
        <v>Too early</v>
      </c>
      <c r="P42" s="224">
        <v>1102</v>
      </c>
      <c r="Q42" s="210" t="str">
        <f>IF(B42&lt;7,(P42/VLOOKUP(B42,'Sales Pacing'!$A$23:$E$36,2)),"Too early")</f>
        <v>Too early</v>
      </c>
      <c r="R42" s="357">
        <v>111247</v>
      </c>
      <c r="S42" s="232">
        <v>150000</v>
      </c>
      <c r="T42" s="239">
        <f t="shared" si="11"/>
        <v>0.74164666666666668</v>
      </c>
      <c r="U42" s="211" t="str">
        <f t="shared" si="15"/>
        <v>Too early</v>
      </c>
      <c r="V42" s="224"/>
      <c r="W42" s="228"/>
      <c r="X42" s="232"/>
      <c r="Y42" s="211" t="str">
        <f t="shared" si="12"/>
        <v/>
      </c>
      <c r="Z42" s="235">
        <v>1590</v>
      </c>
      <c r="AA42" s="211">
        <f t="shared" si="17"/>
        <v>0.69308176100628927</v>
      </c>
      <c r="AB42" s="212">
        <f t="shared" si="13"/>
        <v>100.95009074410163</v>
      </c>
      <c r="AC42" s="220"/>
      <c r="AD42" s="220"/>
      <c r="AE42" s="220"/>
      <c r="AF42" s="348">
        <v>107694</v>
      </c>
      <c r="AG42" s="352">
        <f t="shared" si="14"/>
        <v>3553</v>
      </c>
    </row>
    <row r="43" spans="1:33" s="144" customFormat="1" x14ac:dyDescent="0.35">
      <c r="A43" s="144">
        <v>16</v>
      </c>
      <c r="B43" s="144">
        <f t="shared" si="4"/>
        <v>16</v>
      </c>
      <c r="C43" s="145">
        <v>46006</v>
      </c>
      <c r="D43" s="144" t="s">
        <v>70</v>
      </c>
      <c r="G43" s="145">
        <v>46009.791666666664</v>
      </c>
      <c r="H43" s="144" t="s">
        <v>68</v>
      </c>
      <c r="I43" s="38">
        <f t="shared" si="5"/>
        <v>205</v>
      </c>
      <c r="J43" s="39" t="str">
        <f t="shared" si="6"/>
        <v>Too early</v>
      </c>
      <c r="K43" s="32" t="str">
        <f t="shared" si="18"/>
        <v>Too early</v>
      </c>
      <c r="L43" s="40">
        <f t="shared" si="7"/>
        <v>12314</v>
      </c>
      <c r="M43" s="33">
        <f t="shared" si="8"/>
        <v>75833</v>
      </c>
      <c r="N43" s="196">
        <f t="shared" si="9"/>
        <v>0.16238313135442353</v>
      </c>
      <c r="O43" s="32" t="str">
        <f t="shared" si="10"/>
        <v>Too early</v>
      </c>
      <c r="P43" s="223">
        <v>205</v>
      </c>
      <c r="Q43" s="207" t="str">
        <f>IF(B43&lt;7,(P43/VLOOKUP(B43,'Sales Pacing'!$A$23:$E$36,2)),"Too early")</f>
        <v>Too early</v>
      </c>
      <c r="R43" s="227">
        <v>12314</v>
      </c>
      <c r="S43" s="231">
        <v>75833</v>
      </c>
      <c r="T43" s="238">
        <f t="shared" si="11"/>
        <v>0.16238313135442353</v>
      </c>
      <c r="U43" s="208" t="str">
        <f t="shared" si="15"/>
        <v>Too early</v>
      </c>
      <c r="V43" s="223"/>
      <c r="W43" s="227"/>
      <c r="X43" s="231"/>
      <c r="Y43" s="208" t="str">
        <f t="shared" si="12"/>
        <v/>
      </c>
      <c r="Z43" s="234">
        <v>1433</v>
      </c>
      <c r="AA43" s="208">
        <f t="shared" si="17"/>
        <v>0.14305652477320308</v>
      </c>
      <c r="AB43" s="209">
        <f t="shared" si="13"/>
        <v>60.068292682926831</v>
      </c>
      <c r="AC43" s="219"/>
      <c r="AD43" s="219"/>
      <c r="AE43" s="219"/>
      <c r="AF43" s="348">
        <v>10629</v>
      </c>
      <c r="AG43" s="352">
        <f t="shared" si="14"/>
        <v>1685</v>
      </c>
    </row>
    <row r="44" spans="1:33" s="144" customFormat="1" x14ac:dyDescent="0.35">
      <c r="A44" s="144">
        <v>16</v>
      </c>
      <c r="B44" s="144">
        <f t="shared" si="4"/>
        <v>16</v>
      </c>
      <c r="C44" s="145">
        <v>46006</v>
      </c>
      <c r="D44" s="144" t="s">
        <v>70</v>
      </c>
      <c r="G44" s="145">
        <v>46010.791666666664</v>
      </c>
      <c r="H44" s="144" t="s">
        <v>68</v>
      </c>
      <c r="I44" s="38">
        <f t="shared" si="5"/>
        <v>176</v>
      </c>
      <c r="J44" s="39" t="str">
        <f t="shared" si="6"/>
        <v>Too early</v>
      </c>
      <c r="K44" s="32" t="str">
        <f t="shared" si="18"/>
        <v>Too early</v>
      </c>
      <c r="L44" s="40">
        <f t="shared" si="7"/>
        <v>10536.5</v>
      </c>
      <c r="M44" s="33">
        <f t="shared" si="8"/>
        <v>75833</v>
      </c>
      <c r="N44" s="196">
        <f t="shared" si="9"/>
        <v>0.1389434678833753</v>
      </c>
      <c r="O44" s="32" t="str">
        <f t="shared" si="10"/>
        <v>Too early</v>
      </c>
      <c r="P44" s="223">
        <v>176</v>
      </c>
      <c r="Q44" s="207" t="str">
        <f>IF(B44&lt;7,(P44/VLOOKUP(B44,'Sales Pacing'!$A$23:$E$36,2)),"Too early")</f>
        <v>Too early</v>
      </c>
      <c r="R44" s="227">
        <v>10536.5</v>
      </c>
      <c r="S44" s="231">
        <v>75833</v>
      </c>
      <c r="T44" s="238">
        <f t="shared" si="11"/>
        <v>0.1389434678833753</v>
      </c>
      <c r="U44" s="208" t="str">
        <f t="shared" si="15"/>
        <v>Too early</v>
      </c>
      <c r="V44" s="223"/>
      <c r="W44" s="227"/>
      <c r="X44" s="231"/>
      <c r="Y44" s="208" t="str">
        <f t="shared" si="12"/>
        <v/>
      </c>
      <c r="Z44" s="234">
        <v>1433</v>
      </c>
      <c r="AA44" s="208">
        <f t="shared" si="17"/>
        <v>0.12281926029309141</v>
      </c>
      <c r="AB44" s="209">
        <f t="shared" si="13"/>
        <v>59.866477272727273</v>
      </c>
      <c r="AC44" s="219"/>
      <c r="AD44" s="219"/>
      <c r="AE44" s="219"/>
      <c r="AF44" s="348">
        <v>10266</v>
      </c>
      <c r="AG44" s="352">
        <f t="shared" si="14"/>
        <v>270.5</v>
      </c>
    </row>
    <row r="45" spans="1:33" s="144" customFormat="1" x14ac:dyDescent="0.35">
      <c r="A45" s="144">
        <v>16</v>
      </c>
      <c r="B45" s="144">
        <f t="shared" si="4"/>
        <v>16</v>
      </c>
      <c r="C45" s="145">
        <v>46006</v>
      </c>
      <c r="D45" s="144" t="s">
        <v>70</v>
      </c>
      <c r="G45" s="145">
        <v>46011.541666666664</v>
      </c>
      <c r="H45" s="144" t="s">
        <v>68</v>
      </c>
      <c r="I45" s="38">
        <f t="shared" si="5"/>
        <v>309</v>
      </c>
      <c r="J45" s="39" t="str">
        <f t="shared" si="6"/>
        <v>Too early</v>
      </c>
      <c r="K45" s="32" t="str">
        <f t="shared" si="18"/>
        <v>Too early</v>
      </c>
      <c r="L45" s="40">
        <f t="shared" si="7"/>
        <v>19202.5</v>
      </c>
      <c r="M45" s="33">
        <f t="shared" si="8"/>
        <v>75833</v>
      </c>
      <c r="N45" s="196">
        <f t="shared" si="9"/>
        <v>0.25322089327865177</v>
      </c>
      <c r="O45" s="32" t="str">
        <f t="shared" si="10"/>
        <v>Too early</v>
      </c>
      <c r="P45" s="223">
        <v>309</v>
      </c>
      <c r="Q45" s="207" t="str">
        <f>IF(B45&lt;7,(P45/VLOOKUP(B45,'Sales Pacing'!$A$23:$E$36,2)),"Too early")</f>
        <v>Too early</v>
      </c>
      <c r="R45" s="227">
        <v>19202.5</v>
      </c>
      <c r="S45" s="231">
        <v>75833</v>
      </c>
      <c r="T45" s="238">
        <f t="shared" si="11"/>
        <v>0.25322089327865177</v>
      </c>
      <c r="U45" s="208" t="str">
        <f t="shared" si="15"/>
        <v>Too early</v>
      </c>
      <c r="V45" s="223"/>
      <c r="W45" s="227"/>
      <c r="X45" s="231"/>
      <c r="Y45" s="208" t="str">
        <f t="shared" si="12"/>
        <v/>
      </c>
      <c r="Z45" s="234">
        <v>1433</v>
      </c>
      <c r="AA45" s="208">
        <f t="shared" si="17"/>
        <v>0.21563154221912073</v>
      </c>
      <c r="AB45" s="209">
        <f t="shared" si="13"/>
        <v>62.144012944983821</v>
      </c>
      <c r="AC45" s="219"/>
      <c r="AD45" s="219"/>
      <c r="AE45" s="219"/>
      <c r="AF45" s="348">
        <v>17862</v>
      </c>
      <c r="AG45" s="352">
        <f t="shared" si="14"/>
        <v>1340.5</v>
      </c>
    </row>
    <row r="46" spans="1:33" s="144" customFormat="1" x14ac:dyDescent="0.35">
      <c r="A46" s="144">
        <v>16</v>
      </c>
      <c r="B46" s="144">
        <f t="shared" si="4"/>
        <v>16</v>
      </c>
      <c r="C46" s="145">
        <v>46006</v>
      </c>
      <c r="D46" s="144" t="s">
        <v>70</v>
      </c>
      <c r="G46" s="145">
        <v>46011.791666666664</v>
      </c>
      <c r="H46" s="144" t="s">
        <v>68</v>
      </c>
      <c r="I46" s="38">
        <f t="shared" si="5"/>
        <v>188</v>
      </c>
      <c r="J46" s="39" t="str">
        <f t="shared" si="6"/>
        <v>Too early</v>
      </c>
      <c r="K46" s="32" t="str">
        <f t="shared" si="18"/>
        <v>Too early</v>
      </c>
      <c r="L46" s="40">
        <f t="shared" si="7"/>
        <v>11774.5</v>
      </c>
      <c r="M46" s="33">
        <f t="shared" si="8"/>
        <v>75833</v>
      </c>
      <c r="N46" s="196">
        <f t="shared" si="9"/>
        <v>0.1552688143684148</v>
      </c>
      <c r="O46" s="32" t="str">
        <f t="shared" si="10"/>
        <v>Too early</v>
      </c>
      <c r="P46" s="223">
        <v>188</v>
      </c>
      <c r="Q46" s="207" t="str">
        <f>IF(B46&lt;7,(P46/VLOOKUP(B46,'Sales Pacing'!$A$23:$E$36,2)),"Too early")</f>
        <v>Too early</v>
      </c>
      <c r="R46" s="227">
        <v>11774.5</v>
      </c>
      <c r="S46" s="231">
        <v>75833</v>
      </c>
      <c r="T46" s="238">
        <f t="shared" si="11"/>
        <v>0.1552688143684148</v>
      </c>
      <c r="U46" s="208" t="str">
        <f t="shared" si="15"/>
        <v>Too early</v>
      </c>
      <c r="V46" s="223"/>
      <c r="W46" s="227"/>
      <c r="X46" s="231"/>
      <c r="Y46" s="208" t="str">
        <f t="shared" si="12"/>
        <v/>
      </c>
      <c r="Z46" s="234">
        <v>1433</v>
      </c>
      <c r="AA46" s="208">
        <f t="shared" si="17"/>
        <v>0.13119330076762037</v>
      </c>
      <c r="AB46" s="209">
        <f t="shared" si="13"/>
        <v>62.630319148936174</v>
      </c>
      <c r="AC46" s="219"/>
      <c r="AD46" s="219"/>
      <c r="AE46" s="219"/>
      <c r="AF46" s="348">
        <v>11104</v>
      </c>
      <c r="AG46" s="352">
        <f t="shared" si="14"/>
        <v>670.5</v>
      </c>
    </row>
    <row r="47" spans="1:33" s="144" customFormat="1" x14ac:dyDescent="0.35">
      <c r="A47" s="144">
        <v>16</v>
      </c>
      <c r="B47" s="144">
        <f t="shared" si="4"/>
        <v>16</v>
      </c>
      <c r="C47" s="145">
        <v>46006</v>
      </c>
      <c r="D47" s="144" t="s">
        <v>70</v>
      </c>
      <c r="G47" s="145">
        <v>46012.583333333336</v>
      </c>
      <c r="H47" s="144" t="s">
        <v>68</v>
      </c>
      <c r="I47" s="38">
        <f t="shared" si="5"/>
        <v>639</v>
      </c>
      <c r="J47" s="39" t="str">
        <f t="shared" si="6"/>
        <v>Too early</v>
      </c>
      <c r="K47" s="32" t="str">
        <f t="shared" si="18"/>
        <v>Too early</v>
      </c>
      <c r="L47" s="40">
        <f t="shared" si="7"/>
        <v>20010</v>
      </c>
      <c r="M47" s="33">
        <f t="shared" si="8"/>
        <v>88284</v>
      </c>
      <c r="N47" s="196">
        <f t="shared" si="9"/>
        <v>0.22665488650265053</v>
      </c>
      <c r="O47" s="32" t="str">
        <f t="shared" si="10"/>
        <v>Too early</v>
      </c>
      <c r="P47" s="223">
        <v>343</v>
      </c>
      <c r="Q47" s="207" t="str">
        <f>IF(B47&lt;7,(P47/VLOOKUP(B47,'Sales Pacing'!$A$23:$E$36,2)),"Too early")</f>
        <v>Too early</v>
      </c>
      <c r="R47" s="227">
        <v>13464</v>
      </c>
      <c r="S47" s="231">
        <v>75834</v>
      </c>
      <c r="T47" s="238">
        <f t="shared" si="11"/>
        <v>0.17754569190600522</v>
      </c>
      <c r="U47" s="208" t="str">
        <f t="shared" si="15"/>
        <v>Too early</v>
      </c>
      <c r="V47" s="223">
        <v>296</v>
      </c>
      <c r="W47" s="227">
        <v>6546</v>
      </c>
      <c r="X47" s="231">
        <v>12450</v>
      </c>
      <c r="Y47" s="208">
        <f t="shared" si="12"/>
        <v>0.52578313253012043</v>
      </c>
      <c r="Z47" s="234">
        <v>1433</v>
      </c>
      <c r="AA47" s="208">
        <f t="shared" si="17"/>
        <v>0.44591765526866711</v>
      </c>
      <c r="AB47" s="209">
        <f t="shared" si="13"/>
        <v>31.314553990610328</v>
      </c>
      <c r="AC47" s="219"/>
      <c r="AD47" s="219"/>
      <c r="AE47" s="219"/>
      <c r="AF47" s="348">
        <v>18644</v>
      </c>
      <c r="AG47" s="352">
        <f t="shared" si="14"/>
        <v>1366</v>
      </c>
    </row>
    <row r="48" spans="1:33" s="148" customFormat="1" x14ac:dyDescent="0.35">
      <c r="A48" s="148">
        <v>16</v>
      </c>
      <c r="B48" s="148">
        <f t="shared" si="4"/>
        <v>16</v>
      </c>
      <c r="C48" s="149">
        <v>46006</v>
      </c>
      <c r="D48" s="148" t="s">
        <v>70</v>
      </c>
      <c r="G48" s="149">
        <v>46012.791666666664</v>
      </c>
      <c r="H48" s="148" t="s">
        <v>68</v>
      </c>
      <c r="I48" s="150">
        <f t="shared" si="5"/>
        <v>115</v>
      </c>
      <c r="J48" s="34" t="str">
        <f t="shared" si="6"/>
        <v>Too early</v>
      </c>
      <c r="K48" s="35" t="str">
        <f t="shared" si="18"/>
        <v>Too early</v>
      </c>
      <c r="L48" s="36">
        <f t="shared" si="7"/>
        <v>6226</v>
      </c>
      <c r="M48" s="37">
        <f t="shared" si="8"/>
        <v>75834</v>
      </c>
      <c r="N48" s="197">
        <f t="shared" si="9"/>
        <v>8.210037713954163E-2</v>
      </c>
      <c r="O48" s="35" t="str">
        <f t="shared" si="10"/>
        <v>Too early</v>
      </c>
      <c r="P48" s="224">
        <v>115</v>
      </c>
      <c r="Q48" s="210" t="str">
        <f>IF(B48&lt;7,(P48/VLOOKUP(B48,'Sales Pacing'!$A$23:$E$36,2)),"Too early")</f>
        <v>Too early</v>
      </c>
      <c r="R48" s="228">
        <v>6226</v>
      </c>
      <c r="S48" s="232">
        <v>75834</v>
      </c>
      <c r="T48" s="239">
        <f t="shared" si="11"/>
        <v>8.210037713954163E-2</v>
      </c>
      <c r="U48" s="211" t="str">
        <f t="shared" si="15"/>
        <v>Too early</v>
      </c>
      <c r="V48" s="224"/>
      <c r="W48" s="228"/>
      <c r="X48" s="232"/>
      <c r="Y48" s="211" t="str">
        <f t="shared" si="12"/>
        <v/>
      </c>
      <c r="Z48" s="235">
        <v>1433</v>
      </c>
      <c r="AA48" s="211">
        <f t="shared" si="17"/>
        <v>8.0251221214235863E-2</v>
      </c>
      <c r="AB48" s="212">
        <f t="shared" si="13"/>
        <v>54.139130434782608</v>
      </c>
      <c r="AC48" s="220"/>
      <c r="AD48" s="220"/>
      <c r="AE48" s="220"/>
      <c r="AF48" s="350">
        <v>5259</v>
      </c>
      <c r="AG48" s="352">
        <f t="shared" si="14"/>
        <v>967</v>
      </c>
    </row>
    <row r="49" spans="1:33" s="144" customFormat="1" x14ac:dyDescent="0.35">
      <c r="A49" s="144">
        <v>17</v>
      </c>
      <c r="B49" s="144">
        <f t="shared" si="4"/>
        <v>17</v>
      </c>
      <c r="C49" s="145">
        <v>46013</v>
      </c>
      <c r="D49" s="144" t="s">
        <v>71</v>
      </c>
      <c r="G49" s="145">
        <v>46014.791666666664</v>
      </c>
      <c r="H49" s="144" t="s">
        <v>57</v>
      </c>
      <c r="I49" s="38">
        <f t="shared" si="5"/>
        <v>739</v>
      </c>
      <c r="J49" s="39" t="str">
        <f t="shared" si="6"/>
        <v>Too early</v>
      </c>
      <c r="K49" s="32" t="str">
        <f t="shared" si="18"/>
        <v>Too early</v>
      </c>
      <c r="L49" s="40">
        <f t="shared" si="7"/>
        <v>56307.6</v>
      </c>
      <c r="M49" s="33">
        <f t="shared" si="8"/>
        <v>100000</v>
      </c>
      <c r="N49" s="196">
        <f t="shared" si="9"/>
        <v>0.56307600000000002</v>
      </c>
      <c r="O49" s="32" t="str">
        <f t="shared" si="10"/>
        <v>Too early</v>
      </c>
      <c r="P49" s="243">
        <v>739</v>
      </c>
      <c r="Q49" s="207" t="str">
        <f>IF(B49&lt;7,(P49/VLOOKUP(B49,'Sales Pacing'!$A$23:$E$36,2)),"Too early")</f>
        <v>Too early</v>
      </c>
      <c r="R49" s="227">
        <v>56307.6</v>
      </c>
      <c r="S49" s="231">
        <v>100000</v>
      </c>
      <c r="T49" s="238">
        <f t="shared" si="11"/>
        <v>0.56307600000000002</v>
      </c>
      <c r="U49" s="208" t="str">
        <f t="shared" si="15"/>
        <v>Too early</v>
      </c>
      <c r="V49" s="223"/>
      <c r="W49" s="227"/>
      <c r="X49" s="231"/>
      <c r="Y49" s="208" t="str">
        <f t="shared" si="12"/>
        <v/>
      </c>
      <c r="Z49" s="234">
        <v>1302</v>
      </c>
      <c r="AA49" s="208">
        <f t="shared" si="17"/>
        <v>0.56758832565284179</v>
      </c>
      <c r="AB49" s="209">
        <f t="shared" si="13"/>
        <v>76.19431664411367</v>
      </c>
      <c r="AC49" s="219"/>
      <c r="AD49" s="219"/>
      <c r="AE49" s="219"/>
      <c r="AF49" s="348">
        <v>54169</v>
      </c>
      <c r="AG49" s="352">
        <f t="shared" si="14"/>
        <v>2138.5999999999985</v>
      </c>
    </row>
    <row r="50" spans="1:33" s="148" customFormat="1" x14ac:dyDescent="0.35">
      <c r="A50" s="148">
        <v>17</v>
      </c>
      <c r="B50" s="148">
        <f t="shared" si="4"/>
        <v>17</v>
      </c>
      <c r="C50" s="149">
        <v>46013</v>
      </c>
      <c r="D50" s="148" t="s">
        <v>71</v>
      </c>
      <c r="G50" s="149">
        <v>46015.458333333336</v>
      </c>
      <c r="H50" s="148" t="s">
        <v>57</v>
      </c>
      <c r="I50" s="150">
        <f t="shared" si="5"/>
        <v>185</v>
      </c>
      <c r="J50" s="34" t="str">
        <f t="shared" si="6"/>
        <v>Too early</v>
      </c>
      <c r="K50" s="35" t="str">
        <f t="shared" si="18"/>
        <v>Too early</v>
      </c>
      <c r="L50" s="36">
        <f t="shared" si="7"/>
        <v>12668.8</v>
      </c>
      <c r="M50" s="37">
        <f t="shared" si="8"/>
        <v>100000</v>
      </c>
      <c r="N50" s="197">
        <f t="shared" si="9"/>
        <v>0.126688</v>
      </c>
      <c r="O50" s="35" t="str">
        <f t="shared" si="10"/>
        <v>Too early</v>
      </c>
      <c r="P50" s="245">
        <v>185</v>
      </c>
      <c r="Q50" s="210" t="str">
        <f>IF(B50&lt;7,(P50/VLOOKUP(B50,'Sales Pacing'!$A$23:$E$36,2)),"Too early")</f>
        <v>Too early</v>
      </c>
      <c r="R50" s="228">
        <v>12668.8</v>
      </c>
      <c r="S50" s="232">
        <v>100000</v>
      </c>
      <c r="T50" s="239">
        <f t="shared" si="11"/>
        <v>0.126688</v>
      </c>
      <c r="U50" s="211" t="str">
        <f t="shared" si="15"/>
        <v>Too early</v>
      </c>
      <c r="V50" s="224"/>
      <c r="W50" s="228"/>
      <c r="X50" s="232"/>
      <c r="Y50" s="211" t="str">
        <f t="shared" si="12"/>
        <v/>
      </c>
      <c r="Z50" s="235">
        <v>1302</v>
      </c>
      <c r="AA50" s="211">
        <f t="shared" si="17"/>
        <v>0.14208909370199693</v>
      </c>
      <c r="AB50" s="212">
        <f t="shared" si="13"/>
        <v>68.47999999999999</v>
      </c>
      <c r="AC50" s="220"/>
      <c r="AD50" s="220"/>
      <c r="AE50" s="220"/>
      <c r="AF50" s="350">
        <v>11770</v>
      </c>
      <c r="AG50" s="352">
        <f t="shared" si="14"/>
        <v>898.79999999999927</v>
      </c>
    </row>
    <row r="51" spans="1:33" s="187" customFormat="1" x14ac:dyDescent="0.35">
      <c r="A51" s="187">
        <v>18</v>
      </c>
      <c r="B51" s="187">
        <f t="shared" si="4"/>
        <v>18</v>
      </c>
      <c r="C51" s="188">
        <v>46020</v>
      </c>
      <c r="D51" s="187" t="s">
        <v>64</v>
      </c>
      <c r="G51" s="199"/>
      <c r="H51" s="200"/>
      <c r="I51" s="201">
        <f t="shared" si="5"/>
        <v>0</v>
      </c>
      <c r="J51" s="202" t="str">
        <f t="shared" si="6"/>
        <v>Too early</v>
      </c>
      <c r="K51" s="203"/>
      <c r="L51" s="204">
        <f t="shared" si="7"/>
        <v>0</v>
      </c>
      <c r="M51" s="205">
        <f t="shared" si="8"/>
        <v>0</v>
      </c>
      <c r="N51" s="206" t="e">
        <f t="shared" si="9"/>
        <v>#DIV/0!</v>
      </c>
      <c r="O51" s="203"/>
      <c r="P51" s="225"/>
      <c r="Q51" s="213" t="str">
        <f>IF(B51&lt;7,(P51/VLOOKUP(B51,'Sales Pacing'!$A$23:$E$36,2)),"Too early")</f>
        <v>Too early</v>
      </c>
      <c r="R51" s="229"/>
      <c r="S51" s="229"/>
      <c r="T51" s="240" t="str">
        <f t="shared" si="11"/>
        <v/>
      </c>
      <c r="U51" s="214"/>
      <c r="V51" s="225"/>
      <c r="W51" s="229"/>
      <c r="X51" s="229"/>
      <c r="Y51" s="214" t="s">
        <v>48</v>
      </c>
      <c r="Z51" s="225"/>
      <c r="AA51" s="214" t="e">
        <f t="shared" ref="AA51:AA82" si="19">I51/Z51</f>
        <v>#DIV/0!</v>
      </c>
      <c r="AB51" s="215" t="e">
        <f t="shared" si="13"/>
        <v>#DIV/0!</v>
      </c>
      <c r="AC51" s="221"/>
      <c r="AD51" s="221"/>
      <c r="AE51" s="221"/>
      <c r="AF51" s="349">
        <v>0</v>
      </c>
    </row>
    <row r="52" spans="1:33" s="144" customFormat="1" x14ac:dyDescent="0.35">
      <c r="A52" s="144">
        <v>19</v>
      </c>
      <c r="B52" s="144">
        <f t="shared" si="4"/>
        <v>19</v>
      </c>
      <c r="C52" s="145">
        <v>46027</v>
      </c>
      <c r="D52" s="144" t="s">
        <v>72</v>
      </c>
      <c r="G52" s="145">
        <v>46031.833333333336</v>
      </c>
      <c r="H52" s="144" t="s">
        <v>55</v>
      </c>
      <c r="I52" s="38">
        <f t="shared" si="5"/>
        <v>592</v>
      </c>
      <c r="J52" s="39" t="str">
        <f t="shared" si="6"/>
        <v>Too early</v>
      </c>
      <c r="K52" s="32" t="str">
        <f t="shared" ref="K52:K77" si="20">IF(J52="Too early",J52,J52/Z52)</f>
        <v>Too early</v>
      </c>
      <c r="L52" s="40">
        <f t="shared" si="7"/>
        <v>39270.300000000003</v>
      </c>
      <c r="M52" s="33">
        <f t="shared" si="8"/>
        <v>54999</v>
      </c>
      <c r="N52" s="196">
        <f t="shared" si="9"/>
        <v>0.71401843669884912</v>
      </c>
      <c r="O52" s="32" t="str">
        <f t="shared" si="10"/>
        <v>Too early</v>
      </c>
      <c r="P52" s="223">
        <v>23</v>
      </c>
      <c r="Q52" s="207" t="str">
        <f>IF(B52&lt;7,(P52/VLOOKUP(B52,'Sales Pacing'!$A$23:$E$36,2)),"Too early")</f>
        <v>Too early</v>
      </c>
      <c r="R52" s="227">
        <v>866</v>
      </c>
      <c r="S52" s="231">
        <v>21666</v>
      </c>
      <c r="T52" s="238">
        <f t="shared" si="11"/>
        <v>3.9970460629557836E-2</v>
      </c>
      <c r="U52" s="208" t="str">
        <f t="shared" si="15"/>
        <v>Too early</v>
      </c>
      <c r="V52" s="223">
        <v>569</v>
      </c>
      <c r="W52" s="227">
        <v>38404.300000000003</v>
      </c>
      <c r="X52" s="231">
        <v>33333</v>
      </c>
      <c r="Y52" s="208">
        <f t="shared" si="12"/>
        <v>1.1521405214052141</v>
      </c>
      <c r="Z52" s="234">
        <v>1590</v>
      </c>
      <c r="AA52" s="208">
        <f t="shared" si="19"/>
        <v>0.37232704402515721</v>
      </c>
      <c r="AB52" s="209">
        <f t="shared" si="13"/>
        <v>66.334966216216216</v>
      </c>
      <c r="AC52" s="219"/>
      <c r="AD52" s="219"/>
      <c r="AE52" s="219"/>
      <c r="AF52" s="348">
        <v>39270.300000000003</v>
      </c>
      <c r="AG52" s="352">
        <f t="shared" si="14"/>
        <v>0</v>
      </c>
    </row>
    <row r="53" spans="1:33" s="144" customFormat="1" x14ac:dyDescent="0.35">
      <c r="A53" s="144">
        <v>19</v>
      </c>
      <c r="B53" s="144">
        <f t="shared" si="4"/>
        <v>19</v>
      </c>
      <c r="C53" s="145">
        <v>46027</v>
      </c>
      <c r="D53" s="144" t="s">
        <v>73</v>
      </c>
      <c r="G53" s="145">
        <v>46032.833333333336</v>
      </c>
      <c r="H53" s="144" t="s">
        <v>55</v>
      </c>
      <c r="I53" s="38">
        <f t="shared" si="5"/>
        <v>606</v>
      </c>
      <c r="J53" s="39" t="str">
        <f t="shared" si="6"/>
        <v>Too early</v>
      </c>
      <c r="K53" s="32" t="str">
        <f t="shared" si="20"/>
        <v>Too early</v>
      </c>
      <c r="L53" s="40">
        <f t="shared" si="7"/>
        <v>38930</v>
      </c>
      <c r="M53" s="33">
        <f t="shared" si="8"/>
        <v>54999</v>
      </c>
      <c r="N53" s="196">
        <f t="shared" si="9"/>
        <v>0.70783105147366321</v>
      </c>
      <c r="O53" s="32" t="str">
        <f t="shared" si="10"/>
        <v>Too early</v>
      </c>
      <c r="P53" s="223">
        <v>46</v>
      </c>
      <c r="Q53" s="207" t="str">
        <f>IF(B53&lt;7,(P53/VLOOKUP(B53,'Sales Pacing'!$A$23:$E$36,2)),"Too early")</f>
        <v>Too early</v>
      </c>
      <c r="R53" s="227">
        <v>2309</v>
      </c>
      <c r="S53" s="231">
        <v>21666</v>
      </c>
      <c r="T53" s="238">
        <f t="shared" si="11"/>
        <v>0.10657250992338226</v>
      </c>
      <c r="U53" s="208" t="str">
        <f t="shared" si="15"/>
        <v>Too early</v>
      </c>
      <c r="V53" s="223">
        <v>560</v>
      </c>
      <c r="W53" s="227">
        <v>36621</v>
      </c>
      <c r="X53" s="231">
        <v>33333</v>
      </c>
      <c r="Y53" s="208">
        <f t="shared" si="12"/>
        <v>1.0986409864098641</v>
      </c>
      <c r="Z53" s="234">
        <v>1590</v>
      </c>
      <c r="AA53" s="208">
        <f t="shared" si="19"/>
        <v>0.38113207547169814</v>
      </c>
      <c r="AB53" s="209">
        <f t="shared" si="13"/>
        <v>64.240924092409244</v>
      </c>
      <c r="AC53" s="219"/>
      <c r="AD53" s="219"/>
      <c r="AE53" s="219"/>
      <c r="AF53" s="348">
        <v>38441.800000000003</v>
      </c>
      <c r="AG53" s="352">
        <f t="shared" si="14"/>
        <v>488.19999999999709</v>
      </c>
    </row>
    <row r="54" spans="1:33" s="148" customFormat="1" x14ac:dyDescent="0.35">
      <c r="A54" s="148">
        <v>19</v>
      </c>
      <c r="B54" s="148">
        <f t="shared" si="4"/>
        <v>19</v>
      </c>
      <c r="C54" s="149">
        <v>46027</v>
      </c>
      <c r="D54" s="384" t="s">
        <v>74</v>
      </c>
      <c r="G54" s="149">
        <v>46033.583333333336</v>
      </c>
      <c r="H54" s="148" t="s">
        <v>55</v>
      </c>
      <c r="I54" s="150">
        <f t="shared" si="5"/>
        <v>602</v>
      </c>
      <c r="J54" s="34" t="str">
        <f t="shared" si="6"/>
        <v>Too early</v>
      </c>
      <c r="K54" s="35" t="str">
        <f t="shared" si="20"/>
        <v>Too early</v>
      </c>
      <c r="L54" s="36">
        <f t="shared" si="7"/>
        <v>38853.5</v>
      </c>
      <c r="M54" s="37">
        <f t="shared" si="8"/>
        <v>55000</v>
      </c>
      <c r="N54" s="197">
        <f t="shared" si="9"/>
        <v>0.70642727272727268</v>
      </c>
      <c r="O54" s="35" t="str">
        <f t="shared" si="10"/>
        <v>Too early</v>
      </c>
      <c r="P54" s="224">
        <v>45</v>
      </c>
      <c r="Q54" s="210" t="str">
        <f>IF(B54&lt;7,(P54/VLOOKUP(B54,'Sales Pacing'!$A$23:$E$36,2)),"Too early")</f>
        <v>Too early</v>
      </c>
      <c r="R54" s="228">
        <v>2590</v>
      </c>
      <c r="S54" s="232">
        <v>21666</v>
      </c>
      <c r="T54" s="239">
        <f t="shared" si="11"/>
        <v>0.1195421397581464</v>
      </c>
      <c r="U54" s="211" t="str">
        <f t="shared" si="15"/>
        <v>Too early</v>
      </c>
      <c r="V54" s="224">
        <v>557</v>
      </c>
      <c r="W54" s="228">
        <v>36263.5</v>
      </c>
      <c r="X54" s="232">
        <v>33334</v>
      </c>
      <c r="Y54" s="211">
        <f t="shared" si="12"/>
        <v>1.0878832423351532</v>
      </c>
      <c r="Z54" s="235">
        <v>1590</v>
      </c>
      <c r="AA54" s="211">
        <f t="shared" si="19"/>
        <v>0.37861635220125789</v>
      </c>
      <c r="AB54" s="212">
        <f t="shared" si="13"/>
        <v>64.54069767441861</v>
      </c>
      <c r="AC54" s="220"/>
      <c r="AD54" s="220"/>
      <c r="AE54" s="220"/>
      <c r="AF54" s="350">
        <v>38579.1</v>
      </c>
      <c r="AG54" s="352">
        <f t="shared" si="14"/>
        <v>274.40000000000146</v>
      </c>
    </row>
    <row r="55" spans="1:33" s="144" customFormat="1" x14ac:dyDescent="0.35">
      <c r="A55" s="144">
        <v>20</v>
      </c>
      <c r="B55" s="144">
        <f t="shared" si="4"/>
        <v>20</v>
      </c>
      <c r="C55" s="178">
        <v>46034</v>
      </c>
      <c r="D55" s="179" t="s">
        <v>75</v>
      </c>
      <c r="E55" s="179"/>
      <c r="F55" s="179"/>
      <c r="G55" s="178">
        <v>46038.833333333336</v>
      </c>
      <c r="H55" s="179" t="s">
        <v>55</v>
      </c>
      <c r="I55" s="38">
        <f t="shared" si="5"/>
        <v>409</v>
      </c>
      <c r="J55" s="39" t="str">
        <f t="shared" si="6"/>
        <v>Too early</v>
      </c>
      <c r="K55" s="32" t="str">
        <f t="shared" si="20"/>
        <v>Too early</v>
      </c>
      <c r="L55" s="40">
        <f t="shared" si="7"/>
        <v>28064</v>
      </c>
      <c r="M55" s="33">
        <f t="shared" si="8"/>
        <v>60000</v>
      </c>
      <c r="N55" s="196">
        <f t="shared" si="9"/>
        <v>0.46773333333333333</v>
      </c>
      <c r="O55" s="32" t="str">
        <f t="shared" si="10"/>
        <v>Too early</v>
      </c>
      <c r="P55" s="243">
        <v>43</v>
      </c>
      <c r="Q55" s="207" t="str">
        <f>IF(B55&lt;7,(P55/VLOOKUP(B55,'Sales Pacing'!$A$23:$E$36,2)),"Too early")</f>
        <v>Too early</v>
      </c>
      <c r="R55" s="227">
        <v>2632</v>
      </c>
      <c r="S55" s="231">
        <v>30000</v>
      </c>
      <c r="T55" s="238">
        <f t="shared" si="11"/>
        <v>8.773333333333333E-2</v>
      </c>
      <c r="U55" s="208" t="str">
        <f t="shared" si="15"/>
        <v>Too early</v>
      </c>
      <c r="V55" s="223">
        <v>366</v>
      </c>
      <c r="W55" s="227">
        <v>25432</v>
      </c>
      <c r="X55" s="231">
        <v>30000</v>
      </c>
      <c r="Y55" s="208">
        <f t="shared" si="12"/>
        <v>0.84773333333333334</v>
      </c>
      <c r="Z55" s="234">
        <v>1590</v>
      </c>
      <c r="AA55" s="208">
        <f t="shared" si="19"/>
        <v>0.25723270440251572</v>
      </c>
      <c r="AB55" s="209">
        <f t="shared" si="13"/>
        <v>68.616136919315409</v>
      </c>
      <c r="AC55" s="219"/>
      <c r="AD55" s="219"/>
      <c r="AE55" s="219"/>
      <c r="AF55" s="348">
        <v>27996</v>
      </c>
      <c r="AG55" s="352">
        <f t="shared" si="14"/>
        <v>68</v>
      </c>
    </row>
    <row r="56" spans="1:33" s="144" customFormat="1" x14ac:dyDescent="0.35">
      <c r="A56" s="144">
        <v>20</v>
      </c>
      <c r="B56" s="144">
        <f t="shared" si="4"/>
        <v>20</v>
      </c>
      <c r="C56" s="145">
        <v>46034</v>
      </c>
      <c r="D56" s="144" t="s">
        <v>75</v>
      </c>
      <c r="G56" s="145">
        <v>46039.833333333336</v>
      </c>
      <c r="H56" s="144" t="s">
        <v>55</v>
      </c>
      <c r="I56" s="38">
        <f t="shared" si="5"/>
        <v>683</v>
      </c>
      <c r="J56" s="39" t="str">
        <f t="shared" si="6"/>
        <v>Too early</v>
      </c>
      <c r="K56" s="32" t="str">
        <f t="shared" si="20"/>
        <v>Too early</v>
      </c>
      <c r="L56" s="40">
        <f t="shared" si="7"/>
        <v>45570.9</v>
      </c>
      <c r="M56" s="33">
        <f t="shared" si="8"/>
        <v>75000</v>
      </c>
      <c r="N56" s="196">
        <f t="shared" si="9"/>
        <v>0.60761200000000004</v>
      </c>
      <c r="O56" s="32" t="str">
        <f t="shared" si="10"/>
        <v>Too early</v>
      </c>
      <c r="P56" s="243">
        <v>96</v>
      </c>
      <c r="Q56" s="207" t="str">
        <f>IF(B56&lt;7,(P56/VLOOKUP(B56,'Sales Pacing'!$A$23:$E$36,2)),"Too early")</f>
        <v>Too early</v>
      </c>
      <c r="R56" s="227">
        <v>5503</v>
      </c>
      <c r="S56" s="231">
        <v>20000</v>
      </c>
      <c r="T56" s="238">
        <f t="shared" si="11"/>
        <v>0.27515000000000001</v>
      </c>
      <c r="U56" s="208" t="str">
        <f t="shared" si="15"/>
        <v>Too early</v>
      </c>
      <c r="V56" s="223">
        <v>587</v>
      </c>
      <c r="W56" s="227">
        <v>40067.9</v>
      </c>
      <c r="X56" s="231">
        <v>55000</v>
      </c>
      <c r="Y56" s="208">
        <f t="shared" si="12"/>
        <v>0.72850727272727278</v>
      </c>
      <c r="Z56" s="234">
        <v>1590</v>
      </c>
      <c r="AA56" s="208">
        <f t="shared" si="19"/>
        <v>0.42955974842767297</v>
      </c>
      <c r="AB56" s="209">
        <f t="shared" si="13"/>
        <v>66.721669106881407</v>
      </c>
      <c r="AC56" s="219"/>
      <c r="AD56" s="219"/>
      <c r="AE56" s="219"/>
      <c r="AF56" s="348">
        <v>44908.4</v>
      </c>
      <c r="AG56" s="352">
        <f t="shared" si="14"/>
        <v>662.5</v>
      </c>
    </row>
    <row r="57" spans="1:33" s="148" customFormat="1" x14ac:dyDescent="0.35">
      <c r="A57" s="148">
        <v>20</v>
      </c>
      <c r="B57" s="148">
        <f t="shared" si="4"/>
        <v>20</v>
      </c>
      <c r="C57" s="149">
        <v>46034</v>
      </c>
      <c r="D57" s="148" t="s">
        <v>75</v>
      </c>
      <c r="G57" s="149">
        <v>46040.583333333336</v>
      </c>
      <c r="H57" s="148" t="s">
        <v>55</v>
      </c>
      <c r="I57" s="150">
        <f t="shared" si="5"/>
        <v>686</v>
      </c>
      <c r="J57" s="34" t="str">
        <f t="shared" si="6"/>
        <v>Too early</v>
      </c>
      <c r="K57" s="35" t="str">
        <f t="shared" si="20"/>
        <v>Too early</v>
      </c>
      <c r="L57" s="36">
        <f t="shared" si="7"/>
        <v>43967.199999999997</v>
      </c>
      <c r="M57" s="37">
        <f t="shared" si="8"/>
        <v>75000</v>
      </c>
      <c r="N57" s="197">
        <f t="shared" si="9"/>
        <v>0.58622933333333327</v>
      </c>
      <c r="O57" s="35" t="str">
        <f t="shared" si="10"/>
        <v>Too early</v>
      </c>
      <c r="P57" s="245">
        <v>80</v>
      </c>
      <c r="Q57" s="210" t="str">
        <f>IF(B57&lt;7,(P57/VLOOKUP(B57,'Sales Pacing'!$A$23:$E$36,2)),"Too early")</f>
        <v>Too early</v>
      </c>
      <c r="R57" s="228">
        <v>5029</v>
      </c>
      <c r="S57" s="232">
        <v>20000</v>
      </c>
      <c r="T57" s="239">
        <f t="shared" si="11"/>
        <v>0.25145000000000001</v>
      </c>
      <c r="U57" s="211" t="str">
        <f t="shared" si="15"/>
        <v>Too early</v>
      </c>
      <c r="V57" s="224">
        <v>606</v>
      </c>
      <c r="W57" s="228">
        <v>38938.199999999997</v>
      </c>
      <c r="X57" s="232">
        <v>55000</v>
      </c>
      <c r="Y57" s="211">
        <f t="shared" si="12"/>
        <v>0.70796727272727267</v>
      </c>
      <c r="Z57" s="235">
        <v>1590</v>
      </c>
      <c r="AA57" s="211">
        <f t="shared" si="19"/>
        <v>0.43144654088050316</v>
      </c>
      <c r="AB57" s="212">
        <f t="shared" si="13"/>
        <v>64.092128279883383</v>
      </c>
      <c r="AC57" s="220"/>
      <c r="AD57" s="220"/>
      <c r="AE57" s="220"/>
      <c r="AF57" s="350">
        <v>43743.199999999997</v>
      </c>
      <c r="AG57" s="352">
        <f t="shared" si="14"/>
        <v>224</v>
      </c>
    </row>
    <row r="58" spans="1:33" s="144" customFormat="1" x14ac:dyDescent="0.35">
      <c r="A58" s="144">
        <v>21</v>
      </c>
      <c r="B58" s="144">
        <f t="shared" si="4"/>
        <v>21</v>
      </c>
      <c r="C58" s="145">
        <v>46041</v>
      </c>
      <c r="D58" s="144" t="s">
        <v>76</v>
      </c>
      <c r="G58" s="145">
        <v>46044.791666666664</v>
      </c>
      <c r="H58" s="144" t="s">
        <v>57</v>
      </c>
      <c r="I58" s="38">
        <f t="shared" si="5"/>
        <v>119</v>
      </c>
      <c r="J58" s="39" t="str">
        <f t="shared" si="6"/>
        <v>Too early</v>
      </c>
      <c r="K58" s="32" t="str">
        <f t="shared" si="20"/>
        <v>Too early</v>
      </c>
      <c r="L58" s="40">
        <f t="shared" si="7"/>
        <v>7049</v>
      </c>
      <c r="M58" s="33">
        <f t="shared" si="8"/>
        <v>90000</v>
      </c>
      <c r="N58" s="196">
        <f t="shared" si="9"/>
        <v>7.8322222222222224E-2</v>
      </c>
      <c r="O58" s="32" t="str">
        <f t="shared" si="10"/>
        <v>Too early</v>
      </c>
      <c r="P58" s="223">
        <v>119</v>
      </c>
      <c r="Q58" s="207" t="str">
        <f>IF(B58&lt;7,(P58/VLOOKUP(B58,'Sales Pacing'!$A$23:$E$36,2)),"Too early")</f>
        <v>Too early</v>
      </c>
      <c r="R58" s="276">
        <v>7049</v>
      </c>
      <c r="S58" s="231">
        <v>90000</v>
      </c>
      <c r="T58" s="238">
        <f t="shared" si="11"/>
        <v>7.8322222222222224E-2</v>
      </c>
      <c r="U58" s="208" t="str">
        <f t="shared" si="15"/>
        <v>Too early</v>
      </c>
      <c r="V58" s="223"/>
      <c r="W58" s="227"/>
      <c r="X58" s="231"/>
      <c r="Y58" s="208" t="str">
        <f t="shared" si="12"/>
        <v/>
      </c>
      <c r="Z58" s="234">
        <v>1302</v>
      </c>
      <c r="AA58" s="208">
        <f t="shared" si="19"/>
        <v>9.1397849462365593E-2</v>
      </c>
      <c r="AB58" s="209">
        <f>L58/I58</f>
        <v>59.235294117647058</v>
      </c>
      <c r="AC58" s="219"/>
      <c r="AD58" s="219"/>
      <c r="AE58" s="219"/>
      <c r="AF58" s="348">
        <v>6949</v>
      </c>
      <c r="AG58" s="352">
        <f t="shared" si="14"/>
        <v>100</v>
      </c>
    </row>
    <row r="59" spans="1:33" s="144" customFormat="1" x14ac:dyDescent="0.35">
      <c r="A59" s="144">
        <v>21</v>
      </c>
      <c r="B59" s="144">
        <f t="shared" si="4"/>
        <v>21</v>
      </c>
      <c r="C59" s="145">
        <v>46041</v>
      </c>
      <c r="D59" s="144" t="s">
        <v>76</v>
      </c>
      <c r="G59" s="145">
        <v>46045.791666666664</v>
      </c>
      <c r="H59" s="144" t="s">
        <v>57</v>
      </c>
      <c r="I59" s="38">
        <f t="shared" si="5"/>
        <v>293</v>
      </c>
      <c r="J59" s="39" t="str">
        <f t="shared" si="6"/>
        <v>Too early</v>
      </c>
      <c r="K59" s="32" t="str">
        <f t="shared" si="20"/>
        <v>Too early</v>
      </c>
      <c r="L59" s="40">
        <f t="shared" si="7"/>
        <v>21081.9</v>
      </c>
      <c r="M59" s="33">
        <f t="shared" si="8"/>
        <v>90000</v>
      </c>
      <c r="N59" s="196">
        <f t="shared" si="9"/>
        <v>0.23424333333333336</v>
      </c>
      <c r="O59" s="32" t="str">
        <f t="shared" si="10"/>
        <v>Too early</v>
      </c>
      <c r="P59" s="223">
        <v>293</v>
      </c>
      <c r="Q59" s="207" t="str">
        <f>IF(B59&lt;7,(P59/VLOOKUP(B59,'Sales Pacing'!$A$23:$E$36,2)),"Too early")</f>
        <v>Too early</v>
      </c>
      <c r="R59" s="227">
        <v>21081.9</v>
      </c>
      <c r="S59" s="231">
        <v>90000</v>
      </c>
      <c r="T59" s="238">
        <f t="shared" si="11"/>
        <v>0.23424333333333336</v>
      </c>
      <c r="U59" s="208" t="str">
        <f t="shared" si="15"/>
        <v>Too early</v>
      </c>
      <c r="V59" s="223"/>
      <c r="W59" s="227"/>
      <c r="X59" s="231"/>
      <c r="Y59" s="208" t="str">
        <f t="shared" si="12"/>
        <v/>
      </c>
      <c r="Z59" s="234">
        <v>1302</v>
      </c>
      <c r="AA59" s="208">
        <f t="shared" si="19"/>
        <v>0.2250384024577573</v>
      </c>
      <c r="AB59" s="209">
        <f t="shared" si="13"/>
        <v>71.95187713310581</v>
      </c>
      <c r="AC59" s="219"/>
      <c r="AD59" s="219"/>
      <c r="AE59" s="219"/>
      <c r="AF59" s="348">
        <v>19900</v>
      </c>
      <c r="AG59" s="352">
        <f t="shared" si="14"/>
        <v>1181.9000000000015</v>
      </c>
    </row>
    <row r="60" spans="1:33" s="144" customFormat="1" x14ac:dyDescent="0.35">
      <c r="A60" s="144">
        <v>21</v>
      </c>
      <c r="B60" s="144">
        <f t="shared" si="4"/>
        <v>21</v>
      </c>
      <c r="C60" s="145">
        <v>46041</v>
      </c>
      <c r="D60" s="144" t="s">
        <v>76</v>
      </c>
      <c r="G60" s="145">
        <v>46046.791666666664</v>
      </c>
      <c r="H60" s="144" t="s">
        <v>57</v>
      </c>
      <c r="I60" s="38">
        <f t="shared" si="5"/>
        <v>435</v>
      </c>
      <c r="J60" s="39" t="str">
        <f t="shared" si="6"/>
        <v>Too early</v>
      </c>
      <c r="K60" s="32" t="str">
        <f t="shared" si="20"/>
        <v>Too early</v>
      </c>
      <c r="L60" s="40">
        <f t="shared" si="7"/>
        <v>31818.1</v>
      </c>
      <c r="M60" s="33">
        <f t="shared" si="8"/>
        <v>90000</v>
      </c>
      <c r="N60" s="196">
        <f t="shared" si="9"/>
        <v>0.35353444444444443</v>
      </c>
      <c r="O60" s="32" t="str">
        <f t="shared" si="10"/>
        <v>Too early</v>
      </c>
      <c r="P60" s="223">
        <v>435</v>
      </c>
      <c r="Q60" s="207" t="str">
        <f>IF(B60&lt;7,(P60/VLOOKUP(B60,'Sales Pacing'!$A$23:$E$36,2)),"Too early")</f>
        <v>Too early</v>
      </c>
      <c r="R60" s="227">
        <v>31818.1</v>
      </c>
      <c r="S60" s="231">
        <v>90000</v>
      </c>
      <c r="T60" s="238">
        <f t="shared" si="11"/>
        <v>0.35353444444444443</v>
      </c>
      <c r="U60" s="208" t="str">
        <f t="shared" si="15"/>
        <v>Too early</v>
      </c>
      <c r="V60" s="223"/>
      <c r="W60" s="227"/>
      <c r="X60" s="231"/>
      <c r="Y60" s="208" t="str">
        <f t="shared" si="12"/>
        <v/>
      </c>
      <c r="Z60" s="234">
        <v>1302</v>
      </c>
      <c r="AA60" s="208">
        <f t="shared" si="19"/>
        <v>0.33410138248847926</v>
      </c>
      <c r="AB60" s="209">
        <f t="shared" si="13"/>
        <v>73.145057471264366</v>
      </c>
      <c r="AC60" s="219"/>
      <c r="AD60" s="219"/>
      <c r="AE60" s="219"/>
      <c r="AF60" s="348">
        <v>31343</v>
      </c>
      <c r="AG60" s="352">
        <f t="shared" si="14"/>
        <v>475.09999999999854</v>
      </c>
    </row>
    <row r="61" spans="1:33" s="148" customFormat="1" x14ac:dyDescent="0.35">
      <c r="A61" s="148">
        <v>21</v>
      </c>
      <c r="B61" s="148">
        <f t="shared" si="4"/>
        <v>21</v>
      </c>
      <c r="C61" s="149">
        <v>46041</v>
      </c>
      <c r="D61" s="148" t="s">
        <v>76</v>
      </c>
      <c r="G61" s="149">
        <v>46047.583333333336</v>
      </c>
      <c r="H61" s="148" t="s">
        <v>57</v>
      </c>
      <c r="I61" s="150">
        <f t="shared" si="5"/>
        <v>331</v>
      </c>
      <c r="J61" s="34" t="str">
        <f t="shared" si="6"/>
        <v>Too early</v>
      </c>
      <c r="K61" s="35" t="str">
        <f t="shared" si="20"/>
        <v>Too early</v>
      </c>
      <c r="L61" s="36">
        <f t="shared" si="7"/>
        <v>22975.599999999999</v>
      </c>
      <c r="M61" s="37">
        <f t="shared" si="8"/>
        <v>90000</v>
      </c>
      <c r="N61" s="197">
        <f t="shared" si="9"/>
        <v>0.25528444444444442</v>
      </c>
      <c r="O61" s="35" t="str">
        <f t="shared" si="10"/>
        <v>Too early</v>
      </c>
      <c r="P61" s="224">
        <v>331</v>
      </c>
      <c r="Q61" s="210" t="str">
        <f>IF(B61&lt;7,(P61/VLOOKUP(B61,'Sales Pacing'!$A$23:$E$36,2)),"Too early")</f>
        <v>Too early</v>
      </c>
      <c r="R61" s="228">
        <v>22975.599999999999</v>
      </c>
      <c r="S61" s="231">
        <v>90000</v>
      </c>
      <c r="T61" s="238">
        <f t="shared" si="11"/>
        <v>0.25528444444444442</v>
      </c>
      <c r="U61" s="211" t="str">
        <f t="shared" si="15"/>
        <v>Too early</v>
      </c>
      <c r="V61" s="224"/>
      <c r="W61" s="228"/>
      <c r="X61" s="232"/>
      <c r="Y61" s="211" t="str">
        <f t="shared" si="12"/>
        <v/>
      </c>
      <c r="Z61" s="235">
        <v>1302</v>
      </c>
      <c r="AA61" s="211">
        <f t="shared" si="19"/>
        <v>0.25422427035330258</v>
      </c>
      <c r="AB61" s="212">
        <f t="shared" si="13"/>
        <v>69.412688821752255</v>
      </c>
      <c r="AC61" s="220"/>
      <c r="AD61" s="220"/>
      <c r="AE61" s="220"/>
      <c r="AF61" s="350">
        <v>22301</v>
      </c>
      <c r="AG61" s="352">
        <f t="shared" si="14"/>
        <v>674.59999999999854</v>
      </c>
    </row>
    <row r="62" spans="1:33" s="144" customFormat="1" x14ac:dyDescent="0.35">
      <c r="A62" s="144">
        <v>22</v>
      </c>
      <c r="B62" s="144">
        <f t="shared" si="4"/>
        <v>22</v>
      </c>
      <c r="C62" s="178">
        <v>46048</v>
      </c>
      <c r="D62" s="179" t="s">
        <v>77</v>
      </c>
      <c r="E62" s="179"/>
      <c r="F62" s="179"/>
      <c r="G62" s="178">
        <v>46052.833333333336</v>
      </c>
      <c r="H62" s="179" t="s">
        <v>55</v>
      </c>
      <c r="I62" s="38">
        <f t="shared" si="5"/>
        <v>419</v>
      </c>
      <c r="J62" s="39" t="str">
        <f t="shared" si="6"/>
        <v>Too early</v>
      </c>
      <c r="K62" s="32" t="str">
        <f t="shared" si="20"/>
        <v>Too early</v>
      </c>
      <c r="L62" s="40">
        <f t="shared" si="7"/>
        <v>28258</v>
      </c>
      <c r="M62" s="33">
        <f t="shared" si="8"/>
        <v>54000</v>
      </c>
      <c r="N62" s="196">
        <f t="shared" si="9"/>
        <v>0.52329629629629626</v>
      </c>
      <c r="O62" s="32" t="str">
        <f t="shared" si="10"/>
        <v>Too early</v>
      </c>
      <c r="P62" s="243">
        <v>55</v>
      </c>
      <c r="Q62" s="207" t="str">
        <f>IF(B62&lt;7,(P62/VLOOKUP(B62,'Sales Pacing'!$A$23:$E$36,2)),"Too early")</f>
        <v>Too early</v>
      </c>
      <c r="R62" s="227">
        <v>3097</v>
      </c>
      <c r="S62" s="231">
        <v>24000</v>
      </c>
      <c r="T62" s="238">
        <f t="shared" si="11"/>
        <v>0.12904166666666667</v>
      </c>
      <c r="U62" s="208" t="str">
        <f t="shared" si="15"/>
        <v>Too early</v>
      </c>
      <c r="V62" s="223">
        <v>364</v>
      </c>
      <c r="W62" s="227">
        <v>25161</v>
      </c>
      <c r="X62" s="231">
        <v>30000</v>
      </c>
      <c r="Y62" s="208">
        <f t="shared" si="12"/>
        <v>0.8387</v>
      </c>
      <c r="Z62" s="234">
        <v>1590</v>
      </c>
      <c r="AA62" s="208">
        <f t="shared" si="19"/>
        <v>0.26352201257861635</v>
      </c>
      <c r="AB62" s="209">
        <f t="shared" si="13"/>
        <v>67.441527446300711</v>
      </c>
      <c r="AC62" s="219"/>
      <c r="AD62" s="219"/>
      <c r="AE62" s="219"/>
      <c r="AF62" s="348">
        <v>28360</v>
      </c>
      <c r="AG62" s="352">
        <f t="shared" si="14"/>
        <v>-102</v>
      </c>
    </row>
    <row r="63" spans="1:33" s="144" customFormat="1" x14ac:dyDescent="0.35">
      <c r="A63" s="144">
        <v>22</v>
      </c>
      <c r="B63" s="144">
        <f t="shared" si="4"/>
        <v>22</v>
      </c>
      <c r="C63" s="145">
        <v>46048</v>
      </c>
      <c r="D63" s="144" t="s">
        <v>77</v>
      </c>
      <c r="G63" s="145">
        <v>46053.833333333336</v>
      </c>
      <c r="H63" s="144" t="s">
        <v>55</v>
      </c>
      <c r="I63" s="38">
        <f t="shared" si="5"/>
        <v>653</v>
      </c>
      <c r="J63" s="39" t="str">
        <f t="shared" si="6"/>
        <v>Too early</v>
      </c>
      <c r="K63" s="32" t="str">
        <f t="shared" si="20"/>
        <v>Too early</v>
      </c>
      <c r="L63" s="40">
        <f t="shared" si="7"/>
        <v>43482.9</v>
      </c>
      <c r="M63" s="33">
        <f t="shared" si="8"/>
        <v>75000</v>
      </c>
      <c r="N63" s="196">
        <f t="shared" si="9"/>
        <v>0.57977200000000007</v>
      </c>
      <c r="O63" s="32" t="str">
        <f t="shared" si="10"/>
        <v>Too early</v>
      </c>
      <c r="P63" s="243">
        <v>65</v>
      </c>
      <c r="Q63" s="207" t="str">
        <f>IF(B63&lt;7,(P63/VLOOKUP(B63,'Sales Pacing'!$A$23:$E$36,2)),"Too early")</f>
        <v>Too early</v>
      </c>
      <c r="R63" s="227">
        <v>3808</v>
      </c>
      <c r="S63" s="231">
        <v>20000</v>
      </c>
      <c r="T63" s="238">
        <f t="shared" si="11"/>
        <v>0.19040000000000001</v>
      </c>
      <c r="U63" s="208" t="str">
        <f t="shared" si="15"/>
        <v>Too early</v>
      </c>
      <c r="V63" s="223">
        <v>588</v>
      </c>
      <c r="W63" s="227">
        <v>39674.9</v>
      </c>
      <c r="X63" s="231">
        <v>55000</v>
      </c>
      <c r="Y63" s="208">
        <f t="shared" si="12"/>
        <v>0.72136181818181822</v>
      </c>
      <c r="Z63" s="234">
        <v>1590</v>
      </c>
      <c r="AA63" s="208">
        <f t="shared" si="19"/>
        <v>0.41069182389937109</v>
      </c>
      <c r="AB63" s="209">
        <f t="shared" si="13"/>
        <v>66.589433384379788</v>
      </c>
      <c r="AC63" s="219"/>
      <c r="AD63" s="219"/>
      <c r="AE63" s="219"/>
      <c r="AF63" s="348">
        <v>43043.4</v>
      </c>
      <c r="AG63" s="352">
        <f t="shared" si="14"/>
        <v>439.5</v>
      </c>
    </row>
    <row r="64" spans="1:33" s="148" customFormat="1" x14ac:dyDescent="0.35">
      <c r="A64" s="148">
        <v>22</v>
      </c>
      <c r="B64" s="148">
        <f t="shared" si="4"/>
        <v>22</v>
      </c>
      <c r="C64" s="149">
        <v>46048</v>
      </c>
      <c r="D64" s="148" t="s">
        <v>77</v>
      </c>
      <c r="G64" s="149">
        <v>46054.583333333336</v>
      </c>
      <c r="H64" s="148" t="s">
        <v>55</v>
      </c>
      <c r="I64" s="150">
        <f t="shared" si="5"/>
        <v>658</v>
      </c>
      <c r="J64" s="34" t="str">
        <f t="shared" si="6"/>
        <v>Too early</v>
      </c>
      <c r="K64" s="35" t="str">
        <f t="shared" si="20"/>
        <v>Too early</v>
      </c>
      <c r="L64" s="36">
        <f t="shared" si="7"/>
        <v>41792.199999999997</v>
      </c>
      <c r="M64" s="37">
        <f t="shared" si="8"/>
        <v>75000</v>
      </c>
      <c r="N64" s="197">
        <f t="shared" si="9"/>
        <v>0.55722933333333324</v>
      </c>
      <c r="O64" s="35" t="str">
        <f t="shared" si="10"/>
        <v>Too early</v>
      </c>
      <c r="P64" s="245">
        <v>52</v>
      </c>
      <c r="Q64" s="210" t="str">
        <f>IF(B64&lt;7,(P64/VLOOKUP(B64,'Sales Pacing'!$A$23:$E$36,2)),"Too early")</f>
        <v>Too early</v>
      </c>
      <c r="R64" s="228">
        <v>2972</v>
      </c>
      <c r="S64" s="232">
        <v>20000</v>
      </c>
      <c r="T64" s="239">
        <f t="shared" si="11"/>
        <v>0.14860000000000001</v>
      </c>
      <c r="U64" s="211" t="str">
        <f t="shared" si="15"/>
        <v>Too early</v>
      </c>
      <c r="V64" s="224">
        <v>606</v>
      </c>
      <c r="W64" s="228">
        <v>38820.199999999997</v>
      </c>
      <c r="X64" s="232">
        <v>55000</v>
      </c>
      <c r="Y64" s="211">
        <f t="shared" si="12"/>
        <v>0.70582181818181811</v>
      </c>
      <c r="Z64" s="235">
        <v>1590</v>
      </c>
      <c r="AA64" s="211">
        <f t="shared" si="19"/>
        <v>0.4138364779874214</v>
      </c>
      <c r="AB64" s="212">
        <f t="shared" si="13"/>
        <v>63.513981762917929</v>
      </c>
      <c r="AC64" s="220"/>
      <c r="AD64" s="220"/>
      <c r="AE64" s="220"/>
      <c r="AF64" s="350">
        <v>41906.199999999997</v>
      </c>
      <c r="AG64" s="352">
        <f t="shared" si="14"/>
        <v>-114</v>
      </c>
    </row>
    <row r="65" spans="1:33" s="144" customFormat="1" x14ac:dyDescent="0.35">
      <c r="A65" s="144">
        <v>23</v>
      </c>
      <c r="B65" s="144">
        <f t="shared" si="4"/>
        <v>23</v>
      </c>
      <c r="C65" s="145">
        <v>46055</v>
      </c>
      <c r="D65" s="144" t="s">
        <v>78</v>
      </c>
      <c r="G65" s="145">
        <v>46058.833333333336</v>
      </c>
      <c r="H65" s="144" t="s">
        <v>61</v>
      </c>
      <c r="I65" s="38">
        <f t="shared" si="5"/>
        <v>19</v>
      </c>
      <c r="J65" s="39" t="str">
        <f t="shared" si="6"/>
        <v>Too early</v>
      </c>
      <c r="K65" s="32" t="str">
        <f t="shared" si="20"/>
        <v>Too early</v>
      </c>
      <c r="L65" s="40">
        <f t="shared" si="7"/>
        <v>1960</v>
      </c>
      <c r="M65" s="33">
        <v>9000</v>
      </c>
      <c r="N65" s="196">
        <f t="shared" si="9"/>
        <v>0.21777777777777776</v>
      </c>
      <c r="O65" s="32" t="str">
        <f t="shared" si="10"/>
        <v>Too early</v>
      </c>
      <c r="P65" s="243">
        <v>19</v>
      </c>
      <c r="Q65" s="207" t="str">
        <f>IF(B65&lt;7,(P65/VLOOKUP(B65,'Sales Pacing'!$A$23:$E$36,2)),"Too early")</f>
        <v>Too early</v>
      </c>
      <c r="R65" s="227">
        <v>1960</v>
      </c>
      <c r="S65" s="231">
        <v>9000</v>
      </c>
      <c r="T65" s="238">
        <f t="shared" si="11"/>
        <v>0.21777777777777776</v>
      </c>
      <c r="U65" s="208" t="str">
        <f t="shared" si="15"/>
        <v>Too early</v>
      </c>
      <c r="V65" s="223"/>
      <c r="W65" s="227"/>
      <c r="X65" s="231"/>
      <c r="Y65" s="208" t="str">
        <f t="shared" si="12"/>
        <v/>
      </c>
      <c r="Z65" s="234">
        <v>100</v>
      </c>
      <c r="AA65" s="208">
        <f t="shared" si="19"/>
        <v>0.19</v>
      </c>
      <c r="AB65" s="209">
        <f t="shared" si="13"/>
        <v>103.15789473684211</v>
      </c>
      <c r="AC65" s="219"/>
      <c r="AD65" s="219"/>
      <c r="AE65" s="219"/>
      <c r="AF65" s="348">
        <v>1960</v>
      </c>
      <c r="AG65" s="352">
        <f t="shared" si="14"/>
        <v>0</v>
      </c>
    </row>
    <row r="66" spans="1:33" s="144" customFormat="1" x14ac:dyDescent="0.35">
      <c r="A66" s="144">
        <v>23</v>
      </c>
      <c r="B66" s="144">
        <f t="shared" si="4"/>
        <v>23</v>
      </c>
      <c r="C66" s="145">
        <v>46055</v>
      </c>
      <c r="D66" s="144" t="s">
        <v>79</v>
      </c>
      <c r="G66" s="145">
        <v>46059.833333333336</v>
      </c>
      <c r="H66" s="144" t="s">
        <v>55</v>
      </c>
      <c r="I66" s="38">
        <f t="shared" si="5"/>
        <v>597</v>
      </c>
      <c r="J66" s="39" t="str">
        <f t="shared" si="6"/>
        <v>Too early</v>
      </c>
      <c r="K66" s="32" t="str">
        <f t="shared" si="20"/>
        <v>Too early</v>
      </c>
      <c r="L66" s="40">
        <f t="shared" si="7"/>
        <v>39385.300000000003</v>
      </c>
      <c r="M66" s="33">
        <f t="shared" si="8"/>
        <v>46666</v>
      </c>
      <c r="N66" s="196">
        <f t="shared" si="9"/>
        <v>0.84398277118244558</v>
      </c>
      <c r="O66" s="32" t="str">
        <f t="shared" si="10"/>
        <v>Too early</v>
      </c>
      <c r="P66" s="243">
        <v>36</v>
      </c>
      <c r="Q66" s="207" t="str">
        <f>IF(B66&lt;7,(P66/VLOOKUP(B66,'Sales Pacing'!$A$23:$E$36,2)),"Too early")</f>
        <v>Too early</v>
      </c>
      <c r="R66" s="227">
        <v>1794</v>
      </c>
      <c r="S66" s="231">
        <v>13333</v>
      </c>
      <c r="T66" s="238">
        <f t="shared" si="11"/>
        <v>0.13455336383409586</v>
      </c>
      <c r="U66" s="208" t="str">
        <f t="shared" si="15"/>
        <v>Too early</v>
      </c>
      <c r="V66" s="223">
        <v>561</v>
      </c>
      <c r="W66" s="227">
        <v>37591.300000000003</v>
      </c>
      <c r="X66" s="231">
        <v>33333</v>
      </c>
      <c r="Y66" s="208">
        <f t="shared" si="12"/>
        <v>1.127750277502775</v>
      </c>
      <c r="Z66" s="234">
        <v>1590</v>
      </c>
      <c r="AA66" s="208">
        <f t="shared" si="19"/>
        <v>0.37547169811320757</v>
      </c>
      <c r="AB66" s="209">
        <f t="shared" si="13"/>
        <v>65.972026800670022</v>
      </c>
      <c r="AC66" s="219"/>
      <c r="AD66" s="219"/>
      <c r="AE66" s="219"/>
      <c r="AF66" s="348">
        <v>39385.300000000003</v>
      </c>
      <c r="AG66" s="352">
        <f t="shared" si="14"/>
        <v>0</v>
      </c>
    </row>
    <row r="67" spans="1:33" s="144" customFormat="1" x14ac:dyDescent="0.35">
      <c r="A67" s="144">
        <v>23</v>
      </c>
      <c r="B67" s="144">
        <f t="shared" si="4"/>
        <v>23</v>
      </c>
      <c r="C67" s="145">
        <v>46055</v>
      </c>
      <c r="D67" s="144" t="s">
        <v>80</v>
      </c>
      <c r="G67" s="145">
        <v>46060.833333333336</v>
      </c>
      <c r="H67" s="144" t="s">
        <v>55</v>
      </c>
      <c r="I67" s="38">
        <f t="shared" si="5"/>
        <v>604</v>
      </c>
      <c r="J67" s="39" t="str">
        <f t="shared" si="6"/>
        <v>Too early</v>
      </c>
      <c r="K67" s="32" t="str">
        <f t="shared" si="20"/>
        <v>Too early</v>
      </c>
      <c r="L67" s="40">
        <f t="shared" si="7"/>
        <v>38740.199999999997</v>
      </c>
      <c r="M67" s="33">
        <f t="shared" si="8"/>
        <v>46666</v>
      </c>
      <c r="N67" s="196">
        <f t="shared" si="9"/>
        <v>0.830159002271461</v>
      </c>
      <c r="O67" s="32" t="str">
        <f t="shared" si="10"/>
        <v>Too early</v>
      </c>
      <c r="P67" s="243">
        <v>42</v>
      </c>
      <c r="Q67" s="207" t="str">
        <f>IF(B67&lt;7,(P67/VLOOKUP(B67,'Sales Pacing'!$A$23:$E$36,2)),"Too early")</f>
        <v>Too early</v>
      </c>
      <c r="R67" s="227">
        <v>2063</v>
      </c>
      <c r="S67" s="231">
        <v>13333</v>
      </c>
      <c r="T67" s="238">
        <f t="shared" si="11"/>
        <v>0.15472886822170553</v>
      </c>
      <c r="U67" s="208" t="str">
        <f t="shared" si="15"/>
        <v>Too early</v>
      </c>
      <c r="V67" s="223">
        <v>562</v>
      </c>
      <c r="W67" s="227">
        <v>36677.199999999997</v>
      </c>
      <c r="X67" s="231">
        <v>33333</v>
      </c>
      <c r="Y67" s="208">
        <f t="shared" si="12"/>
        <v>1.1003270032700325</v>
      </c>
      <c r="Z67" s="234">
        <v>1590</v>
      </c>
      <c r="AA67" s="208">
        <f t="shared" si="19"/>
        <v>0.37987421383647801</v>
      </c>
      <c r="AB67" s="209">
        <f t="shared" si="13"/>
        <v>64.139403973509928</v>
      </c>
      <c r="AC67" s="219"/>
      <c r="AD67" s="219"/>
      <c r="AE67" s="219"/>
      <c r="AF67" s="348">
        <v>38633</v>
      </c>
      <c r="AG67" s="352">
        <f t="shared" si="14"/>
        <v>107.19999999999709</v>
      </c>
    </row>
    <row r="68" spans="1:33" s="148" customFormat="1" x14ac:dyDescent="0.35">
      <c r="A68" s="148">
        <v>23</v>
      </c>
      <c r="B68" s="148">
        <f t="shared" si="4"/>
        <v>23</v>
      </c>
      <c r="C68" s="149">
        <v>46055</v>
      </c>
      <c r="D68" s="148" t="s">
        <v>81</v>
      </c>
      <c r="G68" s="149">
        <v>46061.583333333336</v>
      </c>
      <c r="H68" s="148" t="s">
        <v>55</v>
      </c>
      <c r="I68" s="150">
        <f t="shared" si="5"/>
        <v>586</v>
      </c>
      <c r="J68" s="34" t="str">
        <f t="shared" si="6"/>
        <v>Too early</v>
      </c>
      <c r="K68" s="35" t="str">
        <f t="shared" si="20"/>
        <v>Too early</v>
      </c>
      <c r="L68" s="36">
        <f t="shared" si="7"/>
        <v>37115.1</v>
      </c>
      <c r="M68" s="37">
        <f t="shared" si="8"/>
        <v>46667</v>
      </c>
      <c r="N68" s="197">
        <f t="shared" si="9"/>
        <v>0.79531789058649582</v>
      </c>
      <c r="O68" s="35" t="str">
        <f t="shared" si="10"/>
        <v>Too early</v>
      </c>
      <c r="P68" s="245">
        <v>38</v>
      </c>
      <c r="Q68" s="210" t="str">
        <f>IF(B68&lt;7,(P68/VLOOKUP(B68,'Sales Pacing'!$A$23:$E$36,2)),"Too early")</f>
        <v>Too early</v>
      </c>
      <c r="R68" s="228">
        <v>1414</v>
      </c>
      <c r="S68" s="232">
        <v>13333</v>
      </c>
      <c r="T68" s="239">
        <f t="shared" si="11"/>
        <v>0.1060526513162829</v>
      </c>
      <c r="U68" s="211" t="str">
        <f t="shared" si="15"/>
        <v>Too early</v>
      </c>
      <c r="V68" s="224">
        <v>548</v>
      </c>
      <c r="W68" s="228">
        <v>35701.1</v>
      </c>
      <c r="X68" s="232">
        <v>33334</v>
      </c>
      <c r="Y68" s="211">
        <f t="shared" si="12"/>
        <v>1.0710115797684046</v>
      </c>
      <c r="Z68" s="235">
        <v>1590</v>
      </c>
      <c r="AA68" s="211">
        <f t="shared" si="19"/>
        <v>0.36855345911949683</v>
      </c>
      <c r="AB68" s="212">
        <f t="shared" si="13"/>
        <v>63.336348122866895</v>
      </c>
      <c r="AC68" s="220"/>
      <c r="AD68" s="220"/>
      <c r="AE68" s="220"/>
      <c r="AF68" s="350">
        <v>36686.699999999997</v>
      </c>
      <c r="AG68" s="352">
        <f t="shared" si="14"/>
        <v>428.40000000000146</v>
      </c>
    </row>
    <row r="69" spans="1:33" s="144" customFormat="1" x14ac:dyDescent="0.35">
      <c r="A69" s="144">
        <v>24</v>
      </c>
      <c r="B69" s="144">
        <f t="shared" si="4"/>
        <v>24</v>
      </c>
      <c r="C69" s="145">
        <v>46062</v>
      </c>
      <c r="D69" s="144" t="s">
        <v>82</v>
      </c>
      <c r="G69" s="145">
        <v>46065.791666666664</v>
      </c>
      <c r="H69" s="144" t="s">
        <v>45</v>
      </c>
      <c r="I69" s="38">
        <f t="shared" si="5"/>
        <v>300</v>
      </c>
      <c r="J69" s="39" t="str">
        <f t="shared" si="6"/>
        <v>Too early</v>
      </c>
      <c r="K69" s="32" t="str">
        <f t="shared" si="20"/>
        <v>Too early</v>
      </c>
      <c r="L69" s="40">
        <f t="shared" si="7"/>
        <v>26522</v>
      </c>
      <c r="M69" s="33">
        <f t="shared" si="8"/>
        <v>128900</v>
      </c>
      <c r="N69" s="196">
        <f t="shared" si="9"/>
        <v>0.20575640031031808</v>
      </c>
      <c r="O69" s="32" t="str">
        <f t="shared" si="10"/>
        <v>Too early</v>
      </c>
      <c r="P69" s="223">
        <v>300</v>
      </c>
      <c r="Q69" s="207" t="str">
        <f>IF(B69&lt;7,(P69/VLOOKUP(B69,'Sales Pacing'!$A$23:$E$36,2)),"Too early")</f>
        <v>Too early</v>
      </c>
      <c r="R69" s="227">
        <v>26522</v>
      </c>
      <c r="S69" s="231">
        <v>128900</v>
      </c>
      <c r="T69" s="238">
        <f t="shared" si="11"/>
        <v>0.20575640031031808</v>
      </c>
      <c r="U69" s="208" t="str">
        <f t="shared" si="15"/>
        <v>Too early</v>
      </c>
      <c r="V69" s="223"/>
      <c r="W69" s="227"/>
      <c r="X69" s="231"/>
      <c r="Y69" s="208" t="str">
        <f t="shared" si="12"/>
        <v/>
      </c>
      <c r="Z69" s="234">
        <v>1590</v>
      </c>
      <c r="AA69" s="208">
        <f t="shared" si="19"/>
        <v>0.18867924528301888</v>
      </c>
      <c r="AB69" s="209">
        <f t="shared" si="13"/>
        <v>88.406666666666666</v>
      </c>
      <c r="AC69" s="219"/>
      <c r="AD69" s="219"/>
      <c r="AE69" s="219"/>
      <c r="AF69" s="348">
        <v>25984</v>
      </c>
      <c r="AG69" s="352">
        <f t="shared" si="14"/>
        <v>538</v>
      </c>
    </row>
    <row r="70" spans="1:33" s="144" customFormat="1" x14ac:dyDescent="0.35">
      <c r="A70" s="144">
        <v>24</v>
      </c>
      <c r="B70" s="144">
        <f t="shared" si="4"/>
        <v>24</v>
      </c>
      <c r="C70" s="145">
        <v>46062</v>
      </c>
      <c r="D70" s="144" t="s">
        <v>83</v>
      </c>
      <c r="G70" s="145">
        <v>46066.833333333336</v>
      </c>
      <c r="H70" s="144" t="s">
        <v>50</v>
      </c>
      <c r="I70" s="38">
        <f t="shared" si="5"/>
        <v>769</v>
      </c>
      <c r="J70" s="39" t="str">
        <f t="shared" si="6"/>
        <v>Too early</v>
      </c>
      <c r="K70" s="32" t="str">
        <f t="shared" si="20"/>
        <v>Too early</v>
      </c>
      <c r="L70" s="40">
        <f t="shared" si="7"/>
        <v>54995.3</v>
      </c>
      <c r="M70" s="33">
        <f t="shared" si="8"/>
        <v>94666</v>
      </c>
      <c r="N70" s="196">
        <f t="shared" si="9"/>
        <v>0.58094035873492067</v>
      </c>
      <c r="O70" s="32" t="str">
        <f t="shared" si="10"/>
        <v>Too early</v>
      </c>
      <c r="P70" s="243">
        <v>54</v>
      </c>
      <c r="Q70" s="207" t="str">
        <f>IF(B70&lt;7,(P70/VLOOKUP(B70,'Sales Pacing'!$A$23:$E$36,2)),"Too early")</f>
        <v>Too early</v>
      </c>
      <c r="R70" s="227">
        <v>3320</v>
      </c>
      <c r="S70" s="231">
        <v>53333</v>
      </c>
      <c r="T70" s="238">
        <f t="shared" si="11"/>
        <v>6.2250389064931654E-2</v>
      </c>
      <c r="U70" s="208" t="str">
        <f t="shared" si="15"/>
        <v>Too early</v>
      </c>
      <c r="V70" s="223">
        <v>715</v>
      </c>
      <c r="W70" s="227">
        <v>51675.3</v>
      </c>
      <c r="X70" s="231">
        <v>41333</v>
      </c>
      <c r="Y70" s="208">
        <f t="shared" si="12"/>
        <v>1.2502189533786563</v>
      </c>
      <c r="Z70" s="234">
        <v>1590</v>
      </c>
      <c r="AA70" s="208">
        <f t="shared" si="19"/>
        <v>0.48364779874213837</v>
      </c>
      <c r="AB70" s="209">
        <f t="shared" si="13"/>
        <v>71.515344603381024</v>
      </c>
      <c r="AC70" s="219"/>
      <c r="AD70" s="219"/>
      <c r="AE70" s="219"/>
      <c r="AF70" s="348">
        <v>54898.1</v>
      </c>
      <c r="AG70" s="352">
        <f t="shared" si="14"/>
        <v>97.200000000004366</v>
      </c>
    </row>
    <row r="71" spans="1:33" s="144" customFormat="1" x14ac:dyDescent="0.35">
      <c r="A71" s="144">
        <v>24</v>
      </c>
      <c r="B71" s="144">
        <f t="shared" ref="B71:B117" si="21">A71-$G$4</f>
        <v>24</v>
      </c>
      <c r="C71" s="145">
        <v>46062</v>
      </c>
      <c r="D71" s="144" t="s">
        <v>83</v>
      </c>
      <c r="G71" s="145">
        <v>46067.833333333336</v>
      </c>
      <c r="H71" s="144" t="s">
        <v>50</v>
      </c>
      <c r="I71" s="38">
        <f t="shared" ref="I71:I117" si="22">P71+V71</f>
        <v>696</v>
      </c>
      <c r="J71" s="39" t="str">
        <f t="shared" ref="J71:J117" si="23">IF(Q71="Too early",Q71,Q71+V71)</f>
        <v>Too early</v>
      </c>
      <c r="K71" s="32" t="str">
        <f t="shared" si="20"/>
        <v>Too early</v>
      </c>
      <c r="L71" s="40">
        <f t="shared" ref="L71:L117" si="24">R71+W71</f>
        <v>49744.3</v>
      </c>
      <c r="M71" s="33">
        <f t="shared" ref="M71:M117" si="25">S71+X71</f>
        <v>94667</v>
      </c>
      <c r="N71" s="196">
        <f t="shared" ref="N71:N117" si="26">L71/M71</f>
        <v>0.52546610751370593</v>
      </c>
      <c r="O71" s="32" t="str">
        <f t="shared" ref="O71:O117" si="27">IF($J71="Too early",J71,J71*AB71/M71)</f>
        <v>Too early</v>
      </c>
      <c r="P71" s="243">
        <v>42</v>
      </c>
      <c r="Q71" s="207" t="str">
        <f>IF(B71&lt;7,(P71/VLOOKUP(B71,'Sales Pacing'!$A$23:$E$36,2)),"Too early")</f>
        <v>Too early</v>
      </c>
      <c r="R71" s="227">
        <v>1935</v>
      </c>
      <c r="S71" s="231">
        <v>53333</v>
      </c>
      <c r="T71" s="238">
        <f t="shared" ref="T71:T117" si="28">IF(R71&gt;0,R71/S71,"")</f>
        <v>3.6281476759229749E-2</v>
      </c>
      <c r="U71" s="208" t="str">
        <f t="shared" si="15"/>
        <v>Too early</v>
      </c>
      <c r="V71" s="223">
        <v>654</v>
      </c>
      <c r="W71" s="227">
        <v>47809.3</v>
      </c>
      <c r="X71" s="231">
        <v>41334</v>
      </c>
      <c r="Y71" s="208">
        <f t="shared" ref="Y71:Y117" si="29">IF(W71&gt;0,W71/X71,"")</f>
        <v>1.1566579571297237</v>
      </c>
      <c r="Z71" s="234">
        <v>1590</v>
      </c>
      <c r="AA71" s="208">
        <f t="shared" si="19"/>
        <v>0.43773584905660379</v>
      </c>
      <c r="AB71" s="209">
        <f t="shared" ref="AB71:AB117" si="30">L71/I71</f>
        <v>71.471695402298849</v>
      </c>
      <c r="AC71" s="219"/>
      <c r="AD71" s="219"/>
      <c r="AE71" s="219"/>
      <c r="AF71" s="348">
        <v>49803.5</v>
      </c>
      <c r="AG71" s="352">
        <f t="shared" ref="AG71:AG117" si="31">L71-AF71</f>
        <v>-59.19999999999709</v>
      </c>
    </row>
    <row r="72" spans="1:33" s="148" customFormat="1" x14ac:dyDescent="0.35">
      <c r="A72" s="148">
        <v>24</v>
      </c>
      <c r="B72" s="148">
        <f t="shared" si="21"/>
        <v>24</v>
      </c>
      <c r="C72" s="149">
        <v>46062</v>
      </c>
      <c r="D72" s="148" t="s">
        <v>83</v>
      </c>
      <c r="G72" s="149">
        <v>46068.583333333336</v>
      </c>
      <c r="H72" s="148" t="s">
        <v>50</v>
      </c>
      <c r="I72" s="150">
        <f t="shared" si="22"/>
        <v>432</v>
      </c>
      <c r="J72" s="34" t="str">
        <f t="shared" si="23"/>
        <v>Too early</v>
      </c>
      <c r="K72" s="35" t="str">
        <f t="shared" si="20"/>
        <v>Too early</v>
      </c>
      <c r="L72" s="36">
        <f t="shared" si="24"/>
        <v>29295.3</v>
      </c>
      <c r="M72" s="37">
        <f t="shared" si="25"/>
        <v>94666</v>
      </c>
      <c r="N72" s="197">
        <f t="shared" si="26"/>
        <v>0.30945957365896942</v>
      </c>
      <c r="O72" s="35" t="str">
        <f t="shared" si="27"/>
        <v>Too early</v>
      </c>
      <c r="P72" s="245">
        <v>51</v>
      </c>
      <c r="Q72" s="210" t="str">
        <f>IF(B72&lt;7,(P72/VLOOKUP(B72,'Sales Pacing'!$A$23:$E$36,2)),"Too early")</f>
        <v>Too early</v>
      </c>
      <c r="R72" s="228">
        <v>3277</v>
      </c>
      <c r="S72" s="232">
        <v>53333</v>
      </c>
      <c r="T72" s="239">
        <f t="shared" si="28"/>
        <v>6.1444134025837663E-2</v>
      </c>
      <c r="U72" s="211" t="str">
        <f t="shared" si="15"/>
        <v>Too early</v>
      </c>
      <c r="V72" s="224">
        <v>381</v>
      </c>
      <c r="W72" s="228">
        <v>26018.3</v>
      </c>
      <c r="X72" s="232">
        <v>41333</v>
      </c>
      <c r="Y72" s="211">
        <f t="shared" si="29"/>
        <v>0.62948007645222948</v>
      </c>
      <c r="Z72" s="235">
        <v>1590</v>
      </c>
      <c r="AA72" s="211">
        <f t="shared" si="19"/>
        <v>0.27169811320754716</v>
      </c>
      <c r="AB72" s="212">
        <f t="shared" si="30"/>
        <v>67.813194444444449</v>
      </c>
      <c r="AC72" s="220"/>
      <c r="AD72" s="220"/>
      <c r="AE72" s="220"/>
      <c r="AF72" s="350">
        <v>28718.3</v>
      </c>
      <c r="AG72" s="352">
        <f t="shared" si="31"/>
        <v>577</v>
      </c>
    </row>
    <row r="73" spans="1:33" s="144" customFormat="1" x14ac:dyDescent="0.35">
      <c r="A73" s="144">
        <v>25</v>
      </c>
      <c r="B73" s="144">
        <f t="shared" si="21"/>
        <v>25</v>
      </c>
      <c r="C73" s="145">
        <v>46069</v>
      </c>
      <c r="D73" s="144" t="s">
        <v>84</v>
      </c>
      <c r="G73" s="145">
        <v>46072.791666666664</v>
      </c>
      <c r="H73" s="144" t="s">
        <v>57</v>
      </c>
      <c r="I73" s="38">
        <f t="shared" si="22"/>
        <v>124</v>
      </c>
      <c r="J73" s="39" t="str">
        <f t="shared" si="23"/>
        <v>Too early</v>
      </c>
      <c r="K73" s="32" t="str">
        <f t="shared" si="20"/>
        <v>Too early</v>
      </c>
      <c r="L73" s="40">
        <f t="shared" si="24"/>
        <v>8681.5</v>
      </c>
      <c r="M73" s="33">
        <f t="shared" si="25"/>
        <v>111250</v>
      </c>
      <c r="N73" s="196">
        <f t="shared" si="26"/>
        <v>7.8035955056179773E-2</v>
      </c>
      <c r="O73" s="32" t="str">
        <f t="shared" si="27"/>
        <v>Too early</v>
      </c>
      <c r="P73" s="223">
        <v>124</v>
      </c>
      <c r="Q73" s="207" t="str">
        <f>IF(B73&lt;7,(P73/VLOOKUP(B73,'Sales Pacing'!$A$23:$E$36,2)),"Too early")</f>
        <v>Too early</v>
      </c>
      <c r="R73" s="227">
        <v>8681.5</v>
      </c>
      <c r="S73" s="231">
        <v>111250</v>
      </c>
      <c r="T73" s="238">
        <f t="shared" si="28"/>
        <v>7.8035955056179773E-2</v>
      </c>
      <c r="U73" s="208" t="str">
        <f t="shared" si="15"/>
        <v>Too early</v>
      </c>
      <c r="V73" s="223"/>
      <c r="W73" s="227"/>
      <c r="X73" s="231"/>
      <c r="Y73" s="208" t="str">
        <f t="shared" si="29"/>
        <v/>
      </c>
      <c r="Z73" s="234">
        <v>1302</v>
      </c>
      <c r="AA73" s="208">
        <f t="shared" si="19"/>
        <v>9.5238095238095233E-2</v>
      </c>
      <c r="AB73" s="209">
        <f t="shared" si="30"/>
        <v>70.012096774193552</v>
      </c>
      <c r="AC73" s="219"/>
      <c r="AD73" s="219"/>
      <c r="AE73" s="219"/>
      <c r="AF73" s="348">
        <v>7356</v>
      </c>
      <c r="AG73" s="352">
        <f t="shared" si="31"/>
        <v>1325.5</v>
      </c>
    </row>
    <row r="74" spans="1:33" s="144" customFormat="1" x14ac:dyDescent="0.35">
      <c r="A74" s="144">
        <v>25</v>
      </c>
      <c r="B74" s="144">
        <f t="shared" si="21"/>
        <v>25</v>
      </c>
      <c r="C74" s="145">
        <v>46069</v>
      </c>
      <c r="D74" s="144" t="s">
        <v>84</v>
      </c>
      <c r="G74" s="145">
        <v>46073.791666666664</v>
      </c>
      <c r="H74" s="144" t="s">
        <v>57</v>
      </c>
      <c r="I74" s="38">
        <f t="shared" si="22"/>
        <v>229</v>
      </c>
      <c r="J74" s="39" t="str">
        <f t="shared" si="23"/>
        <v>Too early</v>
      </c>
      <c r="K74" s="32" t="str">
        <f t="shared" si="20"/>
        <v>Too early</v>
      </c>
      <c r="L74" s="40">
        <f t="shared" si="24"/>
        <v>16868</v>
      </c>
      <c r="M74" s="33">
        <f t="shared" si="25"/>
        <v>111250</v>
      </c>
      <c r="N74" s="196">
        <f t="shared" si="26"/>
        <v>0.15162247191011236</v>
      </c>
      <c r="O74" s="32" t="str">
        <f t="shared" si="27"/>
        <v>Too early</v>
      </c>
      <c r="P74" s="223">
        <v>229</v>
      </c>
      <c r="Q74" s="207" t="str">
        <f>IF(B74&lt;7,(P74/VLOOKUP(B74,'Sales Pacing'!$A$23:$E$36,2)),"Too early")</f>
        <v>Too early</v>
      </c>
      <c r="R74" s="227">
        <v>16868</v>
      </c>
      <c r="S74" s="231">
        <v>111250</v>
      </c>
      <c r="T74" s="238">
        <f t="shared" si="28"/>
        <v>0.15162247191011236</v>
      </c>
      <c r="U74" s="208" t="str">
        <f t="shared" si="15"/>
        <v>Too early</v>
      </c>
      <c r="V74" s="223"/>
      <c r="W74" s="227"/>
      <c r="X74" s="231"/>
      <c r="Y74" s="208" t="str">
        <f t="shared" si="29"/>
        <v/>
      </c>
      <c r="Z74" s="234">
        <v>1302</v>
      </c>
      <c r="AA74" s="208">
        <f t="shared" si="19"/>
        <v>0.17588325652841783</v>
      </c>
      <c r="AB74" s="209">
        <f t="shared" si="30"/>
        <v>73.659388646288207</v>
      </c>
      <c r="AC74" s="219"/>
      <c r="AD74" s="219"/>
      <c r="AE74" s="219"/>
      <c r="AF74" s="348">
        <v>16088</v>
      </c>
      <c r="AG74" s="352">
        <f t="shared" si="31"/>
        <v>780</v>
      </c>
    </row>
    <row r="75" spans="1:33" s="144" customFormat="1" x14ac:dyDescent="0.35">
      <c r="A75" s="144">
        <v>25</v>
      </c>
      <c r="B75" s="144">
        <f t="shared" si="21"/>
        <v>25</v>
      </c>
      <c r="C75" s="145">
        <v>46069</v>
      </c>
      <c r="D75" s="144" t="s">
        <v>84</v>
      </c>
      <c r="G75" s="145">
        <v>46074.791666666664</v>
      </c>
      <c r="H75" s="144" t="s">
        <v>57</v>
      </c>
      <c r="I75" s="38">
        <f t="shared" si="22"/>
        <v>341</v>
      </c>
      <c r="J75" s="39" t="str">
        <f t="shared" si="23"/>
        <v>Too early</v>
      </c>
      <c r="K75" s="32" t="str">
        <f t="shared" si="20"/>
        <v>Too early</v>
      </c>
      <c r="L75" s="40">
        <f t="shared" si="24"/>
        <v>25816</v>
      </c>
      <c r="M75" s="33">
        <f t="shared" si="25"/>
        <v>111250</v>
      </c>
      <c r="N75" s="196">
        <f t="shared" si="26"/>
        <v>0.23205393258426965</v>
      </c>
      <c r="O75" s="32" t="str">
        <f t="shared" si="27"/>
        <v>Too early</v>
      </c>
      <c r="P75" s="223">
        <v>341</v>
      </c>
      <c r="Q75" s="207" t="str">
        <f>IF(B75&lt;7,(P75/VLOOKUP(B75,'Sales Pacing'!$A$23:$E$36,2)),"Too early")</f>
        <v>Too early</v>
      </c>
      <c r="R75" s="227">
        <v>25816</v>
      </c>
      <c r="S75" s="231">
        <v>111250</v>
      </c>
      <c r="T75" s="238">
        <f t="shared" si="28"/>
        <v>0.23205393258426965</v>
      </c>
      <c r="U75" s="208" t="str">
        <f t="shared" ref="U75:U117" si="32">IF($Q75="Too early",Q75,Q75*AB75/S75)</f>
        <v>Too early</v>
      </c>
      <c r="V75" s="223"/>
      <c r="W75" s="227"/>
      <c r="X75" s="231"/>
      <c r="Y75" s="208" t="str">
        <f t="shared" si="29"/>
        <v/>
      </c>
      <c r="Z75" s="234">
        <v>1302</v>
      </c>
      <c r="AA75" s="208">
        <f t="shared" si="19"/>
        <v>0.26190476190476192</v>
      </c>
      <c r="AB75" s="209">
        <f t="shared" si="30"/>
        <v>75.706744868035187</v>
      </c>
      <c r="AC75" s="219"/>
      <c r="AD75" s="219"/>
      <c r="AE75" s="219"/>
      <c r="AF75" s="348">
        <v>24079</v>
      </c>
      <c r="AG75" s="352">
        <f t="shared" si="31"/>
        <v>1737</v>
      </c>
    </row>
    <row r="76" spans="1:33" s="148" customFormat="1" x14ac:dyDescent="0.35">
      <c r="A76" s="148">
        <v>25</v>
      </c>
      <c r="B76" s="148">
        <f t="shared" si="21"/>
        <v>25</v>
      </c>
      <c r="C76" s="149">
        <v>46069</v>
      </c>
      <c r="D76" s="148" t="s">
        <v>84</v>
      </c>
      <c r="G76" s="149">
        <v>46075.583333333336</v>
      </c>
      <c r="H76" s="148" t="s">
        <v>57</v>
      </c>
      <c r="I76" s="150">
        <f t="shared" si="22"/>
        <v>397</v>
      </c>
      <c r="J76" s="34" t="str">
        <f t="shared" si="23"/>
        <v>Too early</v>
      </c>
      <c r="K76" s="35" t="str">
        <f t="shared" si="20"/>
        <v>Too early</v>
      </c>
      <c r="L76" s="36">
        <f t="shared" si="24"/>
        <v>28069</v>
      </c>
      <c r="M76" s="37">
        <f t="shared" si="25"/>
        <v>111250</v>
      </c>
      <c r="N76" s="197">
        <f t="shared" si="26"/>
        <v>0.2523056179775281</v>
      </c>
      <c r="O76" s="35" t="str">
        <f t="shared" si="27"/>
        <v>Too early</v>
      </c>
      <c r="P76" s="224">
        <v>397</v>
      </c>
      <c r="Q76" s="210" t="str">
        <f>IF(B76&lt;7,(P76/VLOOKUP(B76,'Sales Pacing'!$A$23:$E$36,2)),"Too early")</f>
        <v>Too early</v>
      </c>
      <c r="R76" s="228">
        <v>28069</v>
      </c>
      <c r="S76" s="231">
        <v>111250</v>
      </c>
      <c r="T76" s="238">
        <f t="shared" si="28"/>
        <v>0.2523056179775281</v>
      </c>
      <c r="U76" s="211" t="str">
        <f t="shared" si="32"/>
        <v>Too early</v>
      </c>
      <c r="V76" s="224"/>
      <c r="W76" s="228"/>
      <c r="X76" s="232"/>
      <c r="Y76" s="211" t="str">
        <f t="shared" si="29"/>
        <v/>
      </c>
      <c r="Z76" s="235">
        <v>1302</v>
      </c>
      <c r="AA76" s="211">
        <f t="shared" si="19"/>
        <v>0.30491551459293392</v>
      </c>
      <c r="AB76" s="212">
        <f t="shared" si="30"/>
        <v>70.702770780856426</v>
      </c>
      <c r="AC76" s="220"/>
      <c r="AD76" s="220"/>
      <c r="AE76" s="220"/>
      <c r="AF76" s="350">
        <v>26759</v>
      </c>
      <c r="AG76" s="352">
        <f t="shared" si="31"/>
        <v>1310</v>
      </c>
    </row>
    <row r="77" spans="1:33" s="148" customFormat="1" x14ac:dyDescent="0.35">
      <c r="A77" s="148">
        <v>26</v>
      </c>
      <c r="B77" s="148">
        <f t="shared" si="21"/>
        <v>26</v>
      </c>
      <c r="C77" s="149">
        <v>46076</v>
      </c>
      <c r="D77" s="148" t="s">
        <v>85</v>
      </c>
      <c r="G77" s="149">
        <v>46082.583333333336</v>
      </c>
      <c r="H77" s="148" t="s">
        <v>52</v>
      </c>
      <c r="I77" s="150">
        <f t="shared" si="22"/>
        <v>333</v>
      </c>
      <c r="J77" s="34" t="str">
        <f t="shared" si="23"/>
        <v>Too early</v>
      </c>
      <c r="K77" s="35" t="str">
        <f t="shared" si="20"/>
        <v>Too early</v>
      </c>
      <c r="L77" s="36">
        <f t="shared" si="24"/>
        <v>7842</v>
      </c>
      <c r="M77" s="37">
        <f t="shared" si="25"/>
        <v>19500</v>
      </c>
      <c r="N77" s="197">
        <f t="shared" si="26"/>
        <v>0.40215384615384614</v>
      </c>
      <c r="O77" s="35" t="str">
        <f t="shared" si="27"/>
        <v>Too early</v>
      </c>
      <c r="P77" s="224">
        <v>37</v>
      </c>
      <c r="Q77" s="210" t="str">
        <f>IF(B77&lt;7,(P77/VLOOKUP(B77,'Sales Pacing'!$A$23:$E$36,2)),"Too early")</f>
        <v>Too early</v>
      </c>
      <c r="R77" s="228">
        <v>1386</v>
      </c>
      <c r="S77" s="232">
        <v>10000</v>
      </c>
      <c r="T77" s="239">
        <f t="shared" si="28"/>
        <v>0.1386</v>
      </c>
      <c r="U77" s="211" t="str">
        <f t="shared" si="32"/>
        <v>Too early</v>
      </c>
      <c r="V77" s="224">
        <v>296</v>
      </c>
      <c r="W77" s="228">
        <v>6456</v>
      </c>
      <c r="X77" s="232">
        <v>9500</v>
      </c>
      <c r="Y77" s="211">
        <f t="shared" si="29"/>
        <v>0.67957894736842106</v>
      </c>
      <c r="Z77" s="235">
        <v>1302</v>
      </c>
      <c r="AA77" s="211">
        <f t="shared" si="19"/>
        <v>0.25576036866359447</v>
      </c>
      <c r="AB77" s="212">
        <f t="shared" si="30"/>
        <v>23.54954954954955</v>
      </c>
      <c r="AC77" s="220"/>
      <c r="AD77" s="220"/>
      <c r="AE77" s="220"/>
      <c r="AF77" s="350">
        <v>7902</v>
      </c>
      <c r="AG77" s="352">
        <f t="shared" si="31"/>
        <v>-60</v>
      </c>
    </row>
    <row r="78" spans="1:33" s="187" customFormat="1" x14ac:dyDescent="0.35">
      <c r="A78" s="187">
        <v>27</v>
      </c>
      <c r="B78" s="187">
        <f t="shared" si="21"/>
        <v>27</v>
      </c>
      <c r="C78" s="188">
        <v>46083</v>
      </c>
      <c r="D78" s="187" t="s">
        <v>64</v>
      </c>
      <c r="G78" s="199"/>
      <c r="H78" s="200"/>
      <c r="I78" s="201">
        <f t="shared" si="22"/>
        <v>0</v>
      </c>
      <c r="J78" s="202" t="str">
        <f t="shared" si="23"/>
        <v>Too early</v>
      </c>
      <c r="K78" s="203"/>
      <c r="L78" s="204">
        <f t="shared" si="24"/>
        <v>0</v>
      </c>
      <c r="M78" s="205">
        <f t="shared" si="25"/>
        <v>0</v>
      </c>
      <c r="N78" s="206" t="e">
        <f t="shared" si="26"/>
        <v>#DIV/0!</v>
      </c>
      <c r="O78" s="203"/>
      <c r="P78" s="225"/>
      <c r="Q78" s="213" t="str">
        <f>IF(B78&lt;7,(P78/VLOOKUP(B78,'Sales Pacing'!$A$23:$E$36,2)),"Too early")</f>
        <v>Too early</v>
      </c>
      <c r="R78" s="229"/>
      <c r="S78" s="229"/>
      <c r="T78" s="240" t="str">
        <f t="shared" si="28"/>
        <v/>
      </c>
      <c r="U78" s="214"/>
      <c r="V78" s="225"/>
      <c r="W78" s="229"/>
      <c r="X78" s="229"/>
      <c r="Y78" s="214" t="s">
        <v>48</v>
      </c>
      <c r="Z78" s="225"/>
      <c r="AA78" s="214" t="e">
        <f t="shared" si="19"/>
        <v>#DIV/0!</v>
      </c>
      <c r="AB78" s="215" t="e">
        <f t="shared" si="30"/>
        <v>#DIV/0!</v>
      </c>
      <c r="AC78" s="221"/>
      <c r="AD78" s="221"/>
      <c r="AE78" s="221"/>
      <c r="AF78" s="349">
        <v>0</v>
      </c>
    </row>
    <row r="79" spans="1:33" s="144" customFormat="1" x14ac:dyDescent="0.35">
      <c r="A79" s="144">
        <v>28</v>
      </c>
      <c r="B79" s="144">
        <f t="shared" si="21"/>
        <v>28</v>
      </c>
      <c r="C79" s="145">
        <v>46090</v>
      </c>
      <c r="D79" s="144" t="s">
        <v>86</v>
      </c>
      <c r="G79" s="145">
        <v>46094.833333333336</v>
      </c>
      <c r="H79" s="144" t="s">
        <v>55</v>
      </c>
      <c r="I79" s="38">
        <f t="shared" si="22"/>
        <v>609</v>
      </c>
      <c r="J79" s="39" t="str">
        <f t="shared" si="23"/>
        <v>Too early</v>
      </c>
      <c r="K79" s="32" t="str">
        <f>IF(J79="Too early",J79,J79/Z79)</f>
        <v>Too early</v>
      </c>
      <c r="L79" s="40">
        <f t="shared" si="24"/>
        <v>40282.300000000003</v>
      </c>
      <c r="M79" s="33">
        <f t="shared" si="25"/>
        <v>54999</v>
      </c>
      <c r="N79" s="196">
        <f t="shared" si="26"/>
        <v>0.73241877125038646</v>
      </c>
      <c r="O79" s="32" t="str">
        <f t="shared" si="27"/>
        <v>Too early</v>
      </c>
      <c r="P79" s="223">
        <v>40</v>
      </c>
      <c r="Q79" s="207" t="str">
        <f>IF(B79&lt;7,(P79/VLOOKUP(B79,'Sales Pacing'!$A$23:$E$36,2)),"Too early")</f>
        <v>Too early</v>
      </c>
      <c r="R79" s="227">
        <v>1914</v>
      </c>
      <c r="S79" s="231">
        <v>18333</v>
      </c>
      <c r="T79" s="238">
        <f t="shared" si="28"/>
        <v>0.10440189821633121</v>
      </c>
      <c r="U79" s="208" t="str">
        <f t="shared" si="32"/>
        <v>Too early</v>
      </c>
      <c r="V79" s="223">
        <v>569</v>
      </c>
      <c r="W79" s="227">
        <v>38368.300000000003</v>
      </c>
      <c r="X79" s="231">
        <v>36666</v>
      </c>
      <c r="Y79" s="208">
        <f t="shared" si="29"/>
        <v>1.0464272077674139</v>
      </c>
      <c r="Z79" s="234">
        <v>1590</v>
      </c>
      <c r="AA79" s="208">
        <f t="shared" si="19"/>
        <v>0.38301886792452833</v>
      </c>
      <c r="AB79" s="209">
        <f t="shared" si="30"/>
        <v>66.144991789819386</v>
      </c>
      <c r="AC79" s="219"/>
      <c r="AD79" s="219"/>
      <c r="AE79" s="219"/>
      <c r="AF79" s="348">
        <v>40253.300000000003</v>
      </c>
      <c r="AG79" s="352">
        <f t="shared" si="31"/>
        <v>29</v>
      </c>
    </row>
    <row r="80" spans="1:33" s="144" customFormat="1" x14ac:dyDescent="0.35">
      <c r="A80" s="144">
        <v>28</v>
      </c>
      <c r="B80" s="144">
        <f t="shared" si="21"/>
        <v>28</v>
      </c>
      <c r="C80" s="145">
        <v>46090</v>
      </c>
      <c r="D80" s="144" t="s">
        <v>86</v>
      </c>
      <c r="G80" s="145">
        <v>46095.833333333336</v>
      </c>
      <c r="H80" s="144" t="s">
        <v>55</v>
      </c>
      <c r="I80" s="38">
        <f t="shared" si="22"/>
        <v>610</v>
      </c>
      <c r="J80" s="39" t="str">
        <f t="shared" si="23"/>
        <v>Too early</v>
      </c>
      <c r="K80" s="32" t="str">
        <f>IF(J80="Too early",J80,J80/Z80)</f>
        <v>Too early</v>
      </c>
      <c r="L80" s="40">
        <f t="shared" si="24"/>
        <v>39045.199999999997</v>
      </c>
      <c r="M80" s="33">
        <f t="shared" si="25"/>
        <v>55000</v>
      </c>
      <c r="N80" s="196">
        <f t="shared" si="26"/>
        <v>0.70991272727272725</v>
      </c>
      <c r="O80" s="32" t="str">
        <f t="shared" si="27"/>
        <v>Too early</v>
      </c>
      <c r="P80" s="223">
        <v>47</v>
      </c>
      <c r="Q80" s="207" t="str">
        <f>IF(B80&lt;7,(P80/VLOOKUP(B80,'Sales Pacing'!$A$23:$E$36,2)),"Too early")</f>
        <v>Too early</v>
      </c>
      <c r="R80" s="227">
        <v>2397</v>
      </c>
      <c r="S80" s="231">
        <v>18333</v>
      </c>
      <c r="T80" s="238">
        <f t="shared" si="28"/>
        <v>0.13074783177875962</v>
      </c>
      <c r="U80" s="208" t="str">
        <f t="shared" si="32"/>
        <v>Too early</v>
      </c>
      <c r="V80" s="223">
        <v>563</v>
      </c>
      <c r="W80" s="227">
        <v>36648.199999999997</v>
      </c>
      <c r="X80" s="231">
        <v>36667</v>
      </c>
      <c r="Y80" s="208">
        <f t="shared" si="29"/>
        <v>0.99948727738838727</v>
      </c>
      <c r="Z80" s="234">
        <v>1590</v>
      </c>
      <c r="AA80" s="208">
        <f t="shared" si="19"/>
        <v>0.38364779874213839</v>
      </c>
      <c r="AB80" s="209">
        <f t="shared" si="30"/>
        <v>64.00852459016393</v>
      </c>
      <c r="AC80" s="219"/>
      <c r="AD80" s="219"/>
      <c r="AE80" s="219"/>
      <c r="AF80" s="348">
        <v>39104</v>
      </c>
      <c r="AG80" s="352">
        <f t="shared" si="31"/>
        <v>-58.80000000000291</v>
      </c>
    </row>
    <row r="81" spans="1:33" s="148" customFormat="1" x14ac:dyDescent="0.35">
      <c r="A81" s="148">
        <v>28</v>
      </c>
      <c r="B81" s="148">
        <f t="shared" si="21"/>
        <v>28</v>
      </c>
      <c r="C81" s="149">
        <v>46090</v>
      </c>
      <c r="D81" s="148" t="s">
        <v>86</v>
      </c>
      <c r="G81" s="149">
        <v>46096.583333333336</v>
      </c>
      <c r="H81" s="148" t="s">
        <v>55</v>
      </c>
      <c r="I81" s="150">
        <f t="shared" si="22"/>
        <v>618</v>
      </c>
      <c r="J81" s="34" t="str">
        <f t="shared" si="23"/>
        <v>Too early</v>
      </c>
      <c r="K81" s="35" t="str">
        <f>IF(J81="Too early",J81,J81/Z81)</f>
        <v>Too early</v>
      </c>
      <c r="L81" s="36">
        <f t="shared" si="24"/>
        <v>39633.1</v>
      </c>
      <c r="M81" s="37">
        <f t="shared" si="25"/>
        <v>55000</v>
      </c>
      <c r="N81" s="197">
        <f t="shared" si="26"/>
        <v>0.72060181818181812</v>
      </c>
      <c r="O81" s="35" t="str">
        <f t="shared" si="27"/>
        <v>Too early</v>
      </c>
      <c r="P81" s="224">
        <v>61</v>
      </c>
      <c r="Q81" s="210" t="str">
        <f>IF(B81&lt;7,(P81/VLOOKUP(B81,'Sales Pacing'!$A$23:$E$36,2)),"Too early")</f>
        <v>Too early</v>
      </c>
      <c r="R81" s="228">
        <v>3601</v>
      </c>
      <c r="S81" s="232">
        <v>18333</v>
      </c>
      <c r="T81" s="239">
        <f t="shared" si="28"/>
        <v>0.19642175312278404</v>
      </c>
      <c r="U81" s="211" t="str">
        <f t="shared" si="32"/>
        <v>Too early</v>
      </c>
      <c r="V81" s="224">
        <v>557</v>
      </c>
      <c r="W81" s="228">
        <v>36032.1</v>
      </c>
      <c r="X81" s="232">
        <v>36667</v>
      </c>
      <c r="Y81" s="211">
        <f t="shared" si="29"/>
        <v>0.98268470286633758</v>
      </c>
      <c r="Z81" s="235">
        <v>1590</v>
      </c>
      <c r="AA81" s="211">
        <f t="shared" si="19"/>
        <v>0.38867924528301889</v>
      </c>
      <c r="AB81" s="212">
        <f t="shared" si="30"/>
        <v>64.131229773462778</v>
      </c>
      <c r="AC81" s="220"/>
      <c r="AD81" s="220"/>
      <c r="AE81" s="220"/>
      <c r="AF81" s="350">
        <v>38389.699999999997</v>
      </c>
      <c r="AG81" s="352">
        <f t="shared" si="31"/>
        <v>1243.4000000000015</v>
      </c>
    </row>
    <row r="82" spans="1:33" s="187" customFormat="1" x14ac:dyDescent="0.35">
      <c r="A82" s="187">
        <v>29</v>
      </c>
      <c r="B82" s="187">
        <f t="shared" si="21"/>
        <v>29</v>
      </c>
      <c r="C82" s="188">
        <v>46097</v>
      </c>
      <c r="D82" s="187" t="s">
        <v>64</v>
      </c>
      <c r="G82" s="199"/>
      <c r="H82" s="200"/>
      <c r="I82" s="359">
        <f t="shared" si="22"/>
        <v>0</v>
      </c>
      <c r="J82" s="360" t="str">
        <f t="shared" si="23"/>
        <v>Too early</v>
      </c>
      <c r="K82" s="361"/>
      <c r="L82" s="362">
        <f t="shared" si="24"/>
        <v>0</v>
      </c>
      <c r="M82" s="363">
        <f t="shared" si="25"/>
        <v>0</v>
      </c>
      <c r="N82" s="364" t="e">
        <f t="shared" si="26"/>
        <v>#DIV/0!</v>
      </c>
      <c r="O82" s="361"/>
      <c r="P82" s="365"/>
      <c r="Q82" s="366" t="str">
        <f>IF(B82&lt;7,(P82/VLOOKUP(B82,'Sales Pacing'!$A$23:$E$36,2)),"Too early")</f>
        <v>Too early</v>
      </c>
      <c r="R82" s="367"/>
      <c r="S82" s="367"/>
      <c r="T82" s="368" t="str">
        <f t="shared" si="28"/>
        <v/>
      </c>
      <c r="U82" s="369"/>
      <c r="V82" s="365"/>
      <c r="W82" s="367"/>
      <c r="X82" s="367"/>
      <c r="Y82" s="369" t="s">
        <v>48</v>
      </c>
      <c r="Z82" s="365"/>
      <c r="AA82" s="369" t="e">
        <f t="shared" si="19"/>
        <v>#DIV/0!</v>
      </c>
      <c r="AB82" s="370" t="e">
        <f t="shared" si="30"/>
        <v>#DIV/0!</v>
      </c>
      <c r="AC82" s="221"/>
      <c r="AD82" s="221"/>
      <c r="AE82" s="221"/>
      <c r="AF82" s="349">
        <v>0</v>
      </c>
    </row>
    <row r="83" spans="1:33" s="144" customFormat="1" x14ac:dyDescent="0.35">
      <c r="A83" s="144">
        <v>30</v>
      </c>
      <c r="B83" s="144">
        <f t="shared" ref="B83" si="33">A83-$G$4</f>
        <v>30</v>
      </c>
      <c r="C83" s="145">
        <v>46104</v>
      </c>
      <c r="D83" s="144" t="s">
        <v>87</v>
      </c>
      <c r="G83" s="145">
        <v>46106</v>
      </c>
      <c r="H83" s="144" t="s">
        <v>45</v>
      </c>
      <c r="I83" s="308">
        <f>P83+V83</f>
        <v>75</v>
      </c>
      <c r="J83" s="308" t="str">
        <f>IF(Q83="Too early",Q83,Q83+V83)</f>
        <v>Too early</v>
      </c>
      <c r="K83" s="32" t="str">
        <f>IF(J83="Too early",J83,J83/Z83)</f>
        <v>Too early</v>
      </c>
      <c r="L83" s="309">
        <f>R83+W83</f>
        <v>4422</v>
      </c>
      <c r="M83" s="310">
        <f>S83+X83</f>
        <v>84109</v>
      </c>
      <c r="N83" s="311">
        <f>L83/M83</f>
        <v>5.2574635294677145E-2</v>
      </c>
      <c r="O83" s="32" t="str">
        <f t="shared" si="27"/>
        <v>Too early</v>
      </c>
      <c r="P83" s="243">
        <v>75</v>
      </c>
      <c r="Q83" s="207" t="str">
        <f>IF(B83&lt;7,(P83/VLOOKUP(B83,'Sales Pacing'!$A$23:$E$36,2)),"Too early")</f>
        <v>Too early</v>
      </c>
      <c r="R83" s="227">
        <v>4422</v>
      </c>
      <c r="S83" s="231">
        <v>84109</v>
      </c>
      <c r="T83" s="238">
        <f>IF(R83&gt;0,R83/S83,"")</f>
        <v>5.2574635294677145E-2</v>
      </c>
      <c r="U83" s="208" t="str">
        <f t="shared" si="32"/>
        <v>Too early</v>
      </c>
      <c r="V83" s="223"/>
      <c r="W83" s="227"/>
      <c r="X83" s="231"/>
      <c r="Y83" s="208"/>
      <c r="Z83" s="234">
        <v>1590</v>
      </c>
      <c r="AA83" s="358">
        <f>I83/Z83</f>
        <v>4.716981132075472E-2</v>
      </c>
      <c r="AB83" s="310">
        <f>L83/I83</f>
        <v>58.96</v>
      </c>
      <c r="AC83" s="219"/>
      <c r="AD83" s="219"/>
      <c r="AE83" s="219"/>
      <c r="AF83" s="348">
        <v>4187</v>
      </c>
      <c r="AG83" s="352">
        <f t="shared" si="31"/>
        <v>235</v>
      </c>
    </row>
    <row r="84" spans="1:33" s="148" customFormat="1" x14ac:dyDescent="0.35">
      <c r="A84" s="148">
        <v>30</v>
      </c>
      <c r="B84" s="148">
        <f t="shared" ref="B84" si="34">A84-$G$4</f>
        <v>30</v>
      </c>
      <c r="C84" s="149">
        <v>46104</v>
      </c>
      <c r="D84" s="148" t="s">
        <v>87</v>
      </c>
      <c r="G84" s="149">
        <v>46107</v>
      </c>
      <c r="H84" s="148" t="s">
        <v>45</v>
      </c>
      <c r="I84" s="295">
        <f>P84+V84</f>
        <v>81</v>
      </c>
      <c r="J84" s="295" t="str">
        <f>IF(Q84="Too early",Q84,Q84+V84)</f>
        <v>Too early</v>
      </c>
      <c r="K84" s="35" t="str">
        <f>IF(J84="Too early",J84,J84/Z84)</f>
        <v>Too early</v>
      </c>
      <c r="L84" s="296">
        <f>R84+W84</f>
        <v>4417.5</v>
      </c>
      <c r="M84" s="302">
        <f>S84+X84</f>
        <v>84109</v>
      </c>
      <c r="N84" s="297">
        <f>L84/M84</f>
        <v>5.2521133291324351E-2</v>
      </c>
      <c r="O84" s="35" t="str">
        <f t="shared" si="27"/>
        <v>Too early</v>
      </c>
      <c r="P84" s="245">
        <v>81</v>
      </c>
      <c r="Q84" s="210" t="str">
        <f>IF(B84&lt;7,(P84/VLOOKUP(B84,'Sales Pacing'!$A$23:$E$36,2)),"Too early")</f>
        <v>Too early</v>
      </c>
      <c r="R84" s="228">
        <v>4417.5</v>
      </c>
      <c r="S84" s="232">
        <v>84109</v>
      </c>
      <c r="T84" s="239">
        <f>IF(R84&gt;0,R84/S84,"")</f>
        <v>5.2521133291324351E-2</v>
      </c>
      <c r="U84" s="211" t="str">
        <f t="shared" si="32"/>
        <v>Too early</v>
      </c>
      <c r="V84" s="224"/>
      <c r="W84" s="228"/>
      <c r="X84" s="232"/>
      <c r="Y84" s="211"/>
      <c r="Z84" s="235">
        <v>1590</v>
      </c>
      <c r="AA84" s="301">
        <f>I84/Z84</f>
        <v>5.0943396226415097E-2</v>
      </c>
      <c r="AB84" s="302">
        <f>L84/I84</f>
        <v>54.537037037037038</v>
      </c>
      <c r="AC84" s="220"/>
      <c r="AD84" s="220"/>
      <c r="AE84" s="220"/>
      <c r="AF84" s="350">
        <v>4287</v>
      </c>
      <c r="AG84" s="354">
        <f t="shared" si="31"/>
        <v>130.5</v>
      </c>
    </row>
    <row r="85" spans="1:33" s="144" customFormat="1" x14ac:dyDescent="0.35">
      <c r="A85" s="144">
        <v>30</v>
      </c>
      <c r="B85" s="144">
        <f t="shared" si="21"/>
        <v>30</v>
      </c>
      <c r="C85" s="145">
        <v>46104</v>
      </c>
      <c r="D85" s="144" t="s">
        <v>88</v>
      </c>
      <c r="G85" s="145">
        <v>46108.833333333336</v>
      </c>
      <c r="H85" s="144" t="s">
        <v>50</v>
      </c>
      <c r="I85" s="38">
        <f t="shared" si="22"/>
        <v>872</v>
      </c>
      <c r="J85" s="39" t="str">
        <f t="shared" si="23"/>
        <v>Too early</v>
      </c>
      <c r="K85" s="32" t="str">
        <f>IF(J85="Too early",J85,J85/Z85)</f>
        <v>Too early</v>
      </c>
      <c r="L85" s="40">
        <f t="shared" si="24"/>
        <v>62459.3</v>
      </c>
      <c r="M85" s="33">
        <f t="shared" si="25"/>
        <v>94666</v>
      </c>
      <c r="N85" s="196">
        <f t="shared" si="26"/>
        <v>0.65978598440834091</v>
      </c>
      <c r="O85" s="32" t="str">
        <f t="shared" si="27"/>
        <v>Too early</v>
      </c>
      <c r="P85" s="223">
        <v>141</v>
      </c>
      <c r="Q85" s="207" t="str">
        <f>IF(B85&lt;7,(P85/VLOOKUP(B85,'Sales Pacing'!$A$23:$E$36,2)),"Too early")</f>
        <v>Too early</v>
      </c>
      <c r="R85" s="227">
        <v>9504</v>
      </c>
      <c r="S85" s="231">
        <v>53333</v>
      </c>
      <c r="T85" s="238">
        <f t="shared" si="28"/>
        <v>0.17820111375696099</v>
      </c>
      <c r="U85" s="208" t="str">
        <f t="shared" si="32"/>
        <v>Too early</v>
      </c>
      <c r="V85" s="223">
        <v>731</v>
      </c>
      <c r="W85" s="227">
        <v>52955.3</v>
      </c>
      <c r="X85" s="231">
        <v>41333</v>
      </c>
      <c r="Y85" s="208">
        <f t="shared" si="29"/>
        <v>1.2811869450560085</v>
      </c>
      <c r="Z85" s="234">
        <v>1590</v>
      </c>
      <c r="AA85" s="208">
        <f t="shared" ref="AA85:AA117" si="35">I85/Z85</f>
        <v>0.54842767295597483</v>
      </c>
      <c r="AB85" s="209">
        <f t="shared" si="30"/>
        <v>71.627637614678903</v>
      </c>
      <c r="AC85" s="219"/>
      <c r="AD85" s="219"/>
      <c r="AE85" s="219"/>
      <c r="AF85" s="348">
        <v>62169.1</v>
      </c>
      <c r="AG85" s="352">
        <f t="shared" si="31"/>
        <v>290.20000000000437</v>
      </c>
    </row>
    <row r="86" spans="1:33" s="144" customFormat="1" x14ac:dyDescent="0.35">
      <c r="A86" s="144">
        <v>30</v>
      </c>
      <c r="B86" s="144">
        <f t="shared" si="21"/>
        <v>30</v>
      </c>
      <c r="C86" s="145">
        <v>46104</v>
      </c>
      <c r="D86" s="144" t="s">
        <v>88</v>
      </c>
      <c r="G86" s="145">
        <v>46109.833333333336</v>
      </c>
      <c r="H86" s="144" t="s">
        <v>50</v>
      </c>
      <c r="I86" s="38">
        <f t="shared" si="22"/>
        <v>805</v>
      </c>
      <c r="J86" s="39" t="str">
        <f t="shared" si="23"/>
        <v>Too early</v>
      </c>
      <c r="K86" s="32" t="str">
        <f>IF(J86="Too early",J86,J86/Z86)</f>
        <v>Too early</v>
      </c>
      <c r="L86" s="40">
        <f t="shared" si="24"/>
        <v>58280.3</v>
      </c>
      <c r="M86" s="33">
        <f t="shared" si="25"/>
        <v>94667</v>
      </c>
      <c r="N86" s="196">
        <f t="shared" si="26"/>
        <v>0.61563480410280247</v>
      </c>
      <c r="O86" s="32" t="str">
        <f t="shared" si="27"/>
        <v>Too early</v>
      </c>
      <c r="P86" s="223">
        <v>148</v>
      </c>
      <c r="Q86" s="207" t="str">
        <f>IF(B86&lt;7,(P86/VLOOKUP(B86,'Sales Pacing'!$A$23:$E$36,2)),"Too early")</f>
        <v>Too early</v>
      </c>
      <c r="R86" s="227">
        <v>10309</v>
      </c>
      <c r="S86" s="231">
        <v>53333</v>
      </c>
      <c r="T86" s="238">
        <f t="shared" si="28"/>
        <v>0.1932949580934881</v>
      </c>
      <c r="U86" s="208" t="str">
        <f t="shared" si="32"/>
        <v>Too early</v>
      </c>
      <c r="V86" s="223">
        <v>657</v>
      </c>
      <c r="W86" s="227">
        <v>47971.3</v>
      </c>
      <c r="X86" s="231">
        <v>41334</v>
      </c>
      <c r="Y86" s="208">
        <f t="shared" si="29"/>
        <v>1.1605772487540524</v>
      </c>
      <c r="Z86" s="234">
        <v>1590</v>
      </c>
      <c r="AA86" s="208">
        <f t="shared" si="35"/>
        <v>0.50628930817610063</v>
      </c>
      <c r="AB86" s="209">
        <f t="shared" si="30"/>
        <v>72.397888198757769</v>
      </c>
      <c r="AC86" s="219"/>
      <c r="AD86" s="219"/>
      <c r="AE86" s="219"/>
      <c r="AF86" s="348">
        <v>58377.5</v>
      </c>
      <c r="AG86" s="352">
        <f t="shared" si="31"/>
        <v>-97.19999999999709</v>
      </c>
    </row>
    <row r="87" spans="1:33" s="144" customFormat="1" x14ac:dyDescent="0.35">
      <c r="A87" s="144">
        <v>30</v>
      </c>
      <c r="B87" s="144">
        <f t="shared" si="21"/>
        <v>30</v>
      </c>
      <c r="C87" s="145">
        <v>46104</v>
      </c>
      <c r="D87" s="144" t="s">
        <v>88</v>
      </c>
      <c r="G87" s="145">
        <v>46110.583333333336</v>
      </c>
      <c r="H87" s="144" t="s">
        <v>50</v>
      </c>
      <c r="I87" s="39">
        <f t="shared" si="22"/>
        <v>568</v>
      </c>
      <c r="J87" s="39" t="str">
        <f t="shared" si="23"/>
        <v>Too early</v>
      </c>
      <c r="K87" s="32" t="str">
        <f>IF(J87="Too early",J87,J87/Z87)</f>
        <v>Too early</v>
      </c>
      <c r="L87" s="40">
        <f t="shared" si="24"/>
        <v>39383.599999999999</v>
      </c>
      <c r="M87" s="33">
        <f t="shared" si="25"/>
        <v>94666</v>
      </c>
      <c r="N87" s="196">
        <f t="shared" si="26"/>
        <v>0.41602687342868611</v>
      </c>
      <c r="O87" s="32" t="str">
        <f t="shared" si="27"/>
        <v>Too early</v>
      </c>
      <c r="P87" s="223">
        <v>183</v>
      </c>
      <c r="Q87" s="207" t="str">
        <f>IF(B87&lt;7,(P87/VLOOKUP(B87,'Sales Pacing'!$A$23:$E$36,2)),"Too early")</f>
        <v>Too early</v>
      </c>
      <c r="R87" s="227">
        <v>13173</v>
      </c>
      <c r="S87" s="231">
        <v>53333</v>
      </c>
      <c r="T87" s="238">
        <f t="shared" si="28"/>
        <v>0.24699529372058576</v>
      </c>
      <c r="U87" s="208" t="str">
        <f t="shared" si="32"/>
        <v>Too early</v>
      </c>
      <c r="V87" s="223">
        <v>385</v>
      </c>
      <c r="W87" s="227">
        <v>26210.6</v>
      </c>
      <c r="X87" s="231">
        <v>41333</v>
      </c>
      <c r="Y87" s="208">
        <f t="shared" si="29"/>
        <v>0.63413253332688169</v>
      </c>
      <c r="Z87" s="234">
        <v>1590</v>
      </c>
      <c r="AA87" s="208">
        <f t="shared" si="35"/>
        <v>0.3572327044025157</v>
      </c>
      <c r="AB87" s="209">
        <f t="shared" si="30"/>
        <v>69.337323943661971</v>
      </c>
      <c r="AC87" s="219"/>
      <c r="AD87" s="219"/>
      <c r="AE87" s="219"/>
      <c r="AF87" s="348">
        <v>38146.6</v>
      </c>
      <c r="AG87" s="352">
        <f t="shared" si="31"/>
        <v>1237</v>
      </c>
    </row>
    <row r="88" spans="1:33" s="187" customFormat="1" x14ac:dyDescent="0.35">
      <c r="A88" s="187">
        <v>31</v>
      </c>
      <c r="B88" s="187">
        <f t="shared" si="21"/>
        <v>31</v>
      </c>
      <c r="C88" s="188">
        <v>46111</v>
      </c>
      <c r="D88" s="187" t="s">
        <v>64</v>
      </c>
      <c r="G88" s="199"/>
      <c r="H88" s="200"/>
      <c r="I88" s="201">
        <f t="shared" si="22"/>
        <v>0</v>
      </c>
      <c r="J88" s="202" t="str">
        <f t="shared" si="23"/>
        <v>Too early</v>
      </c>
      <c r="K88" s="203"/>
      <c r="L88" s="204">
        <f t="shared" si="24"/>
        <v>0</v>
      </c>
      <c r="M88" s="205">
        <f t="shared" si="25"/>
        <v>0</v>
      </c>
      <c r="N88" s="206" t="e">
        <f t="shared" si="26"/>
        <v>#DIV/0!</v>
      </c>
      <c r="O88" s="203"/>
      <c r="P88" s="225"/>
      <c r="Q88" s="213" t="str">
        <f>IF(B88&lt;7,(P88/VLOOKUP(B88,'Sales Pacing'!$A$23:$E$36,2)),"Too early")</f>
        <v>Too early</v>
      </c>
      <c r="R88" s="229"/>
      <c r="S88" s="229"/>
      <c r="T88" s="240" t="str">
        <f t="shared" si="28"/>
        <v/>
      </c>
      <c r="U88" s="214"/>
      <c r="V88" s="225"/>
      <c r="W88" s="229"/>
      <c r="X88" s="229"/>
      <c r="Y88" s="214" t="s">
        <v>48</v>
      </c>
      <c r="Z88" s="225"/>
      <c r="AA88" s="214" t="e">
        <f t="shared" si="35"/>
        <v>#DIV/0!</v>
      </c>
      <c r="AB88" s="215" t="e">
        <f t="shared" si="30"/>
        <v>#DIV/0!</v>
      </c>
      <c r="AC88" s="221"/>
      <c r="AD88" s="221"/>
      <c r="AE88" s="221"/>
      <c r="AF88" s="349">
        <v>0</v>
      </c>
    </row>
    <row r="89" spans="1:33" s="144" customFormat="1" x14ac:dyDescent="0.35">
      <c r="A89" s="144">
        <v>32</v>
      </c>
      <c r="B89" s="144">
        <f t="shared" si="21"/>
        <v>32</v>
      </c>
      <c r="C89" s="178">
        <v>46118</v>
      </c>
      <c r="D89" s="179" t="s">
        <v>89</v>
      </c>
      <c r="E89" s="179"/>
      <c r="F89" s="179"/>
      <c r="G89" s="178">
        <v>46122.833333333336</v>
      </c>
      <c r="H89" s="179" t="s">
        <v>55</v>
      </c>
      <c r="I89" s="38">
        <f t="shared" si="22"/>
        <v>410</v>
      </c>
      <c r="J89" s="39" t="str">
        <f t="shared" si="23"/>
        <v>Too early</v>
      </c>
      <c r="K89" s="32" t="str">
        <f t="shared" ref="K89:K94" si="36">IF(J89="Too early",J89,J89/Z89)</f>
        <v>Too early</v>
      </c>
      <c r="L89" s="40">
        <f t="shared" si="24"/>
        <v>27555</v>
      </c>
      <c r="M89" s="33">
        <f t="shared" si="25"/>
        <v>52000</v>
      </c>
      <c r="N89" s="196">
        <f t="shared" si="26"/>
        <v>0.52990384615384611</v>
      </c>
      <c r="O89" s="32" t="str">
        <f t="shared" si="27"/>
        <v>Too early</v>
      </c>
      <c r="P89" s="223">
        <v>43</v>
      </c>
      <c r="Q89" s="207" t="str">
        <f>IF(B89&lt;7,(P89/VLOOKUP(B89,'Sales Pacing'!$A$23:$E$36,2)),"Too early")</f>
        <v>Too early</v>
      </c>
      <c r="R89" s="227">
        <v>1736</v>
      </c>
      <c r="S89" s="231">
        <v>22000</v>
      </c>
      <c r="T89" s="238">
        <f t="shared" si="28"/>
        <v>7.8909090909090915E-2</v>
      </c>
      <c r="U89" s="208" t="str">
        <f t="shared" si="32"/>
        <v>Too early</v>
      </c>
      <c r="V89" s="223">
        <v>367</v>
      </c>
      <c r="W89" s="227">
        <v>25819</v>
      </c>
      <c r="X89" s="231">
        <v>30000</v>
      </c>
      <c r="Y89" s="208">
        <f t="shared" si="29"/>
        <v>0.86063333333333336</v>
      </c>
      <c r="Z89" s="234">
        <v>1433</v>
      </c>
      <c r="AA89" s="208">
        <f t="shared" si="35"/>
        <v>0.28611304954640615</v>
      </c>
      <c r="AB89" s="209">
        <f t="shared" si="30"/>
        <v>67.207317073170728</v>
      </c>
      <c r="AC89" s="219"/>
      <c r="AD89" s="219"/>
      <c r="AE89" s="219"/>
      <c r="AF89" s="348">
        <v>27453</v>
      </c>
      <c r="AG89" s="352">
        <f t="shared" si="31"/>
        <v>102</v>
      </c>
    </row>
    <row r="90" spans="1:33" s="144" customFormat="1" x14ac:dyDescent="0.35">
      <c r="A90" s="144">
        <v>32</v>
      </c>
      <c r="B90" s="144">
        <f t="shared" si="21"/>
        <v>32</v>
      </c>
      <c r="C90" s="145">
        <v>46118</v>
      </c>
      <c r="D90" s="144" t="s">
        <v>89</v>
      </c>
      <c r="G90" s="145">
        <v>46123.833333333336</v>
      </c>
      <c r="H90" s="144" t="s">
        <v>55</v>
      </c>
      <c r="I90" s="38">
        <f t="shared" si="22"/>
        <v>643</v>
      </c>
      <c r="J90" s="39" t="str">
        <f t="shared" si="23"/>
        <v>Too early</v>
      </c>
      <c r="K90" s="32" t="str">
        <f t="shared" si="36"/>
        <v>Too early</v>
      </c>
      <c r="L90" s="40">
        <f t="shared" si="24"/>
        <v>40572</v>
      </c>
      <c r="M90" s="33">
        <f t="shared" si="25"/>
        <v>74000</v>
      </c>
      <c r="N90" s="196">
        <f t="shared" si="26"/>
        <v>0.54827027027027031</v>
      </c>
      <c r="O90" s="32" t="str">
        <f t="shared" si="27"/>
        <v>Too early</v>
      </c>
      <c r="P90" s="223">
        <v>79</v>
      </c>
      <c r="Q90" s="207" t="str">
        <f>IF(B90&lt;7,(P90/VLOOKUP(B90,'Sales Pacing'!$A$23:$E$36,2)),"Too early")</f>
        <v>Too early</v>
      </c>
      <c r="R90" s="227">
        <v>4133</v>
      </c>
      <c r="S90" s="231">
        <v>24000</v>
      </c>
      <c r="T90" s="238">
        <f t="shared" si="28"/>
        <v>0.17220833333333332</v>
      </c>
      <c r="U90" s="208" t="str">
        <f t="shared" si="32"/>
        <v>Too early</v>
      </c>
      <c r="V90" s="223">
        <v>564</v>
      </c>
      <c r="W90" s="227">
        <v>36439</v>
      </c>
      <c r="X90" s="231">
        <v>50000</v>
      </c>
      <c r="Y90" s="208">
        <f t="shared" si="29"/>
        <v>0.72877999999999998</v>
      </c>
      <c r="Z90" s="234">
        <v>1433</v>
      </c>
      <c r="AA90" s="208">
        <f t="shared" si="35"/>
        <v>0.44870900209351011</v>
      </c>
      <c r="AB90" s="209">
        <f t="shared" si="30"/>
        <v>63.097978227060651</v>
      </c>
      <c r="AC90" s="219"/>
      <c r="AD90" s="219"/>
      <c r="AE90" s="219"/>
      <c r="AF90" s="348">
        <v>40320.800000000003</v>
      </c>
      <c r="AG90" s="352">
        <f t="shared" si="31"/>
        <v>251.19999999999709</v>
      </c>
    </row>
    <row r="91" spans="1:33" s="148" customFormat="1" x14ac:dyDescent="0.35">
      <c r="A91" s="148">
        <v>32</v>
      </c>
      <c r="B91" s="148">
        <f t="shared" si="21"/>
        <v>32</v>
      </c>
      <c r="C91" s="149">
        <v>46118</v>
      </c>
      <c r="D91" s="148" t="s">
        <v>89</v>
      </c>
      <c r="G91" s="149">
        <v>46124.583333333336</v>
      </c>
      <c r="H91" s="148" t="s">
        <v>55</v>
      </c>
      <c r="I91" s="150">
        <f t="shared" si="22"/>
        <v>610</v>
      </c>
      <c r="J91" s="34" t="str">
        <f t="shared" si="23"/>
        <v>Too early</v>
      </c>
      <c r="K91" s="35" t="str">
        <f t="shared" si="36"/>
        <v>Too early</v>
      </c>
      <c r="L91" s="36">
        <f t="shared" si="24"/>
        <v>38332.1</v>
      </c>
      <c r="M91" s="37">
        <f t="shared" si="25"/>
        <v>74000</v>
      </c>
      <c r="N91" s="197">
        <f t="shared" si="26"/>
        <v>0.51800135135135128</v>
      </c>
      <c r="O91" s="35" t="str">
        <f t="shared" si="27"/>
        <v>Too early</v>
      </c>
      <c r="P91" s="224">
        <v>55</v>
      </c>
      <c r="Q91" s="210" t="str">
        <f>IF(B91&lt;7,(P91/VLOOKUP(B91,'Sales Pacing'!$A$23:$E$36,2)),"Too early")</f>
        <v>Too early</v>
      </c>
      <c r="R91" s="228">
        <v>2188</v>
      </c>
      <c r="S91" s="232">
        <v>24000</v>
      </c>
      <c r="T91" s="239">
        <f t="shared" si="28"/>
        <v>9.116666666666666E-2</v>
      </c>
      <c r="U91" s="211" t="str">
        <f t="shared" si="32"/>
        <v>Too early</v>
      </c>
      <c r="V91" s="224">
        <v>555</v>
      </c>
      <c r="W91" s="228">
        <v>36144.1</v>
      </c>
      <c r="X91" s="232">
        <v>50000</v>
      </c>
      <c r="Y91" s="211">
        <f t="shared" si="29"/>
        <v>0.72288200000000002</v>
      </c>
      <c r="Z91" s="235">
        <v>1433</v>
      </c>
      <c r="AA91" s="211">
        <f t="shared" si="35"/>
        <v>0.42568039078855546</v>
      </c>
      <c r="AB91" s="212">
        <f t="shared" si="30"/>
        <v>62.839508196721312</v>
      </c>
      <c r="AC91" s="220"/>
      <c r="AD91" s="220"/>
      <c r="AE91" s="220"/>
      <c r="AF91" s="350">
        <v>38109.699999999997</v>
      </c>
      <c r="AG91" s="352">
        <f t="shared" si="31"/>
        <v>222.40000000000146</v>
      </c>
    </row>
    <row r="92" spans="1:33" s="144" customFormat="1" x14ac:dyDescent="0.35">
      <c r="A92" s="144">
        <v>33</v>
      </c>
      <c r="B92" s="144">
        <f t="shared" si="21"/>
        <v>33</v>
      </c>
      <c r="C92" s="145">
        <v>46125</v>
      </c>
      <c r="D92" s="144" t="s">
        <v>90</v>
      </c>
      <c r="G92" s="145">
        <v>46129.833333333336</v>
      </c>
      <c r="H92" s="144" t="s">
        <v>55</v>
      </c>
      <c r="I92" s="38">
        <f t="shared" si="22"/>
        <v>598</v>
      </c>
      <c r="J92" s="39" t="str">
        <f t="shared" si="23"/>
        <v>Too early</v>
      </c>
      <c r="K92" s="32" t="str">
        <f t="shared" si="36"/>
        <v>Too early</v>
      </c>
      <c r="L92" s="40">
        <f t="shared" si="24"/>
        <v>39568.300000000003</v>
      </c>
      <c r="M92" s="33">
        <f t="shared" si="25"/>
        <v>46666</v>
      </c>
      <c r="N92" s="196">
        <f t="shared" si="26"/>
        <v>0.84790425577508255</v>
      </c>
      <c r="O92" s="32" t="str">
        <f t="shared" si="27"/>
        <v>Too early</v>
      </c>
      <c r="P92" s="223">
        <v>26</v>
      </c>
      <c r="Q92" s="207" t="str">
        <f>IF(B92&lt;7,(P92/VLOOKUP(B92,'Sales Pacing'!$A$23:$E$36,2)),"Too early")</f>
        <v>Too early</v>
      </c>
      <c r="R92" s="227">
        <v>893</v>
      </c>
      <c r="S92" s="231">
        <v>13333</v>
      </c>
      <c r="T92" s="238">
        <f t="shared" si="28"/>
        <v>6.6976674416860421E-2</v>
      </c>
      <c r="U92" s="208" t="str">
        <f t="shared" si="32"/>
        <v>Too early</v>
      </c>
      <c r="V92" s="223">
        <v>572</v>
      </c>
      <c r="W92" s="227">
        <v>38675.300000000003</v>
      </c>
      <c r="X92" s="231">
        <v>33333</v>
      </c>
      <c r="Y92" s="208">
        <f t="shared" si="29"/>
        <v>1.1602706027060272</v>
      </c>
      <c r="Z92" s="234">
        <v>1590</v>
      </c>
      <c r="AA92" s="208">
        <f t="shared" si="35"/>
        <v>0.37610062893081764</v>
      </c>
      <c r="AB92" s="209">
        <f t="shared" si="30"/>
        <v>66.16772575250836</v>
      </c>
      <c r="AC92" s="219"/>
      <c r="AD92" s="219"/>
      <c r="AE92" s="219"/>
      <c r="AF92" s="348">
        <v>39568.300000000003</v>
      </c>
      <c r="AG92" s="352">
        <f t="shared" si="31"/>
        <v>0</v>
      </c>
    </row>
    <row r="93" spans="1:33" s="144" customFormat="1" x14ac:dyDescent="0.35">
      <c r="A93" s="144">
        <v>33</v>
      </c>
      <c r="B93" s="144">
        <f t="shared" si="21"/>
        <v>33</v>
      </c>
      <c r="C93" s="145">
        <v>46125</v>
      </c>
      <c r="D93" s="144" t="s">
        <v>90</v>
      </c>
      <c r="G93" s="145">
        <v>46130.833333333336</v>
      </c>
      <c r="H93" s="144" t="s">
        <v>55</v>
      </c>
      <c r="I93" s="38">
        <f t="shared" si="22"/>
        <v>610</v>
      </c>
      <c r="J93" s="39" t="str">
        <f t="shared" si="23"/>
        <v>Too early</v>
      </c>
      <c r="K93" s="32" t="str">
        <f t="shared" si="36"/>
        <v>Too early</v>
      </c>
      <c r="L93" s="40">
        <f t="shared" si="24"/>
        <v>41088.9</v>
      </c>
      <c r="M93" s="33">
        <f t="shared" si="25"/>
        <v>46666</v>
      </c>
      <c r="N93" s="196">
        <f t="shared" si="26"/>
        <v>0.88048900698581412</v>
      </c>
      <c r="O93" s="32" t="str">
        <f t="shared" si="27"/>
        <v>Too early</v>
      </c>
      <c r="P93" s="223">
        <v>22</v>
      </c>
      <c r="Q93" s="207" t="str">
        <f>IF(B93&lt;7,(P93/VLOOKUP(B93,'Sales Pacing'!$A$23:$E$36,2)),"Too early")</f>
        <v>Too early</v>
      </c>
      <c r="R93" s="227">
        <v>799</v>
      </c>
      <c r="S93" s="231">
        <v>13333</v>
      </c>
      <c r="T93" s="238">
        <f t="shared" si="28"/>
        <v>5.9926498162454059E-2</v>
      </c>
      <c r="U93" s="208" t="str">
        <f t="shared" si="32"/>
        <v>Too early</v>
      </c>
      <c r="V93" s="223">
        <v>588</v>
      </c>
      <c r="W93" s="227">
        <v>40289.9</v>
      </c>
      <c r="X93" s="231">
        <v>33333</v>
      </c>
      <c r="Y93" s="208">
        <f t="shared" si="29"/>
        <v>1.208709087090871</v>
      </c>
      <c r="Z93" s="234">
        <v>1590</v>
      </c>
      <c r="AA93" s="208">
        <f t="shared" si="35"/>
        <v>0.38364779874213839</v>
      </c>
      <c r="AB93" s="209">
        <f t="shared" si="30"/>
        <v>67.35885245901639</v>
      </c>
      <c r="AC93" s="219"/>
      <c r="AD93" s="219"/>
      <c r="AE93" s="219"/>
      <c r="AF93" s="348">
        <v>41085.4</v>
      </c>
      <c r="AG93" s="352">
        <f t="shared" si="31"/>
        <v>3.5</v>
      </c>
    </row>
    <row r="94" spans="1:33" s="148" customFormat="1" x14ac:dyDescent="0.35">
      <c r="A94" s="148">
        <v>33</v>
      </c>
      <c r="B94" s="148">
        <f t="shared" si="21"/>
        <v>33</v>
      </c>
      <c r="C94" s="149">
        <v>46125</v>
      </c>
      <c r="D94" s="148" t="s">
        <v>90</v>
      </c>
      <c r="G94" s="149">
        <v>46131.583333333336</v>
      </c>
      <c r="H94" s="148" t="s">
        <v>55</v>
      </c>
      <c r="I94" s="150">
        <f t="shared" si="22"/>
        <v>648</v>
      </c>
      <c r="J94" s="34" t="str">
        <f t="shared" si="23"/>
        <v>Too early</v>
      </c>
      <c r="K94" s="35" t="str">
        <f t="shared" si="36"/>
        <v>Too early</v>
      </c>
      <c r="L94" s="36">
        <f t="shared" si="24"/>
        <v>40994.199999999997</v>
      </c>
      <c r="M94" s="37">
        <f t="shared" si="25"/>
        <v>46667</v>
      </c>
      <c r="N94" s="197">
        <f t="shared" si="26"/>
        <v>0.87844086827951218</v>
      </c>
      <c r="O94" s="35" t="str">
        <f t="shared" si="27"/>
        <v>Too early</v>
      </c>
      <c r="P94" s="224">
        <v>33</v>
      </c>
      <c r="Q94" s="210" t="str">
        <f>IF(B94&lt;7,(P94/VLOOKUP(B94,'Sales Pacing'!$A$23:$E$36,2)),"Too early")</f>
        <v>Too early</v>
      </c>
      <c r="R94" s="228">
        <v>1275</v>
      </c>
      <c r="S94" s="232">
        <v>13333</v>
      </c>
      <c r="T94" s="239">
        <f t="shared" si="28"/>
        <v>9.5627390684767125E-2</v>
      </c>
      <c r="U94" s="211" t="str">
        <f t="shared" si="32"/>
        <v>Too early</v>
      </c>
      <c r="V94" s="224">
        <v>615</v>
      </c>
      <c r="W94" s="228">
        <v>39719.199999999997</v>
      </c>
      <c r="X94" s="232">
        <v>33334</v>
      </c>
      <c r="Y94" s="211">
        <f t="shared" si="29"/>
        <v>1.1915521689566209</v>
      </c>
      <c r="Z94" s="235">
        <v>1590</v>
      </c>
      <c r="AA94" s="211">
        <f t="shared" si="35"/>
        <v>0.40754716981132078</v>
      </c>
      <c r="AB94" s="212">
        <f t="shared" si="30"/>
        <v>63.26265432098765</v>
      </c>
      <c r="AC94" s="220"/>
      <c r="AD94" s="220"/>
      <c r="AE94" s="220"/>
      <c r="AF94" s="350">
        <v>40785.199999999997</v>
      </c>
      <c r="AG94" s="352">
        <f t="shared" si="31"/>
        <v>209</v>
      </c>
    </row>
    <row r="95" spans="1:33" s="187" customFormat="1" x14ac:dyDescent="0.35">
      <c r="A95" s="187">
        <v>34</v>
      </c>
      <c r="B95" s="187">
        <f t="shared" si="21"/>
        <v>34</v>
      </c>
      <c r="C95" s="188">
        <v>46132</v>
      </c>
      <c r="D95" s="187" t="s">
        <v>64</v>
      </c>
      <c r="G95" s="199"/>
      <c r="H95" s="200"/>
      <c r="I95" s="201">
        <f t="shared" si="22"/>
        <v>0</v>
      </c>
      <c r="J95" s="202" t="str">
        <f t="shared" si="23"/>
        <v>Too early</v>
      </c>
      <c r="K95" s="203"/>
      <c r="L95" s="204">
        <f t="shared" si="24"/>
        <v>0</v>
      </c>
      <c r="M95" s="205">
        <f t="shared" si="25"/>
        <v>0</v>
      </c>
      <c r="N95" s="206" t="e">
        <f t="shared" si="26"/>
        <v>#DIV/0!</v>
      </c>
      <c r="O95" s="203"/>
      <c r="P95" s="225"/>
      <c r="Q95" s="213" t="str">
        <f>IF(B95&lt;7,(P95/VLOOKUP(B95,'Sales Pacing'!$A$23:$E$36,2)),"Too early")</f>
        <v>Too early</v>
      </c>
      <c r="R95" s="229"/>
      <c r="S95" s="229"/>
      <c r="T95" s="240" t="str">
        <f t="shared" si="28"/>
        <v/>
      </c>
      <c r="U95" s="214"/>
      <c r="V95" s="225"/>
      <c r="W95" s="229"/>
      <c r="X95" s="229"/>
      <c r="Y95" s="214" t="s">
        <v>48</v>
      </c>
      <c r="Z95" s="225"/>
      <c r="AA95" s="214" t="e">
        <f t="shared" si="35"/>
        <v>#DIV/0!</v>
      </c>
      <c r="AB95" s="215" t="e">
        <f t="shared" si="30"/>
        <v>#DIV/0!</v>
      </c>
      <c r="AC95" s="221"/>
      <c r="AD95" s="221"/>
      <c r="AE95" s="221"/>
      <c r="AF95" s="349">
        <v>0</v>
      </c>
    </row>
    <row r="96" spans="1:33" s="187" customFormat="1" x14ac:dyDescent="0.35">
      <c r="A96" s="187">
        <v>35</v>
      </c>
      <c r="B96" s="187">
        <f t="shared" si="21"/>
        <v>35</v>
      </c>
      <c r="C96" s="188">
        <v>46139</v>
      </c>
      <c r="D96" s="187" t="s">
        <v>64</v>
      </c>
      <c r="G96" s="199"/>
      <c r="H96" s="200"/>
      <c r="I96" s="201">
        <f t="shared" si="22"/>
        <v>0</v>
      </c>
      <c r="J96" s="202" t="str">
        <f t="shared" si="23"/>
        <v>Too early</v>
      </c>
      <c r="K96" s="203"/>
      <c r="L96" s="204">
        <f t="shared" si="24"/>
        <v>0</v>
      </c>
      <c r="M96" s="205">
        <f t="shared" si="25"/>
        <v>0</v>
      </c>
      <c r="N96" s="206" t="e">
        <f t="shared" si="26"/>
        <v>#DIV/0!</v>
      </c>
      <c r="O96" s="203"/>
      <c r="P96" s="225"/>
      <c r="Q96" s="213" t="str">
        <f>IF(B96&lt;7,(P96/VLOOKUP(B96,'Sales Pacing'!$A$23:$E$36,2)),"Too early")</f>
        <v>Too early</v>
      </c>
      <c r="R96" s="229"/>
      <c r="S96" s="229"/>
      <c r="T96" s="240" t="str">
        <f t="shared" si="28"/>
        <v/>
      </c>
      <c r="U96" s="214"/>
      <c r="V96" s="225"/>
      <c r="W96" s="229"/>
      <c r="X96" s="229"/>
      <c r="Y96" s="214" t="s">
        <v>48</v>
      </c>
      <c r="Z96" s="225"/>
      <c r="AA96" s="214" t="e">
        <f t="shared" si="35"/>
        <v>#DIV/0!</v>
      </c>
      <c r="AB96" s="215" t="e">
        <f t="shared" si="30"/>
        <v>#DIV/0!</v>
      </c>
      <c r="AC96" s="221"/>
      <c r="AD96" s="221"/>
      <c r="AE96" s="221"/>
      <c r="AF96" s="349">
        <v>0</v>
      </c>
    </row>
    <row r="97" spans="1:44" s="144" customFormat="1" x14ac:dyDescent="0.35">
      <c r="A97" s="144">
        <v>36</v>
      </c>
      <c r="B97" s="144">
        <f t="shared" si="21"/>
        <v>36</v>
      </c>
      <c r="C97" s="178">
        <v>46146</v>
      </c>
      <c r="D97" s="179" t="s">
        <v>91</v>
      </c>
      <c r="E97" s="179"/>
      <c r="F97" s="179"/>
      <c r="G97" s="178">
        <v>46150.833333333336</v>
      </c>
      <c r="H97" s="179" t="s">
        <v>55</v>
      </c>
      <c r="I97" s="38">
        <f t="shared" si="22"/>
        <v>415</v>
      </c>
      <c r="J97" s="39" t="str">
        <f t="shared" si="23"/>
        <v>Too early</v>
      </c>
      <c r="K97" s="32" t="str">
        <f t="shared" ref="K97:K102" si="37">IF(J97="Too early",J97,J97/Z97)</f>
        <v>Too early</v>
      </c>
      <c r="L97" s="40">
        <f t="shared" si="24"/>
        <v>27961</v>
      </c>
      <c r="M97" s="33">
        <f t="shared" si="25"/>
        <v>45000</v>
      </c>
      <c r="N97" s="196">
        <f t="shared" si="26"/>
        <v>0.62135555555555555</v>
      </c>
      <c r="O97" s="32" t="str">
        <f t="shared" si="27"/>
        <v>Too early</v>
      </c>
      <c r="P97" s="243">
        <v>44</v>
      </c>
      <c r="Q97" s="207" t="str">
        <f>IF(B97&lt;7,(P97/VLOOKUP(B97,'Sales Pacing'!$A$23:$E$36,2)),"Too early")</f>
        <v>Too early</v>
      </c>
      <c r="R97" s="227">
        <v>2131</v>
      </c>
      <c r="S97" s="231">
        <v>20000</v>
      </c>
      <c r="T97" s="238">
        <f t="shared" si="28"/>
        <v>0.10655000000000001</v>
      </c>
      <c r="U97" s="208" t="str">
        <f t="shared" si="32"/>
        <v>Too early</v>
      </c>
      <c r="V97" s="223">
        <v>371</v>
      </c>
      <c r="W97" s="227">
        <v>25830</v>
      </c>
      <c r="X97" s="231">
        <v>25000</v>
      </c>
      <c r="Y97" s="208">
        <f t="shared" si="29"/>
        <v>1.0331999999999999</v>
      </c>
      <c r="Z97" s="234">
        <v>1590</v>
      </c>
      <c r="AA97" s="208">
        <f t="shared" si="35"/>
        <v>0.2610062893081761</v>
      </c>
      <c r="AB97" s="209">
        <f t="shared" si="30"/>
        <v>67.375903614457826</v>
      </c>
      <c r="AC97" s="219"/>
      <c r="AD97" s="219"/>
      <c r="AE97" s="219"/>
      <c r="AF97" s="348">
        <v>27961</v>
      </c>
      <c r="AG97" s="352">
        <f t="shared" si="31"/>
        <v>0</v>
      </c>
    </row>
    <row r="98" spans="1:44" s="144" customFormat="1" x14ac:dyDescent="0.35">
      <c r="A98" s="144">
        <v>36</v>
      </c>
      <c r="B98" s="144">
        <f t="shared" si="21"/>
        <v>36</v>
      </c>
      <c r="C98" s="145">
        <v>46146</v>
      </c>
      <c r="D98" s="144" t="s">
        <v>91</v>
      </c>
      <c r="G98" s="145">
        <v>46151.833333333336</v>
      </c>
      <c r="H98" s="144" t="s">
        <v>55</v>
      </c>
      <c r="I98" s="38">
        <f t="shared" si="22"/>
        <v>660</v>
      </c>
      <c r="J98" s="39" t="str">
        <f t="shared" si="23"/>
        <v>Too early</v>
      </c>
      <c r="K98" s="32" t="str">
        <f t="shared" si="37"/>
        <v>Too early</v>
      </c>
      <c r="L98" s="40">
        <f t="shared" si="24"/>
        <v>44069.9</v>
      </c>
      <c r="M98" s="33">
        <f t="shared" si="25"/>
        <v>65000</v>
      </c>
      <c r="N98" s="196">
        <f t="shared" si="26"/>
        <v>0.67799846153846155</v>
      </c>
      <c r="O98" s="32" t="str">
        <f t="shared" si="27"/>
        <v>Too early</v>
      </c>
      <c r="P98" s="243">
        <v>71</v>
      </c>
      <c r="Q98" s="207" t="str">
        <f>IF(B98&lt;7,(P98/VLOOKUP(B98,'Sales Pacing'!$A$23:$E$36,2)),"Too early")</f>
        <v>Too early</v>
      </c>
      <c r="R98" s="227">
        <v>4083</v>
      </c>
      <c r="S98" s="231">
        <v>17500</v>
      </c>
      <c r="T98" s="238">
        <f t="shared" si="28"/>
        <v>0.23331428571428572</v>
      </c>
      <c r="U98" s="208" t="str">
        <f t="shared" si="32"/>
        <v>Too early</v>
      </c>
      <c r="V98" s="223">
        <v>589</v>
      </c>
      <c r="W98" s="227">
        <v>39986.9</v>
      </c>
      <c r="X98" s="231">
        <v>47500</v>
      </c>
      <c r="Y98" s="208">
        <f t="shared" si="29"/>
        <v>0.84182947368421057</v>
      </c>
      <c r="Z98" s="234">
        <v>1590</v>
      </c>
      <c r="AA98" s="208">
        <f t="shared" si="35"/>
        <v>0.41509433962264153</v>
      </c>
      <c r="AB98" s="209">
        <f t="shared" si="30"/>
        <v>66.772575757575765</v>
      </c>
      <c r="AC98" s="219"/>
      <c r="AD98" s="219"/>
      <c r="AE98" s="219"/>
      <c r="AF98" s="348">
        <v>43689.4</v>
      </c>
      <c r="AG98" s="352">
        <f t="shared" si="31"/>
        <v>380.5</v>
      </c>
    </row>
    <row r="99" spans="1:44" s="148" customFormat="1" x14ac:dyDescent="0.35">
      <c r="A99" s="148">
        <v>36</v>
      </c>
      <c r="B99" s="148">
        <f t="shared" si="21"/>
        <v>36</v>
      </c>
      <c r="C99" s="149">
        <v>46146</v>
      </c>
      <c r="D99" s="148" t="s">
        <v>91</v>
      </c>
      <c r="G99" s="149">
        <v>46152.583333333336</v>
      </c>
      <c r="H99" s="148" t="s">
        <v>55</v>
      </c>
      <c r="I99" s="150">
        <f t="shared" si="22"/>
        <v>666</v>
      </c>
      <c r="J99" s="34" t="str">
        <f t="shared" si="23"/>
        <v>Too early</v>
      </c>
      <c r="K99" s="35" t="str">
        <f t="shared" si="37"/>
        <v>Too early</v>
      </c>
      <c r="L99" s="36">
        <f t="shared" si="24"/>
        <v>42307.199999999997</v>
      </c>
      <c r="M99" s="37">
        <f t="shared" si="25"/>
        <v>65000</v>
      </c>
      <c r="N99" s="197">
        <f t="shared" si="26"/>
        <v>0.6508799999999999</v>
      </c>
      <c r="O99" s="35" t="str">
        <f t="shared" si="27"/>
        <v>Too early</v>
      </c>
      <c r="P99" s="245">
        <v>55</v>
      </c>
      <c r="Q99" s="210" t="str">
        <f>IF(B99&lt;7,(P99/VLOOKUP(B99,'Sales Pacing'!$A$23:$E$36,2)),"Too early")</f>
        <v>Too early</v>
      </c>
      <c r="R99" s="228">
        <v>2861</v>
      </c>
      <c r="S99" s="232">
        <v>17500</v>
      </c>
      <c r="T99" s="239">
        <f t="shared" si="28"/>
        <v>0.16348571428571429</v>
      </c>
      <c r="U99" s="211" t="str">
        <f t="shared" si="32"/>
        <v>Too early</v>
      </c>
      <c r="V99" s="224">
        <v>611</v>
      </c>
      <c r="W99" s="228">
        <v>39446.199999999997</v>
      </c>
      <c r="X99" s="232">
        <v>47500</v>
      </c>
      <c r="Y99" s="211">
        <f t="shared" si="29"/>
        <v>0.83044631578947359</v>
      </c>
      <c r="Z99" s="235">
        <v>1590</v>
      </c>
      <c r="AA99" s="211">
        <f t="shared" si="35"/>
        <v>0.4188679245283019</v>
      </c>
      <c r="AB99" s="212">
        <f t="shared" si="30"/>
        <v>63.524324324324319</v>
      </c>
      <c r="AC99" s="220"/>
      <c r="AD99" s="220"/>
      <c r="AE99" s="220"/>
      <c r="AF99" s="350">
        <v>41626.199999999997</v>
      </c>
      <c r="AG99" s="352">
        <f t="shared" si="31"/>
        <v>681</v>
      </c>
    </row>
    <row r="100" spans="1:44" s="144" customFormat="1" x14ac:dyDescent="0.35">
      <c r="A100" s="144">
        <v>37</v>
      </c>
      <c r="B100" s="144">
        <f t="shared" si="21"/>
        <v>37</v>
      </c>
      <c r="C100" s="145">
        <v>46153</v>
      </c>
      <c r="D100" s="144" t="s">
        <v>92</v>
      </c>
      <c r="G100" s="145">
        <v>46157.833333333336</v>
      </c>
      <c r="H100" s="144" t="s">
        <v>50</v>
      </c>
      <c r="I100" s="38">
        <f t="shared" si="22"/>
        <v>793</v>
      </c>
      <c r="J100" s="39" t="str">
        <f t="shared" si="23"/>
        <v>Too early</v>
      </c>
      <c r="K100" s="32" t="str">
        <f t="shared" si="37"/>
        <v>Too early</v>
      </c>
      <c r="L100" s="40">
        <f t="shared" si="24"/>
        <v>66870</v>
      </c>
      <c r="M100" s="33">
        <f t="shared" si="25"/>
        <v>103333</v>
      </c>
      <c r="N100" s="196">
        <f t="shared" si="26"/>
        <v>0.64713111977780569</v>
      </c>
      <c r="O100" s="32" t="str">
        <f t="shared" si="27"/>
        <v>Too early</v>
      </c>
      <c r="P100" s="243">
        <v>61</v>
      </c>
      <c r="Q100" s="207" t="str">
        <f>IF(B100&lt;7,(P100/VLOOKUP(B100,'Sales Pacing'!$A$23:$E$36,2)),"Too early")</f>
        <v>Too early</v>
      </c>
      <c r="R100" s="227">
        <v>4667</v>
      </c>
      <c r="S100" s="231">
        <v>60000</v>
      </c>
      <c r="T100" s="238">
        <f t="shared" si="28"/>
        <v>7.7783333333333329E-2</v>
      </c>
      <c r="U100" s="208" t="str">
        <f t="shared" si="32"/>
        <v>Too early</v>
      </c>
      <c r="V100" s="223">
        <v>732</v>
      </c>
      <c r="W100" s="227">
        <v>62203</v>
      </c>
      <c r="X100" s="231">
        <v>43333</v>
      </c>
      <c r="Y100" s="208">
        <f t="shared" si="29"/>
        <v>1.4354648881914476</v>
      </c>
      <c r="Z100" s="234">
        <v>1302</v>
      </c>
      <c r="AA100" s="208">
        <f t="shared" si="35"/>
        <v>0.60906298003072201</v>
      </c>
      <c r="AB100" s="209">
        <f t="shared" si="30"/>
        <v>84.325346784363177</v>
      </c>
      <c r="AC100" s="219"/>
      <c r="AD100" s="219"/>
      <c r="AE100" s="219"/>
      <c r="AF100" s="348">
        <v>66532</v>
      </c>
      <c r="AG100" s="352">
        <f t="shared" si="31"/>
        <v>338</v>
      </c>
    </row>
    <row r="101" spans="1:44" s="144" customFormat="1" x14ac:dyDescent="0.35">
      <c r="A101" s="144">
        <v>37</v>
      </c>
      <c r="B101" s="144">
        <f t="shared" si="21"/>
        <v>37</v>
      </c>
      <c r="C101" s="145">
        <v>46153</v>
      </c>
      <c r="D101" s="144" t="s">
        <v>92</v>
      </c>
      <c r="G101" s="145">
        <v>46158.833333333336</v>
      </c>
      <c r="H101" s="144" t="s">
        <v>50</v>
      </c>
      <c r="I101" s="38">
        <f t="shared" si="22"/>
        <v>727</v>
      </c>
      <c r="J101" s="39" t="str">
        <f t="shared" si="23"/>
        <v>Too early</v>
      </c>
      <c r="K101" s="32" t="str">
        <f t="shared" si="37"/>
        <v>Too early</v>
      </c>
      <c r="L101" s="40">
        <f t="shared" si="24"/>
        <v>61446</v>
      </c>
      <c r="M101" s="33">
        <f t="shared" si="25"/>
        <v>103334</v>
      </c>
      <c r="N101" s="196">
        <f t="shared" si="26"/>
        <v>0.59463487332339793</v>
      </c>
      <c r="O101" s="32" t="str">
        <f t="shared" si="27"/>
        <v>Too early</v>
      </c>
      <c r="P101" s="243">
        <v>68</v>
      </c>
      <c r="Q101" s="207" t="str">
        <f>IF(B101&lt;7,(P101/VLOOKUP(B101,'Sales Pacing'!$A$23:$E$36,2)),"Too early")</f>
        <v>Too early</v>
      </c>
      <c r="R101" s="227">
        <v>4720</v>
      </c>
      <c r="S101" s="231">
        <v>60000</v>
      </c>
      <c r="T101" s="238">
        <f t="shared" si="28"/>
        <v>7.8666666666666663E-2</v>
      </c>
      <c r="U101" s="208" t="str">
        <f t="shared" si="32"/>
        <v>Too early</v>
      </c>
      <c r="V101" s="223">
        <v>659</v>
      </c>
      <c r="W101" s="227">
        <v>56726</v>
      </c>
      <c r="X101" s="231">
        <v>43334</v>
      </c>
      <c r="Y101" s="208">
        <f t="shared" si="29"/>
        <v>1.3090413993630867</v>
      </c>
      <c r="Z101" s="234">
        <v>1302</v>
      </c>
      <c r="AA101" s="208">
        <f t="shared" si="35"/>
        <v>0.55837173579109067</v>
      </c>
      <c r="AB101" s="209">
        <f t="shared" si="30"/>
        <v>84.519944979367267</v>
      </c>
      <c r="AC101" s="219"/>
      <c r="AD101" s="219"/>
      <c r="AE101" s="219"/>
      <c r="AF101" s="348">
        <v>61319</v>
      </c>
      <c r="AG101" s="352">
        <f t="shared" si="31"/>
        <v>127</v>
      </c>
    </row>
    <row r="102" spans="1:44" s="148" customFormat="1" x14ac:dyDescent="0.35">
      <c r="A102" s="148">
        <v>37</v>
      </c>
      <c r="B102" s="148">
        <f t="shared" si="21"/>
        <v>37</v>
      </c>
      <c r="C102" s="149">
        <v>46153</v>
      </c>
      <c r="D102" s="148" t="s">
        <v>92</v>
      </c>
      <c r="G102" s="149">
        <v>46159.583333333336</v>
      </c>
      <c r="H102" s="148" t="s">
        <v>50</v>
      </c>
      <c r="I102" s="150">
        <f t="shared" si="22"/>
        <v>493</v>
      </c>
      <c r="J102" s="34" t="str">
        <f t="shared" si="23"/>
        <v>Too early</v>
      </c>
      <c r="K102" s="35" t="str">
        <f t="shared" si="37"/>
        <v>Too early</v>
      </c>
      <c r="L102" s="36">
        <f t="shared" si="24"/>
        <v>39232</v>
      </c>
      <c r="M102" s="37">
        <f t="shared" si="25"/>
        <v>103333</v>
      </c>
      <c r="N102" s="197">
        <f t="shared" si="26"/>
        <v>0.3796657408572286</v>
      </c>
      <c r="O102" s="35" t="str">
        <f t="shared" si="27"/>
        <v>Too early</v>
      </c>
      <c r="P102" s="245">
        <v>106</v>
      </c>
      <c r="Q102" s="210" t="str">
        <f>IF(B102&lt;7,(P102/VLOOKUP(B102,'Sales Pacing'!$A$23:$E$36,2)),"Too early")</f>
        <v>Too early</v>
      </c>
      <c r="R102" s="228">
        <v>8365</v>
      </c>
      <c r="S102" s="232">
        <v>60000</v>
      </c>
      <c r="T102" s="239">
        <f t="shared" si="28"/>
        <v>0.13941666666666666</v>
      </c>
      <c r="U102" s="211" t="str">
        <f t="shared" si="32"/>
        <v>Too early</v>
      </c>
      <c r="V102" s="224">
        <v>387</v>
      </c>
      <c r="W102" s="228">
        <v>30867</v>
      </c>
      <c r="X102" s="232">
        <v>43333</v>
      </c>
      <c r="Y102" s="211">
        <f t="shared" si="29"/>
        <v>0.71232086400664618</v>
      </c>
      <c r="Z102" s="235">
        <v>1302</v>
      </c>
      <c r="AA102" s="211">
        <f t="shared" si="35"/>
        <v>0.37864823348694315</v>
      </c>
      <c r="AB102" s="212">
        <f t="shared" si="30"/>
        <v>79.578093306288039</v>
      </c>
      <c r="AC102" s="220"/>
      <c r="AD102" s="220"/>
      <c r="AE102" s="220"/>
      <c r="AF102" s="350">
        <v>37894</v>
      </c>
      <c r="AG102" s="352">
        <f t="shared" si="31"/>
        <v>1338</v>
      </c>
    </row>
    <row r="103" spans="1:44" s="187" customFormat="1" x14ac:dyDescent="0.35">
      <c r="A103" s="187">
        <v>38</v>
      </c>
      <c r="B103" s="187">
        <f t="shared" si="21"/>
        <v>38</v>
      </c>
      <c r="C103" s="188">
        <v>46160</v>
      </c>
      <c r="D103" s="187" t="s">
        <v>64</v>
      </c>
      <c r="G103" s="199"/>
      <c r="H103" s="200"/>
      <c r="I103" s="201">
        <f t="shared" si="22"/>
        <v>0</v>
      </c>
      <c r="J103" s="202" t="str">
        <f t="shared" si="23"/>
        <v>Too early</v>
      </c>
      <c r="K103" s="203"/>
      <c r="L103" s="204">
        <f t="shared" si="24"/>
        <v>0</v>
      </c>
      <c r="M103" s="205">
        <f t="shared" si="25"/>
        <v>0</v>
      </c>
      <c r="N103" s="206" t="e">
        <f t="shared" si="26"/>
        <v>#DIV/0!</v>
      </c>
      <c r="O103" s="203"/>
      <c r="P103" s="225"/>
      <c r="Q103" s="213" t="str">
        <f>IF(B103&lt;7,(P103/VLOOKUP(B103,'Sales Pacing'!$A$23:$E$36,2)),"Too early")</f>
        <v>Too early</v>
      </c>
      <c r="R103" s="229"/>
      <c r="S103" s="229"/>
      <c r="T103" s="240" t="str">
        <f t="shared" si="28"/>
        <v/>
      </c>
      <c r="U103" s="214"/>
      <c r="V103" s="225"/>
      <c r="W103" s="229"/>
      <c r="X103" s="229"/>
      <c r="Y103" s="214" t="s">
        <v>48</v>
      </c>
      <c r="Z103" s="225"/>
      <c r="AA103" s="214" t="e">
        <f t="shared" si="35"/>
        <v>#DIV/0!</v>
      </c>
      <c r="AB103" s="215" t="e">
        <f t="shared" si="30"/>
        <v>#DIV/0!</v>
      </c>
      <c r="AC103" s="221"/>
      <c r="AD103" s="221"/>
      <c r="AE103" s="221"/>
      <c r="AF103" s="349">
        <v>0</v>
      </c>
    </row>
    <row r="104" spans="1:44" s="299" customFormat="1" x14ac:dyDescent="0.35">
      <c r="A104" s="144">
        <v>38</v>
      </c>
      <c r="B104" s="144">
        <v>45</v>
      </c>
      <c r="C104" s="145">
        <v>46160</v>
      </c>
      <c r="D104" s="144" t="s">
        <v>93</v>
      </c>
      <c r="E104" s="144"/>
      <c r="F104" s="144"/>
      <c r="G104" s="145">
        <v>46163</v>
      </c>
      <c r="H104" s="144" t="s">
        <v>45</v>
      </c>
      <c r="I104" s="312">
        <f>P104+V104</f>
        <v>105</v>
      </c>
      <c r="J104" s="308" t="str">
        <f>IF(Q104="Too early",Q104,Q104+V104)</f>
        <v>Too early</v>
      </c>
      <c r="K104" s="32" t="str">
        <f t="shared" ref="K104:K113" si="38">IF(J104="Too early",J104,J104/Z104)</f>
        <v>Too early</v>
      </c>
      <c r="L104" s="309">
        <f>R104+W104</f>
        <v>8896</v>
      </c>
      <c r="M104" s="310">
        <f>S104+X104</f>
        <v>112468</v>
      </c>
      <c r="N104" s="311">
        <f>L104/M104</f>
        <v>7.9098054557740868E-2</v>
      </c>
      <c r="O104" s="32" t="str">
        <f t="shared" si="27"/>
        <v>Too early</v>
      </c>
      <c r="P104" s="243">
        <v>105</v>
      </c>
      <c r="Q104" s="207" t="str">
        <f>IF(B104&lt;7,(P104/VLOOKUP(B104,'Sales Pacing'!$A$23:$E$36,2)),"Too early")</f>
        <v>Too early</v>
      </c>
      <c r="R104" s="227">
        <v>8896</v>
      </c>
      <c r="S104" s="231">
        <v>112468</v>
      </c>
      <c r="T104" s="238">
        <f>IF(R104&gt;0,R104/S104,"")</f>
        <v>7.9098054557740868E-2</v>
      </c>
      <c r="U104" s="208" t="str">
        <f t="shared" si="32"/>
        <v>Too early</v>
      </c>
      <c r="V104" s="223"/>
      <c r="W104" s="227"/>
      <c r="X104" s="231"/>
      <c r="Y104" s="208" t="str">
        <f t="shared" si="29"/>
        <v/>
      </c>
      <c r="Z104" s="234">
        <v>1590</v>
      </c>
      <c r="AA104" s="208"/>
      <c r="AB104" s="302">
        <f>L104/I104</f>
        <v>84.723809523809521</v>
      </c>
      <c r="AC104" s="219"/>
      <c r="AD104" s="219"/>
      <c r="AE104" s="219"/>
      <c r="AF104" s="348">
        <v>8680</v>
      </c>
      <c r="AG104" s="352">
        <f t="shared" si="31"/>
        <v>216</v>
      </c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</row>
    <row r="105" spans="1:44" s="299" customFormat="1" x14ac:dyDescent="0.35">
      <c r="A105" s="148">
        <v>38</v>
      </c>
      <c r="B105" s="148">
        <v>45</v>
      </c>
      <c r="C105" s="149">
        <v>46160</v>
      </c>
      <c r="D105" s="148" t="s">
        <v>93</v>
      </c>
      <c r="E105" s="148"/>
      <c r="F105" s="148"/>
      <c r="G105" s="149">
        <v>46164</v>
      </c>
      <c r="H105" s="148" t="s">
        <v>45</v>
      </c>
      <c r="I105" s="295">
        <f>P105+V105</f>
        <v>153</v>
      </c>
      <c r="J105" s="295" t="str">
        <f>IF(Q105="Too early",Q105,Q105+V105)</f>
        <v>Too early</v>
      </c>
      <c r="K105" s="35" t="str">
        <f t="shared" si="38"/>
        <v>Too early</v>
      </c>
      <c r="L105" s="296">
        <f>R105+W105</f>
        <v>13502</v>
      </c>
      <c r="M105" s="302">
        <f>S105+X105</f>
        <v>112468</v>
      </c>
      <c r="N105" s="297">
        <f>L105/M105</f>
        <v>0.12005192588113953</v>
      </c>
      <c r="O105" s="35" t="str">
        <f t="shared" si="27"/>
        <v>Too early</v>
      </c>
      <c r="P105" s="245">
        <v>153</v>
      </c>
      <c r="Q105" s="210" t="str">
        <f>IF(B105&lt;7,(P105/VLOOKUP(B105,'Sales Pacing'!$A$23:$E$36,2)),"Too early")</f>
        <v>Too early</v>
      </c>
      <c r="R105" s="228">
        <v>13502</v>
      </c>
      <c r="S105" s="232">
        <v>112468</v>
      </c>
      <c r="T105" s="239">
        <f>IF(R105&gt;0,R105/S105,"")</f>
        <v>0.12005192588113953</v>
      </c>
      <c r="U105" s="211" t="str">
        <f t="shared" si="32"/>
        <v>Too early</v>
      </c>
      <c r="V105" s="224"/>
      <c r="W105" s="228"/>
      <c r="X105" s="232"/>
      <c r="Y105" s="211" t="str">
        <f t="shared" si="29"/>
        <v/>
      </c>
      <c r="Z105" s="235">
        <v>1590</v>
      </c>
      <c r="AA105" s="211"/>
      <c r="AB105" s="302">
        <f>L105/I105</f>
        <v>88.248366013071902</v>
      </c>
      <c r="AC105" s="220"/>
      <c r="AD105" s="220"/>
      <c r="AE105" s="220"/>
      <c r="AF105" s="348">
        <v>12762</v>
      </c>
      <c r="AG105" s="352">
        <f t="shared" si="31"/>
        <v>740</v>
      </c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</row>
    <row r="106" spans="1:44" s="144" customFormat="1" x14ac:dyDescent="0.35">
      <c r="A106" s="144">
        <v>39</v>
      </c>
      <c r="B106" s="144">
        <f t="shared" si="21"/>
        <v>39</v>
      </c>
      <c r="C106" s="145">
        <v>46167</v>
      </c>
      <c r="D106" s="144" t="s">
        <v>94</v>
      </c>
      <c r="G106" s="145">
        <v>46170.833333333336</v>
      </c>
      <c r="H106" s="144" t="s">
        <v>61</v>
      </c>
      <c r="I106" s="38">
        <f t="shared" si="22"/>
        <v>17</v>
      </c>
      <c r="J106" s="39" t="str">
        <f t="shared" si="23"/>
        <v>Too early</v>
      </c>
      <c r="K106" s="32" t="str">
        <f t="shared" si="38"/>
        <v>Too early</v>
      </c>
      <c r="L106" s="40">
        <f t="shared" si="24"/>
        <v>1680</v>
      </c>
      <c r="M106" s="33">
        <v>9000</v>
      </c>
      <c r="N106" s="196">
        <f t="shared" si="26"/>
        <v>0.18666666666666668</v>
      </c>
      <c r="O106" s="32" t="str">
        <f t="shared" si="27"/>
        <v>Too early</v>
      </c>
      <c r="P106" s="223">
        <v>17</v>
      </c>
      <c r="Q106" s="207" t="str">
        <f>IF(B106&lt;7,(P106/VLOOKUP(B106,'Sales Pacing'!$A$23:$E$36,2)),"Too early")</f>
        <v>Too early</v>
      </c>
      <c r="R106" s="227">
        <v>1680</v>
      </c>
      <c r="S106" s="231">
        <v>9000</v>
      </c>
      <c r="T106" s="238">
        <f t="shared" si="28"/>
        <v>0.18666666666666668</v>
      </c>
      <c r="U106" s="208" t="str">
        <f t="shared" si="32"/>
        <v>Too early</v>
      </c>
      <c r="V106" s="223"/>
      <c r="W106" s="227"/>
      <c r="X106" s="231"/>
      <c r="Y106" s="208" t="str">
        <f t="shared" si="29"/>
        <v/>
      </c>
      <c r="Z106" s="234">
        <v>100</v>
      </c>
      <c r="AA106" s="208">
        <f t="shared" si="35"/>
        <v>0.17</v>
      </c>
      <c r="AB106" s="209">
        <f t="shared" si="30"/>
        <v>98.82352941176471</v>
      </c>
      <c r="AC106" s="219"/>
      <c r="AD106" s="219"/>
      <c r="AE106" s="219"/>
      <c r="AF106" s="348">
        <v>1680</v>
      </c>
      <c r="AG106" s="352">
        <f t="shared" si="31"/>
        <v>0</v>
      </c>
    </row>
    <row r="107" spans="1:44" s="144" customFormat="1" x14ac:dyDescent="0.35">
      <c r="A107" s="144">
        <v>39</v>
      </c>
      <c r="B107" s="144">
        <f t="shared" si="21"/>
        <v>39</v>
      </c>
      <c r="C107" s="145">
        <v>46167</v>
      </c>
      <c r="D107" s="144" t="s">
        <v>95</v>
      </c>
      <c r="G107" s="145">
        <v>46171.833333333336</v>
      </c>
      <c r="H107" s="144" t="s">
        <v>55</v>
      </c>
      <c r="I107" s="38">
        <f t="shared" si="22"/>
        <v>601</v>
      </c>
      <c r="J107" s="39" t="str">
        <f t="shared" si="23"/>
        <v>Too early</v>
      </c>
      <c r="K107" s="32" t="str">
        <f t="shared" si="38"/>
        <v>Too early</v>
      </c>
      <c r="L107" s="40">
        <f t="shared" si="24"/>
        <v>38803.300000000003</v>
      </c>
      <c r="M107" s="33">
        <f t="shared" si="25"/>
        <v>51666</v>
      </c>
      <c r="N107" s="196">
        <f t="shared" si="26"/>
        <v>0.75104130375875822</v>
      </c>
      <c r="O107" s="32" t="str">
        <f t="shared" si="27"/>
        <v>Too early</v>
      </c>
      <c r="P107" s="243">
        <v>40</v>
      </c>
      <c r="Q107" s="207" t="str">
        <f>IF(B107&lt;7,(P107/VLOOKUP(B107,'Sales Pacing'!$A$23:$E$36,2)),"Too early")</f>
        <v>Too early</v>
      </c>
      <c r="R107" s="227">
        <v>1132</v>
      </c>
      <c r="S107" s="231">
        <v>20000</v>
      </c>
      <c r="T107" s="238">
        <f t="shared" si="28"/>
        <v>5.6599999999999998E-2</v>
      </c>
      <c r="U107" s="208" t="str">
        <f t="shared" si="32"/>
        <v>Too early</v>
      </c>
      <c r="V107" s="223">
        <v>561</v>
      </c>
      <c r="W107" s="227">
        <v>37671.300000000003</v>
      </c>
      <c r="X107" s="231">
        <v>31666</v>
      </c>
      <c r="Y107" s="208">
        <f t="shared" si="29"/>
        <v>1.1896450451588456</v>
      </c>
      <c r="Z107" s="234">
        <v>1590</v>
      </c>
      <c r="AA107" s="208">
        <f t="shared" si="35"/>
        <v>0.37798742138364783</v>
      </c>
      <c r="AB107" s="209">
        <f t="shared" si="30"/>
        <v>64.564559068219637</v>
      </c>
      <c r="AC107" s="219"/>
      <c r="AD107" s="219"/>
      <c r="AE107" s="219"/>
      <c r="AF107" s="348">
        <v>38701.300000000003</v>
      </c>
      <c r="AG107" s="352">
        <f t="shared" si="31"/>
        <v>102</v>
      </c>
    </row>
    <row r="108" spans="1:44" s="144" customFormat="1" x14ac:dyDescent="0.35">
      <c r="A108" s="144">
        <v>39</v>
      </c>
      <c r="B108" s="144">
        <f t="shared" si="21"/>
        <v>39</v>
      </c>
      <c r="C108" s="145">
        <v>46167</v>
      </c>
      <c r="D108" s="144" t="s">
        <v>96</v>
      </c>
      <c r="G108" s="145">
        <v>46172.833333333336</v>
      </c>
      <c r="H108" s="144" t="s">
        <v>55</v>
      </c>
      <c r="I108" s="38">
        <f t="shared" si="22"/>
        <v>608</v>
      </c>
      <c r="J108" s="39" t="str">
        <f t="shared" si="23"/>
        <v>Too early</v>
      </c>
      <c r="K108" s="32" t="str">
        <f t="shared" si="38"/>
        <v>Too early</v>
      </c>
      <c r="L108" s="40">
        <f t="shared" si="24"/>
        <v>38191</v>
      </c>
      <c r="M108" s="33">
        <f t="shared" si="25"/>
        <v>51667</v>
      </c>
      <c r="N108" s="196">
        <f t="shared" si="26"/>
        <v>0.73917587628466919</v>
      </c>
      <c r="O108" s="32" t="str">
        <f t="shared" si="27"/>
        <v>Too early</v>
      </c>
      <c r="P108" s="243">
        <v>43</v>
      </c>
      <c r="Q108" s="207" t="str">
        <f>IF(B108&lt;7,(P108/VLOOKUP(B108,'Sales Pacing'!$A$23:$E$36,2)),"Too early")</f>
        <v>Too early</v>
      </c>
      <c r="R108" s="227">
        <v>1313</v>
      </c>
      <c r="S108" s="231">
        <v>20000</v>
      </c>
      <c r="T108" s="238">
        <f t="shared" si="28"/>
        <v>6.565E-2</v>
      </c>
      <c r="U108" s="208" t="str">
        <f t="shared" si="32"/>
        <v>Too early</v>
      </c>
      <c r="V108" s="223">
        <v>565</v>
      </c>
      <c r="W108" s="227">
        <v>36878</v>
      </c>
      <c r="X108" s="231">
        <v>31667</v>
      </c>
      <c r="Y108" s="208">
        <f t="shared" si="29"/>
        <v>1.1645561625667098</v>
      </c>
      <c r="Z108" s="234">
        <v>1590</v>
      </c>
      <c r="AA108" s="208">
        <f t="shared" si="35"/>
        <v>0.38238993710691827</v>
      </c>
      <c r="AB108" s="209">
        <f t="shared" si="30"/>
        <v>62.814144736842103</v>
      </c>
      <c r="AC108" s="219"/>
      <c r="AD108" s="219"/>
      <c r="AE108" s="219"/>
      <c r="AF108" s="348">
        <v>38109.800000000003</v>
      </c>
      <c r="AG108" s="352">
        <f t="shared" si="31"/>
        <v>81.19999999999709</v>
      </c>
    </row>
    <row r="109" spans="1:44" s="148" customFormat="1" x14ac:dyDescent="0.35">
      <c r="A109" s="148">
        <v>39</v>
      </c>
      <c r="B109" s="148">
        <f t="shared" si="21"/>
        <v>39</v>
      </c>
      <c r="C109" s="149">
        <v>46167</v>
      </c>
      <c r="D109" s="148" t="s">
        <v>97</v>
      </c>
      <c r="G109" s="149">
        <v>46173.583333333336</v>
      </c>
      <c r="H109" s="148" t="s">
        <v>55</v>
      </c>
      <c r="I109" s="150">
        <f t="shared" si="22"/>
        <v>619</v>
      </c>
      <c r="J109" s="34" t="str">
        <f t="shared" si="23"/>
        <v>Too early</v>
      </c>
      <c r="K109" s="35" t="str">
        <f t="shared" si="38"/>
        <v>Too early</v>
      </c>
      <c r="L109" s="36">
        <f t="shared" si="24"/>
        <v>39100.5</v>
      </c>
      <c r="M109" s="37">
        <f t="shared" si="25"/>
        <v>51667</v>
      </c>
      <c r="N109" s="197">
        <f t="shared" si="26"/>
        <v>0.75677898852265468</v>
      </c>
      <c r="O109" s="35" t="str">
        <f t="shared" si="27"/>
        <v>Too early</v>
      </c>
      <c r="P109" s="245">
        <v>62</v>
      </c>
      <c r="Q109" s="210" t="str">
        <f>IF(B109&lt;7,(P109/VLOOKUP(B109,'Sales Pacing'!$A$23:$E$36,2)),"Too early")</f>
        <v>Too early</v>
      </c>
      <c r="R109" s="228">
        <v>2749</v>
      </c>
      <c r="S109" s="232">
        <v>20000</v>
      </c>
      <c r="T109" s="239">
        <f t="shared" si="28"/>
        <v>0.13744999999999999</v>
      </c>
      <c r="U109" s="211" t="str">
        <f t="shared" si="32"/>
        <v>Too early</v>
      </c>
      <c r="V109" s="224">
        <v>557</v>
      </c>
      <c r="W109" s="228">
        <v>36351.5</v>
      </c>
      <c r="X109" s="232">
        <v>31667</v>
      </c>
      <c r="Y109" s="211">
        <f t="shared" si="29"/>
        <v>1.1479300217892443</v>
      </c>
      <c r="Z109" s="235">
        <v>1590</v>
      </c>
      <c r="AA109" s="211">
        <f t="shared" si="35"/>
        <v>0.38930817610062896</v>
      </c>
      <c r="AB109" s="212">
        <f t="shared" si="30"/>
        <v>63.167205169628431</v>
      </c>
      <c r="AC109" s="220"/>
      <c r="AD109" s="220"/>
      <c r="AE109" s="220"/>
      <c r="AF109" s="350">
        <v>38544.1</v>
      </c>
      <c r="AG109" s="352">
        <f t="shared" si="31"/>
        <v>556.40000000000146</v>
      </c>
    </row>
    <row r="110" spans="1:44" s="144" customFormat="1" x14ac:dyDescent="0.35">
      <c r="A110" s="144">
        <v>40</v>
      </c>
      <c r="B110" s="144">
        <f t="shared" si="21"/>
        <v>40</v>
      </c>
      <c r="C110" s="145">
        <v>46174</v>
      </c>
      <c r="D110" s="144" t="s">
        <v>98</v>
      </c>
      <c r="G110" s="145">
        <v>46177.833333333336</v>
      </c>
      <c r="H110" s="144" t="s">
        <v>61</v>
      </c>
      <c r="I110" s="38">
        <f t="shared" si="22"/>
        <v>20</v>
      </c>
      <c r="J110" s="39" t="str">
        <f t="shared" si="23"/>
        <v>Too early</v>
      </c>
      <c r="K110" s="32" t="str">
        <f t="shared" si="38"/>
        <v>Too early</v>
      </c>
      <c r="L110" s="40">
        <f t="shared" si="24"/>
        <v>2100</v>
      </c>
      <c r="M110" s="33">
        <v>9000</v>
      </c>
      <c r="N110" s="196">
        <f t="shared" si="26"/>
        <v>0.23333333333333334</v>
      </c>
      <c r="O110" s="32" t="str">
        <f t="shared" si="27"/>
        <v>Too early</v>
      </c>
      <c r="P110" s="223">
        <v>20</v>
      </c>
      <c r="Q110" s="207" t="str">
        <f>IF(B110&lt;7,(P110/VLOOKUP(B110,'Sales Pacing'!$A$23:$E$36,2)),"Too early")</f>
        <v>Too early</v>
      </c>
      <c r="R110" s="227">
        <v>2100</v>
      </c>
      <c r="S110" s="231">
        <v>9000</v>
      </c>
      <c r="T110" s="238">
        <f t="shared" si="28"/>
        <v>0.23333333333333334</v>
      </c>
      <c r="U110" s="208" t="str">
        <f t="shared" si="32"/>
        <v>Too early</v>
      </c>
      <c r="V110" s="223"/>
      <c r="W110" s="227"/>
      <c r="X110" s="231"/>
      <c r="Y110" s="208" t="str">
        <f t="shared" si="29"/>
        <v/>
      </c>
      <c r="Z110" s="234">
        <v>100</v>
      </c>
      <c r="AA110" s="208">
        <f t="shared" si="35"/>
        <v>0.2</v>
      </c>
      <c r="AB110" s="209">
        <f t="shared" si="30"/>
        <v>105</v>
      </c>
      <c r="AC110" s="219"/>
      <c r="AD110" s="219"/>
      <c r="AE110" s="219"/>
      <c r="AF110" s="348">
        <v>2100</v>
      </c>
      <c r="AG110" s="352">
        <f t="shared" si="31"/>
        <v>0</v>
      </c>
    </row>
    <row r="111" spans="1:44" s="144" customFormat="1" x14ac:dyDescent="0.35">
      <c r="A111" s="144">
        <v>40</v>
      </c>
      <c r="B111" s="144">
        <f t="shared" si="21"/>
        <v>40</v>
      </c>
      <c r="C111" s="145">
        <v>46174</v>
      </c>
      <c r="D111" s="144" t="s">
        <v>99</v>
      </c>
      <c r="G111" s="145">
        <v>46178.833333333336</v>
      </c>
      <c r="H111" s="144" t="s">
        <v>55</v>
      </c>
      <c r="I111" s="38">
        <f t="shared" si="22"/>
        <v>618</v>
      </c>
      <c r="J111" s="39" t="str">
        <f t="shared" si="23"/>
        <v>Too early</v>
      </c>
      <c r="K111" s="32" t="str">
        <f t="shared" si="38"/>
        <v>Too early</v>
      </c>
      <c r="L111" s="40">
        <f t="shared" si="24"/>
        <v>40824.300000000003</v>
      </c>
      <c r="M111" s="33">
        <f t="shared" si="25"/>
        <v>66666</v>
      </c>
      <c r="N111" s="196">
        <f t="shared" si="26"/>
        <v>0.61237062370623707</v>
      </c>
      <c r="O111" s="32" t="str">
        <f t="shared" si="27"/>
        <v>Too early</v>
      </c>
      <c r="P111" s="243">
        <v>43</v>
      </c>
      <c r="Q111" s="207" t="str">
        <f>IF(B111&lt;7,(P111/VLOOKUP(B111,'Sales Pacing'!$A$23:$E$36,2)),"Too early")</f>
        <v>Too early</v>
      </c>
      <c r="R111" s="227">
        <v>2124</v>
      </c>
      <c r="S111" s="231">
        <v>30000</v>
      </c>
      <c r="T111" s="238">
        <f t="shared" si="28"/>
        <v>7.0800000000000002E-2</v>
      </c>
      <c r="U111" s="208" t="str">
        <f t="shared" si="32"/>
        <v>Too early</v>
      </c>
      <c r="V111" s="223">
        <v>575</v>
      </c>
      <c r="W111" s="227">
        <v>38700.300000000003</v>
      </c>
      <c r="X111" s="231">
        <v>36666</v>
      </c>
      <c r="Y111" s="208">
        <f t="shared" si="29"/>
        <v>1.0554819178530519</v>
      </c>
      <c r="Z111" s="234">
        <v>1590</v>
      </c>
      <c r="AA111" s="208">
        <f t="shared" si="35"/>
        <v>0.38867924528301889</v>
      </c>
      <c r="AB111" s="209">
        <f t="shared" si="30"/>
        <v>66.058737864077671</v>
      </c>
      <c r="AC111" s="219"/>
      <c r="AD111" s="219"/>
      <c r="AE111" s="219"/>
      <c r="AF111" s="348">
        <v>40824.300000000003</v>
      </c>
      <c r="AG111" s="352">
        <f t="shared" si="31"/>
        <v>0</v>
      </c>
    </row>
    <row r="112" spans="1:44" s="144" customFormat="1" x14ac:dyDescent="0.35">
      <c r="A112" s="144">
        <v>40</v>
      </c>
      <c r="B112" s="144">
        <f t="shared" si="21"/>
        <v>40</v>
      </c>
      <c r="C112" s="145">
        <v>46174</v>
      </c>
      <c r="D112" s="144" t="s">
        <v>99</v>
      </c>
      <c r="G112" s="145">
        <v>46179.833333333336</v>
      </c>
      <c r="H112" s="144" t="s">
        <v>55</v>
      </c>
      <c r="I112" s="38">
        <f t="shared" si="22"/>
        <v>658</v>
      </c>
      <c r="J112" s="39" t="str">
        <f t="shared" si="23"/>
        <v>Too early</v>
      </c>
      <c r="K112" s="32" t="str">
        <f t="shared" si="38"/>
        <v>Too early</v>
      </c>
      <c r="L112" s="40">
        <f t="shared" si="24"/>
        <v>44284.9</v>
      </c>
      <c r="M112" s="33">
        <f t="shared" si="25"/>
        <v>66667</v>
      </c>
      <c r="N112" s="196">
        <f t="shared" si="26"/>
        <v>0.66427017864910676</v>
      </c>
      <c r="O112" s="32" t="str">
        <f t="shared" si="27"/>
        <v>Too early</v>
      </c>
      <c r="P112" s="243">
        <v>67</v>
      </c>
      <c r="Q112" s="207" t="str">
        <f>IF(B112&lt;7,(P112/VLOOKUP(B112,'Sales Pacing'!$A$23:$E$36,2)),"Too early")</f>
        <v>Too early</v>
      </c>
      <c r="R112" s="227">
        <v>3828</v>
      </c>
      <c r="S112" s="231">
        <v>30000</v>
      </c>
      <c r="T112" s="238">
        <f t="shared" si="28"/>
        <v>0.12759999999999999</v>
      </c>
      <c r="U112" s="208" t="str">
        <f t="shared" si="32"/>
        <v>Too early</v>
      </c>
      <c r="V112" s="223">
        <v>591</v>
      </c>
      <c r="W112" s="227">
        <v>40456.9</v>
      </c>
      <c r="X112" s="231">
        <v>36667</v>
      </c>
      <c r="Y112" s="208">
        <f t="shared" si="29"/>
        <v>1.1033599694548233</v>
      </c>
      <c r="Z112" s="234">
        <v>1590</v>
      </c>
      <c r="AA112" s="208">
        <f t="shared" si="35"/>
        <v>0.4138364779874214</v>
      </c>
      <c r="AB112" s="209">
        <f t="shared" si="30"/>
        <v>67.302279635258358</v>
      </c>
      <c r="AC112" s="219"/>
      <c r="AD112" s="219"/>
      <c r="AE112" s="219"/>
      <c r="AF112" s="348">
        <v>44118.400000000001</v>
      </c>
      <c r="AG112" s="352">
        <f t="shared" si="31"/>
        <v>166.5</v>
      </c>
    </row>
    <row r="113" spans="1:33" s="148" customFormat="1" x14ac:dyDescent="0.35">
      <c r="A113" s="148">
        <v>40</v>
      </c>
      <c r="B113" s="148">
        <f t="shared" si="21"/>
        <v>40</v>
      </c>
      <c r="C113" s="149">
        <v>46174</v>
      </c>
      <c r="D113" s="148" t="s">
        <v>99</v>
      </c>
      <c r="G113" s="149">
        <v>46180.583333333336</v>
      </c>
      <c r="H113" s="148" t="s">
        <v>55</v>
      </c>
      <c r="I113" s="150">
        <f t="shared" si="22"/>
        <v>699</v>
      </c>
      <c r="J113" s="34" t="str">
        <f t="shared" si="23"/>
        <v>Too early</v>
      </c>
      <c r="K113" s="35" t="str">
        <f t="shared" si="38"/>
        <v>Too early</v>
      </c>
      <c r="L113" s="36">
        <f t="shared" si="24"/>
        <v>44558.6</v>
      </c>
      <c r="M113" s="37">
        <f t="shared" si="25"/>
        <v>66667</v>
      </c>
      <c r="N113" s="197">
        <f t="shared" si="26"/>
        <v>0.6683756581217094</v>
      </c>
      <c r="O113" s="35" t="str">
        <f t="shared" si="27"/>
        <v>Too early</v>
      </c>
      <c r="P113" s="245">
        <v>72</v>
      </c>
      <c r="Q113" s="210" t="str">
        <f>IF(B113&lt;7,(P113/VLOOKUP(B113,'Sales Pacing'!$A$23:$E$36,2)),"Too early")</f>
        <v>Too early</v>
      </c>
      <c r="R113" s="228">
        <v>4109</v>
      </c>
      <c r="S113" s="232">
        <v>30000</v>
      </c>
      <c r="T113" s="239">
        <f t="shared" si="28"/>
        <v>0.13696666666666665</v>
      </c>
      <c r="U113" s="211" t="str">
        <f t="shared" si="32"/>
        <v>Too early</v>
      </c>
      <c r="V113" s="224">
        <v>627</v>
      </c>
      <c r="W113" s="228">
        <v>40449.599999999999</v>
      </c>
      <c r="X113" s="232">
        <v>36667</v>
      </c>
      <c r="Y113" s="211">
        <f t="shared" si="29"/>
        <v>1.1031608803556332</v>
      </c>
      <c r="Z113" s="235">
        <v>1590</v>
      </c>
      <c r="AA113" s="211">
        <f t="shared" si="35"/>
        <v>0.43962264150943398</v>
      </c>
      <c r="AB113" s="212">
        <f t="shared" si="30"/>
        <v>63.746208869814019</v>
      </c>
      <c r="AC113" s="220"/>
      <c r="AD113" s="220"/>
      <c r="AE113" s="220"/>
      <c r="AF113" s="350">
        <v>44193.599999999999</v>
      </c>
      <c r="AG113" s="352">
        <f t="shared" si="31"/>
        <v>365</v>
      </c>
    </row>
    <row r="114" spans="1:33" s="187" customFormat="1" x14ac:dyDescent="0.35">
      <c r="A114" s="187">
        <v>41</v>
      </c>
      <c r="B114" s="187">
        <f t="shared" si="21"/>
        <v>41</v>
      </c>
      <c r="C114" s="188">
        <v>46181</v>
      </c>
      <c r="D114" s="187" t="s">
        <v>64</v>
      </c>
      <c r="G114" s="199"/>
      <c r="H114" s="200"/>
      <c r="I114" s="201">
        <f t="shared" si="22"/>
        <v>0</v>
      </c>
      <c r="J114" s="202" t="str">
        <f t="shared" si="23"/>
        <v>Too early</v>
      </c>
      <c r="K114" s="203"/>
      <c r="L114" s="204">
        <f t="shared" si="24"/>
        <v>0</v>
      </c>
      <c r="M114" s="205">
        <f t="shared" si="25"/>
        <v>0</v>
      </c>
      <c r="N114" s="206" t="e">
        <f t="shared" si="26"/>
        <v>#DIV/0!</v>
      </c>
      <c r="O114" s="203"/>
      <c r="P114" s="225"/>
      <c r="Q114" s="213" t="str">
        <f>IF(B114&lt;7,(P114/VLOOKUP(B114,'Sales Pacing'!$A$23:$E$36,2)),"Too early")</f>
        <v>Too early</v>
      </c>
      <c r="R114" s="229"/>
      <c r="S114" s="229"/>
      <c r="T114" s="240" t="str">
        <f t="shared" si="28"/>
        <v/>
      </c>
      <c r="U114" s="214"/>
      <c r="V114" s="225"/>
      <c r="W114" s="229"/>
      <c r="X114" s="229"/>
      <c r="Y114" s="214" t="s">
        <v>48</v>
      </c>
      <c r="Z114" s="225"/>
      <c r="AA114" s="214" t="e">
        <f t="shared" si="35"/>
        <v>#DIV/0!</v>
      </c>
      <c r="AB114" s="215" t="e">
        <f t="shared" si="30"/>
        <v>#DIV/0!</v>
      </c>
      <c r="AC114" s="221"/>
      <c r="AD114" s="221"/>
      <c r="AE114" s="221"/>
      <c r="AF114" s="349">
        <v>0</v>
      </c>
    </row>
    <row r="115" spans="1:33" s="144" customFormat="1" x14ac:dyDescent="0.35">
      <c r="A115" s="144">
        <v>42</v>
      </c>
      <c r="B115" s="144">
        <f t="shared" si="21"/>
        <v>42</v>
      </c>
      <c r="C115" s="178">
        <v>46188</v>
      </c>
      <c r="D115" s="179" t="s">
        <v>100</v>
      </c>
      <c r="E115" s="179"/>
      <c r="F115" s="179"/>
      <c r="G115" s="178">
        <v>46192.833333333336</v>
      </c>
      <c r="H115" s="179" t="s">
        <v>55</v>
      </c>
      <c r="I115" s="38">
        <f t="shared" si="22"/>
        <v>453</v>
      </c>
      <c r="J115" s="39" t="str">
        <f t="shared" si="23"/>
        <v>Too early</v>
      </c>
      <c r="K115" s="32" t="str">
        <f>IF(J115="Too early",J115,J115/Z115)</f>
        <v>Too early</v>
      </c>
      <c r="L115" s="40">
        <f t="shared" si="24"/>
        <v>30715</v>
      </c>
      <c r="M115" s="33">
        <f t="shared" si="25"/>
        <v>60000</v>
      </c>
      <c r="N115" s="196">
        <f t="shared" si="26"/>
        <v>0.51191666666666669</v>
      </c>
      <c r="O115" s="32" t="str">
        <f t="shared" si="27"/>
        <v>Too early</v>
      </c>
      <c r="P115" s="243">
        <v>77</v>
      </c>
      <c r="Q115" s="207" t="str">
        <f>IF(B115&lt;7,(P115/VLOOKUP(B115,'Sales Pacing'!$A$23:$E$36,2)),"Too early")</f>
        <v>Too early</v>
      </c>
      <c r="R115" s="227">
        <v>4547</v>
      </c>
      <c r="S115" s="231">
        <v>30000</v>
      </c>
      <c r="T115" s="238">
        <f t="shared" si="28"/>
        <v>0.15156666666666666</v>
      </c>
      <c r="U115" s="208" t="str">
        <f t="shared" si="32"/>
        <v>Too early</v>
      </c>
      <c r="V115" s="223">
        <v>376</v>
      </c>
      <c r="W115" s="227">
        <v>26168</v>
      </c>
      <c r="X115" s="231">
        <v>30000</v>
      </c>
      <c r="Y115" s="208">
        <f t="shared" si="29"/>
        <v>0.87226666666666663</v>
      </c>
      <c r="Z115" s="234">
        <v>1590</v>
      </c>
      <c r="AA115" s="208">
        <f t="shared" si="35"/>
        <v>0.28490566037735848</v>
      </c>
      <c r="AB115" s="209">
        <f t="shared" si="30"/>
        <v>67.803532008830018</v>
      </c>
      <c r="AC115" s="219"/>
      <c r="AD115" s="219"/>
      <c r="AE115" s="219"/>
      <c r="AF115" s="348">
        <v>30411</v>
      </c>
      <c r="AG115" s="352">
        <f t="shared" si="31"/>
        <v>304</v>
      </c>
    </row>
    <row r="116" spans="1:33" s="144" customFormat="1" x14ac:dyDescent="0.35">
      <c r="A116" s="144">
        <v>42</v>
      </c>
      <c r="B116" s="144">
        <f t="shared" si="21"/>
        <v>42</v>
      </c>
      <c r="C116" s="145">
        <v>46188</v>
      </c>
      <c r="D116" s="144" t="s">
        <v>100</v>
      </c>
      <c r="G116" s="145">
        <v>46193.833333333336</v>
      </c>
      <c r="H116" s="144" t="s">
        <v>55</v>
      </c>
      <c r="I116" s="38">
        <f t="shared" si="22"/>
        <v>753</v>
      </c>
      <c r="J116" s="39" t="str">
        <f t="shared" si="23"/>
        <v>Too early</v>
      </c>
      <c r="K116" s="32" t="str">
        <f>IF(J116="Too early",J116,J116/Z116)</f>
        <v>Too early</v>
      </c>
      <c r="L116" s="40">
        <f t="shared" si="24"/>
        <v>48379</v>
      </c>
      <c r="M116" s="33">
        <f t="shared" si="25"/>
        <v>70000</v>
      </c>
      <c r="N116" s="196">
        <f t="shared" si="26"/>
        <v>0.69112857142857143</v>
      </c>
      <c r="O116" s="32" t="str">
        <f t="shared" si="27"/>
        <v>Too early</v>
      </c>
      <c r="P116" s="243">
        <v>175</v>
      </c>
      <c r="Q116" s="207" t="str">
        <f>IF(B116&lt;7,(P116/VLOOKUP(B116,'Sales Pacing'!$A$23:$E$36,2)),"Too early")</f>
        <v>Too early</v>
      </c>
      <c r="R116" s="227">
        <v>10702</v>
      </c>
      <c r="S116" s="231">
        <v>27500</v>
      </c>
      <c r="T116" s="238">
        <f t="shared" si="28"/>
        <v>0.38916363636363638</v>
      </c>
      <c r="U116" s="208" t="str">
        <f t="shared" si="32"/>
        <v>Too early</v>
      </c>
      <c r="V116" s="223">
        <v>578</v>
      </c>
      <c r="W116" s="227">
        <v>37677</v>
      </c>
      <c r="X116" s="231">
        <v>42500</v>
      </c>
      <c r="Y116" s="208">
        <f t="shared" si="29"/>
        <v>0.88651764705882352</v>
      </c>
      <c r="Z116" s="234">
        <v>1590</v>
      </c>
      <c r="AA116" s="208">
        <f t="shared" si="35"/>
        <v>0.47358490566037736</v>
      </c>
      <c r="AB116" s="209">
        <f t="shared" si="30"/>
        <v>64.24833997343957</v>
      </c>
      <c r="AC116" s="219"/>
      <c r="AD116" s="219"/>
      <c r="AE116" s="219"/>
      <c r="AF116" s="348">
        <v>47639</v>
      </c>
      <c r="AG116" s="352">
        <f t="shared" si="31"/>
        <v>740</v>
      </c>
    </row>
    <row r="117" spans="1:33" s="148" customFormat="1" x14ac:dyDescent="0.35">
      <c r="A117" s="148">
        <v>42</v>
      </c>
      <c r="B117" s="148">
        <f t="shared" si="21"/>
        <v>42</v>
      </c>
      <c r="C117" s="149">
        <v>46188</v>
      </c>
      <c r="D117" s="148" t="s">
        <v>100</v>
      </c>
      <c r="G117" s="149">
        <v>46194.583333333336</v>
      </c>
      <c r="H117" s="148" t="s">
        <v>55</v>
      </c>
      <c r="I117" s="150">
        <f t="shared" si="22"/>
        <v>719</v>
      </c>
      <c r="J117" s="34" t="str">
        <f t="shared" si="23"/>
        <v>Too early</v>
      </c>
      <c r="K117" s="35" t="str">
        <f>IF(J117="Too early",J117,J117/Z117)</f>
        <v>Too early</v>
      </c>
      <c r="L117" s="36">
        <f t="shared" si="24"/>
        <v>45890</v>
      </c>
      <c r="M117" s="37">
        <f t="shared" si="25"/>
        <v>70000</v>
      </c>
      <c r="N117" s="197">
        <f t="shared" si="26"/>
        <v>0.65557142857142858</v>
      </c>
      <c r="O117" s="35" t="str">
        <f t="shared" si="27"/>
        <v>Too early</v>
      </c>
      <c r="P117" s="245">
        <v>167</v>
      </c>
      <c r="Q117" s="210" t="str">
        <f>IF(B117&lt;7,(P117/VLOOKUP(B117,'Sales Pacing'!$A$23:$E$36,2)),"Too early")</f>
        <v>Too early</v>
      </c>
      <c r="R117" s="228">
        <v>9899</v>
      </c>
      <c r="S117" s="232">
        <v>27500</v>
      </c>
      <c r="T117" s="239">
        <f t="shared" si="28"/>
        <v>0.35996363636363637</v>
      </c>
      <c r="U117" s="211" t="str">
        <f t="shared" si="32"/>
        <v>Too early</v>
      </c>
      <c r="V117" s="224">
        <v>552</v>
      </c>
      <c r="W117" s="228">
        <v>35991</v>
      </c>
      <c r="X117" s="232">
        <v>42500</v>
      </c>
      <c r="Y117" s="211">
        <f t="shared" si="29"/>
        <v>0.8468470588235294</v>
      </c>
      <c r="Z117" s="235">
        <v>1590</v>
      </c>
      <c r="AA117" s="211">
        <f t="shared" si="35"/>
        <v>0.45220125786163523</v>
      </c>
      <c r="AB117" s="212">
        <f t="shared" si="30"/>
        <v>63.824756606397777</v>
      </c>
      <c r="AC117" s="220"/>
      <c r="AD117" s="220"/>
      <c r="AE117" s="220"/>
      <c r="AF117" s="350">
        <v>44786</v>
      </c>
      <c r="AG117" s="354">
        <f t="shared" si="31"/>
        <v>1104</v>
      </c>
    </row>
    <row r="118" spans="1:33" ht="14.4" x14ac:dyDescent="0.3">
      <c r="A118" s="385"/>
      <c r="B118" s="385"/>
      <c r="C118" s="385"/>
      <c r="D118" s="385"/>
      <c r="E118" s="1"/>
      <c r="F118" s="1"/>
      <c r="G118" s="1"/>
      <c r="H118" s="1"/>
      <c r="I118" s="5"/>
      <c r="J118" s="1"/>
      <c r="K118" s="1"/>
      <c r="L118" s="19"/>
      <c r="M118" s="19"/>
      <c r="N118" s="19"/>
      <c r="O118" s="20"/>
      <c r="P118" s="21"/>
      <c r="Q118" s="22"/>
      <c r="R118" s="19"/>
      <c r="S118" s="19"/>
      <c r="T118" s="19"/>
      <c r="U118" s="1"/>
      <c r="V118" s="5"/>
      <c r="W118" s="19"/>
      <c r="X118" s="23"/>
      <c r="Y118" s="19"/>
      <c r="Z118" s="18"/>
      <c r="AA118" s="20"/>
      <c r="AB118" s="20"/>
      <c r="AC118" s="24"/>
      <c r="AD118" s="19"/>
      <c r="AE118" s="25"/>
      <c r="AG118" s="355">
        <f>SUM(AG6:AG117)</f>
        <v>101546.10000000003</v>
      </c>
    </row>
    <row r="119" spans="1:33" ht="14.4" x14ac:dyDescent="0.3">
      <c r="A119" s="1"/>
      <c r="B119" s="1"/>
      <c r="C119" s="1"/>
      <c r="D119" s="322" t="s">
        <v>101</v>
      </c>
      <c r="E119" s="323"/>
      <c r="F119" s="323"/>
      <c r="G119" s="323"/>
      <c r="H119" s="323"/>
      <c r="I119" s="324">
        <f t="shared" ref="I119:I125" si="39">SUMIF($H$118:$H$167,D119,$I$118:$I$167)</f>
        <v>0</v>
      </c>
      <c r="J119" s="325">
        <f>I119</f>
        <v>0</v>
      </c>
      <c r="K119" s="32"/>
      <c r="L119" s="45">
        <f t="shared" ref="L119:L125" si="40">SUMIF($H$118:$H$167,D119,$L$118:$L$167)</f>
        <v>0</v>
      </c>
      <c r="M119" s="45">
        <v>2139000</v>
      </c>
      <c r="N119" s="193"/>
      <c r="O119" s="32" t="str">
        <f>IF(L119&gt;0,L119/M119,"")</f>
        <v/>
      </c>
      <c r="P119" s="44">
        <f t="shared" ref="P119:P125" si="41">SUMIF($H$118:$H$167,$D119,P$118:P$167)</f>
        <v>0</v>
      </c>
      <c r="Q119" s="44">
        <f>P119</f>
        <v>0</v>
      </c>
      <c r="R119" s="45">
        <f t="shared" ref="R119:R125" si="42">SUMIF($H$118:$H$167,$D119,R$118:R$167)</f>
        <v>0</v>
      </c>
      <c r="S119" s="45">
        <v>704000</v>
      </c>
      <c r="T119" s="193"/>
      <c r="U119" s="32" t="str">
        <f>IF(R119&gt;0,R119/S119,"")</f>
        <v/>
      </c>
      <c r="V119" s="43">
        <f t="shared" ref="V119:W125" si="43">SUMIF($H$118:$H$167,$D119,V$118:V$167)</f>
        <v>0</v>
      </c>
      <c r="W119" s="45">
        <f t="shared" si="43"/>
        <v>0</v>
      </c>
      <c r="X119" s="46">
        <v>1435000</v>
      </c>
      <c r="Y119" s="32" t="str">
        <f>IF(W119&gt;0,W119/X119,"")</f>
        <v/>
      </c>
      <c r="Z119" s="43">
        <f t="shared" ref="Z119:Z125" si="44">SUMIF($H$118:$H$167,D119,$Z$118:$Z$167)</f>
        <v>0</v>
      </c>
      <c r="AA119" s="47" t="e">
        <f t="shared" ref="AA119:AA126" si="45">I119/Z119</f>
        <v>#DIV/0!</v>
      </c>
      <c r="AB119" s="48" t="e">
        <f t="shared" ref="AB119:AB126" si="46">L119/I119</f>
        <v>#DIV/0!</v>
      </c>
      <c r="AC119" s="49"/>
      <c r="AD119" s="50"/>
      <c r="AE119" s="51"/>
    </row>
    <row r="120" spans="1:33" ht="14.4" x14ac:dyDescent="0.3">
      <c r="A120" s="1"/>
      <c r="B120" s="1"/>
      <c r="C120" s="1"/>
      <c r="D120" s="334" t="s">
        <v>102</v>
      </c>
      <c r="E120" s="335"/>
      <c r="F120" s="335"/>
      <c r="G120" s="335"/>
      <c r="H120" s="335"/>
      <c r="I120" s="336">
        <f t="shared" si="39"/>
        <v>0</v>
      </c>
      <c r="J120" s="337">
        <f t="shared" ref="J120:J125" si="47">I120</f>
        <v>0</v>
      </c>
      <c r="K120" s="32"/>
      <c r="L120" s="45">
        <f t="shared" si="40"/>
        <v>0</v>
      </c>
      <c r="M120" s="45">
        <v>363000</v>
      </c>
      <c r="N120" s="193"/>
      <c r="O120" s="32" t="str">
        <f t="shared" ref="O120:O126" si="48">IF(L120&gt;0,L120/M120,"")</f>
        <v/>
      </c>
      <c r="P120" s="44">
        <f t="shared" si="41"/>
        <v>0</v>
      </c>
      <c r="Q120" s="44">
        <f t="shared" ref="Q120:Q125" si="49">P120</f>
        <v>0</v>
      </c>
      <c r="R120" s="45">
        <f t="shared" si="42"/>
        <v>0</v>
      </c>
      <c r="S120" s="45">
        <v>163000</v>
      </c>
      <c r="T120" s="193"/>
      <c r="U120" s="32" t="str">
        <f t="shared" ref="U120:U126" si="50">IF(R120&gt;0,R120/S120,"")</f>
        <v/>
      </c>
      <c r="V120" s="43">
        <f t="shared" si="43"/>
        <v>0</v>
      </c>
      <c r="W120" s="45">
        <f t="shared" si="43"/>
        <v>0</v>
      </c>
      <c r="X120" s="46">
        <v>200000</v>
      </c>
      <c r="Y120" s="32" t="str">
        <f t="shared" ref="Y120:Y125" si="51">IF(W120&gt;0,W120/X120,"")</f>
        <v/>
      </c>
      <c r="Z120" s="43">
        <f t="shared" si="44"/>
        <v>0</v>
      </c>
      <c r="AA120" s="47" t="e">
        <f t="shared" si="45"/>
        <v>#DIV/0!</v>
      </c>
      <c r="AB120" s="52" t="e">
        <f t="shared" si="46"/>
        <v>#DIV/0!</v>
      </c>
      <c r="AC120" s="49"/>
      <c r="AD120" s="50"/>
      <c r="AE120" s="51"/>
    </row>
    <row r="121" spans="1:33" ht="14.4" x14ac:dyDescent="0.3">
      <c r="A121" s="1"/>
      <c r="B121" s="1"/>
      <c r="C121" s="1"/>
      <c r="D121" s="334" t="s">
        <v>103</v>
      </c>
      <c r="E121" s="335"/>
      <c r="F121" s="335"/>
      <c r="G121" s="335"/>
      <c r="H121" s="335"/>
      <c r="I121" s="336">
        <f t="shared" si="39"/>
        <v>0</v>
      </c>
      <c r="J121" s="337">
        <f t="shared" si="47"/>
        <v>0</v>
      </c>
      <c r="K121" s="32"/>
      <c r="L121" s="45">
        <f t="shared" si="40"/>
        <v>0</v>
      </c>
      <c r="M121" s="53">
        <v>1457000</v>
      </c>
      <c r="N121" s="194"/>
      <c r="O121" s="32" t="str">
        <f t="shared" si="48"/>
        <v/>
      </c>
      <c r="P121" s="44">
        <f t="shared" si="41"/>
        <v>0</v>
      </c>
      <c r="Q121" s="44">
        <f t="shared" si="49"/>
        <v>0</v>
      </c>
      <c r="R121" s="45">
        <f t="shared" si="42"/>
        <v>0</v>
      </c>
      <c r="S121" s="53">
        <v>838000</v>
      </c>
      <c r="T121" s="194"/>
      <c r="U121" s="32" t="str">
        <f t="shared" si="50"/>
        <v/>
      </c>
      <c r="V121" s="43">
        <f t="shared" si="43"/>
        <v>0</v>
      </c>
      <c r="W121" s="45">
        <f t="shared" si="43"/>
        <v>0</v>
      </c>
      <c r="X121" s="46">
        <v>619000</v>
      </c>
      <c r="Y121" s="32" t="str">
        <f t="shared" si="51"/>
        <v/>
      </c>
      <c r="Z121" s="43">
        <f t="shared" si="44"/>
        <v>0</v>
      </c>
      <c r="AA121" s="54" t="e">
        <f t="shared" si="45"/>
        <v>#DIV/0!</v>
      </c>
      <c r="AB121" s="48" t="e">
        <f t="shared" si="46"/>
        <v>#DIV/0!</v>
      </c>
      <c r="AC121" s="49"/>
      <c r="AD121" s="50"/>
      <c r="AE121" s="51"/>
    </row>
    <row r="122" spans="1:33" ht="14.4" x14ac:dyDescent="0.3">
      <c r="A122" s="1"/>
      <c r="B122" s="1"/>
      <c r="C122" s="1"/>
      <c r="D122" s="330" t="s">
        <v>104</v>
      </c>
      <c r="E122" s="331"/>
      <c r="F122" s="331"/>
      <c r="G122" s="331"/>
      <c r="H122" s="331"/>
      <c r="I122" s="332">
        <f t="shared" si="39"/>
        <v>0</v>
      </c>
      <c r="J122" s="333">
        <f t="shared" si="47"/>
        <v>0</v>
      </c>
      <c r="K122" s="32"/>
      <c r="L122" s="45">
        <f t="shared" si="40"/>
        <v>0</v>
      </c>
      <c r="M122" s="53">
        <v>525950</v>
      </c>
      <c r="N122" s="194"/>
      <c r="O122" s="32" t="str">
        <f t="shared" si="48"/>
        <v/>
      </c>
      <c r="P122" s="44">
        <f t="shared" si="41"/>
        <v>0</v>
      </c>
      <c r="Q122" s="44">
        <f t="shared" si="49"/>
        <v>0</v>
      </c>
      <c r="R122" s="45">
        <f t="shared" si="42"/>
        <v>0</v>
      </c>
      <c r="S122" s="53">
        <v>485000</v>
      </c>
      <c r="T122" s="194"/>
      <c r="U122" s="32" t="str">
        <f t="shared" si="50"/>
        <v/>
      </c>
      <c r="V122" s="43">
        <f t="shared" si="43"/>
        <v>0</v>
      </c>
      <c r="W122" s="45">
        <f t="shared" si="43"/>
        <v>0</v>
      </c>
      <c r="X122" s="46">
        <v>40950</v>
      </c>
      <c r="Y122" s="32" t="str">
        <f t="shared" si="51"/>
        <v/>
      </c>
      <c r="Z122" s="43">
        <f t="shared" si="44"/>
        <v>0</v>
      </c>
      <c r="AA122" s="54" t="e">
        <f t="shared" si="45"/>
        <v>#DIV/0!</v>
      </c>
      <c r="AB122" s="48" t="e">
        <f t="shared" si="46"/>
        <v>#DIV/0!</v>
      </c>
      <c r="AC122" s="49"/>
      <c r="AD122" s="50"/>
      <c r="AE122" s="51"/>
    </row>
    <row r="123" spans="1:33" ht="14.4" x14ac:dyDescent="0.3">
      <c r="A123" s="1"/>
      <c r="B123" s="1"/>
      <c r="C123" s="1"/>
      <c r="D123" s="326" t="s">
        <v>105</v>
      </c>
      <c r="E123" s="327"/>
      <c r="F123" s="327"/>
      <c r="G123" s="327"/>
      <c r="H123" s="327"/>
      <c r="I123" s="328">
        <f t="shared" si="39"/>
        <v>0</v>
      </c>
      <c r="J123" s="329">
        <f t="shared" si="47"/>
        <v>0</v>
      </c>
      <c r="K123" s="32"/>
      <c r="L123" s="45">
        <f t="shared" si="40"/>
        <v>0</v>
      </c>
      <c r="M123" s="57">
        <v>1745490</v>
      </c>
      <c r="N123" s="194"/>
      <c r="O123" s="32" t="str">
        <f t="shared" si="48"/>
        <v/>
      </c>
      <c r="P123" s="44">
        <f t="shared" si="41"/>
        <v>0</v>
      </c>
      <c r="Q123" s="44">
        <f t="shared" si="49"/>
        <v>0</v>
      </c>
      <c r="R123" s="45">
        <f t="shared" si="42"/>
        <v>0</v>
      </c>
      <c r="S123" s="57">
        <v>1745490</v>
      </c>
      <c r="T123" s="194"/>
      <c r="U123" s="32" t="str">
        <f t="shared" si="50"/>
        <v/>
      </c>
      <c r="V123" s="43">
        <f t="shared" si="43"/>
        <v>0</v>
      </c>
      <c r="W123" s="45">
        <f t="shared" si="43"/>
        <v>0</v>
      </c>
      <c r="X123" s="58">
        <v>0</v>
      </c>
      <c r="Y123" s="32" t="str">
        <f t="shared" si="51"/>
        <v/>
      </c>
      <c r="Z123" s="43">
        <f t="shared" si="44"/>
        <v>0</v>
      </c>
      <c r="AA123" s="54" t="e">
        <f t="shared" si="45"/>
        <v>#DIV/0!</v>
      </c>
      <c r="AB123" s="52" t="e">
        <f t="shared" si="46"/>
        <v>#DIV/0!</v>
      </c>
      <c r="AC123" s="59"/>
      <c r="AD123" s="60"/>
      <c r="AE123" s="61"/>
    </row>
    <row r="124" spans="1:33" ht="14.4" x14ac:dyDescent="0.3">
      <c r="A124" s="1"/>
      <c r="B124" s="1"/>
      <c r="C124" s="1"/>
      <c r="D124" s="326" t="s">
        <v>106</v>
      </c>
      <c r="E124" s="327"/>
      <c r="F124" s="327"/>
      <c r="G124" s="327"/>
      <c r="H124" s="327"/>
      <c r="I124" s="328">
        <f t="shared" si="39"/>
        <v>0</v>
      </c>
      <c r="J124" s="329">
        <f t="shared" si="47"/>
        <v>0</v>
      </c>
      <c r="K124" s="32"/>
      <c r="L124" s="45">
        <f t="shared" si="40"/>
        <v>0</v>
      </c>
      <c r="M124" s="62">
        <v>38200</v>
      </c>
      <c r="N124" s="193"/>
      <c r="O124" s="32" t="str">
        <f t="shared" si="48"/>
        <v/>
      </c>
      <c r="P124" s="44">
        <f t="shared" si="41"/>
        <v>0</v>
      </c>
      <c r="Q124" s="44">
        <f t="shared" si="49"/>
        <v>0</v>
      </c>
      <c r="R124" s="45">
        <f t="shared" si="42"/>
        <v>0</v>
      </c>
      <c r="S124" s="57">
        <v>38200</v>
      </c>
      <c r="T124" s="194"/>
      <c r="U124" s="32" t="str">
        <f t="shared" si="50"/>
        <v/>
      </c>
      <c r="V124" s="43">
        <f t="shared" si="43"/>
        <v>0</v>
      </c>
      <c r="W124" s="45">
        <f t="shared" si="43"/>
        <v>0</v>
      </c>
      <c r="X124" s="58">
        <v>0</v>
      </c>
      <c r="Y124" s="32" t="str">
        <f t="shared" si="51"/>
        <v/>
      </c>
      <c r="Z124" s="43">
        <f t="shared" si="44"/>
        <v>0</v>
      </c>
      <c r="AA124" s="54" t="e">
        <f t="shared" si="45"/>
        <v>#DIV/0!</v>
      </c>
      <c r="AB124" s="57" t="e">
        <f t="shared" si="46"/>
        <v>#DIV/0!</v>
      </c>
      <c r="AC124" s="59"/>
      <c r="AD124" s="60"/>
      <c r="AE124" s="61"/>
    </row>
    <row r="125" spans="1:33" ht="14.4" x14ac:dyDescent="0.3">
      <c r="A125" s="1"/>
      <c r="B125" s="1"/>
      <c r="C125" s="1"/>
      <c r="D125" s="326" t="s">
        <v>107</v>
      </c>
      <c r="E125" s="342"/>
      <c r="F125" s="342"/>
      <c r="G125" s="342"/>
      <c r="H125" s="342"/>
      <c r="I125" s="328">
        <f t="shared" si="39"/>
        <v>0</v>
      </c>
      <c r="J125" s="329">
        <f t="shared" si="47"/>
        <v>0</v>
      </c>
      <c r="K125" s="32"/>
      <c r="L125" s="45">
        <f t="shared" si="40"/>
        <v>0</v>
      </c>
      <c r="M125" s="53"/>
      <c r="N125" s="194"/>
      <c r="O125" s="32" t="str">
        <f t="shared" si="48"/>
        <v/>
      </c>
      <c r="P125" s="44">
        <f t="shared" si="41"/>
        <v>0</v>
      </c>
      <c r="Q125" s="44">
        <f t="shared" si="49"/>
        <v>0</v>
      </c>
      <c r="R125" s="45">
        <f t="shared" si="42"/>
        <v>0</v>
      </c>
      <c r="S125" s="53"/>
      <c r="T125" s="194"/>
      <c r="U125" s="32" t="str">
        <f t="shared" si="50"/>
        <v/>
      </c>
      <c r="V125" s="43">
        <f t="shared" si="43"/>
        <v>0</v>
      </c>
      <c r="W125" s="45">
        <f t="shared" si="43"/>
        <v>0</v>
      </c>
      <c r="X125" s="46">
        <v>0</v>
      </c>
      <c r="Y125" s="32" t="str">
        <f t="shared" si="51"/>
        <v/>
      </c>
      <c r="Z125" s="43">
        <f t="shared" si="44"/>
        <v>0</v>
      </c>
      <c r="AA125" s="47" t="e">
        <f t="shared" si="45"/>
        <v>#DIV/0!</v>
      </c>
      <c r="AB125" s="48" t="e">
        <f t="shared" si="46"/>
        <v>#DIV/0!</v>
      </c>
      <c r="AC125" s="49"/>
      <c r="AD125" s="50"/>
      <c r="AE125" s="64"/>
    </row>
    <row r="126" spans="1:33" ht="14.4" x14ac:dyDescent="0.3">
      <c r="A126" s="65"/>
      <c r="B126" s="65"/>
      <c r="C126" s="65"/>
      <c r="D126" s="338" t="s">
        <v>108</v>
      </c>
      <c r="E126" s="339"/>
      <c r="F126" s="339"/>
      <c r="G126" s="339"/>
      <c r="H126" s="339"/>
      <c r="I126" s="340">
        <f>SUM(I119:I125)</f>
        <v>0</v>
      </c>
      <c r="J126" s="341">
        <f>SUM(J119:J125)</f>
        <v>0</v>
      </c>
      <c r="K126" s="32"/>
      <c r="L126" s="68">
        <f>SUM(L119:L125)</f>
        <v>0</v>
      </c>
      <c r="M126" s="68">
        <f>SUM(M119:M125)</f>
        <v>6268640</v>
      </c>
      <c r="N126" s="195"/>
      <c r="O126" s="32" t="str">
        <f t="shared" si="48"/>
        <v/>
      </c>
      <c r="P126" s="68">
        <f>SUM(P119:P125)</f>
        <v>0</v>
      </c>
      <c r="Q126" s="68">
        <f>SUM(Q119:Q125)</f>
        <v>0</v>
      </c>
      <c r="R126" s="69">
        <f>SUM(R119:R125)</f>
        <v>0</v>
      </c>
      <c r="S126" s="70">
        <f>SUM(S119:S125)</f>
        <v>3973690</v>
      </c>
      <c r="T126" s="237"/>
      <c r="U126" s="32" t="str">
        <f t="shared" si="50"/>
        <v/>
      </c>
      <c r="V126" s="68">
        <f>SUM(V119,V120,V121,V122,V123,V124,V125)</f>
        <v>0</v>
      </c>
      <c r="W126" s="71">
        <f>SUM(W119,W120,W121,W122,W123,W124,W125)</f>
        <v>0</v>
      </c>
      <c r="X126" s="70">
        <v>2169893</v>
      </c>
      <c r="Y126" s="32" t="str">
        <f>IF(W126&gt;0,W126/X126,"")</f>
        <v/>
      </c>
      <c r="Z126" s="72">
        <f>SUM(Z119:Z125)</f>
        <v>0</v>
      </c>
      <c r="AA126" s="73" t="e">
        <f t="shared" si="45"/>
        <v>#DIV/0!</v>
      </c>
      <c r="AB126" s="74" t="e">
        <f t="shared" si="46"/>
        <v>#DIV/0!</v>
      </c>
      <c r="AC126" s="75"/>
      <c r="AD126" s="76"/>
      <c r="AE126" s="77"/>
    </row>
    <row r="127" spans="1:33" ht="14.4" x14ac:dyDescent="0.3">
      <c r="A127" s="1"/>
      <c r="B127" s="1"/>
      <c r="C127" s="1"/>
      <c r="D127" s="1"/>
      <c r="E127" s="1"/>
      <c r="F127" s="1"/>
      <c r="G127" s="1"/>
      <c r="H127" s="1"/>
      <c r="I127" s="78"/>
      <c r="J127" s="79"/>
      <c r="K127" s="78"/>
      <c r="L127" s="80"/>
      <c r="M127" s="80"/>
      <c r="N127" s="80"/>
      <c r="O127" s="1"/>
      <c r="P127" s="5"/>
      <c r="Q127" s="1"/>
      <c r="R127" s="81"/>
      <c r="S127" s="1"/>
      <c r="T127" s="1"/>
      <c r="U127" s="32"/>
      <c r="V127" s="5"/>
      <c r="W127" s="82"/>
      <c r="X127" s="82"/>
      <c r="Y127" s="32" t="str">
        <f>IF(W126&gt;0,W126/X127,"")</f>
        <v/>
      </c>
      <c r="Z127" s="5"/>
      <c r="AA127" s="1"/>
      <c r="AB127" s="1"/>
      <c r="AC127" s="1"/>
      <c r="AD127" s="1"/>
      <c r="AE127" s="1"/>
    </row>
    <row r="128" spans="1:33" ht="14.4" x14ac:dyDescent="0.3">
      <c r="A128" s="1"/>
      <c r="B128" s="1"/>
      <c r="C128" s="1"/>
      <c r="D128" s="1"/>
      <c r="E128" s="1"/>
      <c r="F128" s="1"/>
      <c r="G128" s="1"/>
      <c r="H128" s="1"/>
      <c r="I128" s="78"/>
      <c r="J128" s="83"/>
      <c r="K128" s="82"/>
      <c r="L128" s="82"/>
      <c r="M128" s="82"/>
      <c r="N128" s="82"/>
      <c r="O128" s="1"/>
      <c r="P128" s="5"/>
      <c r="Q128" s="1"/>
      <c r="R128" s="1"/>
      <c r="S128" s="1"/>
      <c r="T128" s="1"/>
      <c r="U128" s="32"/>
      <c r="V128" s="5"/>
      <c r="W128" s="82"/>
      <c r="X128" s="82"/>
      <c r="Y128" s="82"/>
      <c r="Z128" s="5"/>
      <c r="AA128" s="1"/>
      <c r="AB128" s="1"/>
      <c r="AC128" s="1"/>
      <c r="AD128" s="1"/>
      <c r="AE128" s="1"/>
    </row>
    <row r="129" spans="1:31" ht="14.4" x14ac:dyDescent="0.3">
      <c r="A129" s="385"/>
      <c r="B129" s="385"/>
      <c r="C129" s="385"/>
      <c r="D129" s="385"/>
      <c r="E129" s="1"/>
      <c r="F129" s="1"/>
      <c r="G129" s="1"/>
      <c r="H129" s="1"/>
      <c r="I129" s="5"/>
      <c r="J129" s="1"/>
      <c r="K129" s="1"/>
      <c r="L129" s="1"/>
      <c r="M129" s="1"/>
      <c r="N129" s="1"/>
      <c r="O129" s="1"/>
      <c r="P129" s="5"/>
      <c r="Q129" s="1"/>
      <c r="R129" s="1"/>
      <c r="S129" s="1"/>
      <c r="T129" s="1"/>
      <c r="U129" s="1"/>
      <c r="V129" s="5"/>
      <c r="W129" s="1"/>
      <c r="X129" s="1"/>
      <c r="Y129" s="1"/>
      <c r="Z129" s="5"/>
      <c r="AA129" s="385"/>
      <c r="AB129" s="385"/>
      <c r="AC129" s="385"/>
      <c r="AD129" s="385"/>
      <c r="AE129" s="1"/>
    </row>
    <row r="130" spans="1:31" ht="14.4" x14ac:dyDescent="0.3">
      <c r="A130" s="385"/>
      <c r="B130" s="385"/>
      <c r="C130" s="385"/>
      <c r="D130" s="385"/>
      <c r="E130" s="1"/>
      <c r="F130" s="1"/>
      <c r="G130" s="1"/>
      <c r="H130" s="1"/>
      <c r="I130" s="5"/>
      <c r="J130" s="26" t="s">
        <v>109</v>
      </c>
      <c r="K130" s="1"/>
      <c r="L130" s="1"/>
      <c r="M130" s="1"/>
      <c r="N130" s="1"/>
      <c r="O130" s="1"/>
      <c r="P130" s="5"/>
      <c r="Q130" s="1"/>
      <c r="R130" s="1"/>
      <c r="S130" s="1"/>
      <c r="T130" s="1"/>
      <c r="U130" s="1"/>
      <c r="V130" s="5"/>
      <c r="W130" s="1"/>
      <c r="X130" s="1"/>
      <c r="Y130" s="1"/>
      <c r="Z130" s="5"/>
      <c r="AA130" s="385"/>
      <c r="AB130" s="385"/>
      <c r="AC130" s="385"/>
      <c r="AD130" s="385"/>
      <c r="AE130" s="1"/>
    </row>
    <row r="131" spans="1:31" ht="14.4" x14ac:dyDescent="0.3">
      <c r="A131" s="385"/>
      <c r="B131" s="385"/>
      <c r="C131" s="385"/>
      <c r="D131" s="385"/>
      <c r="E131" s="1"/>
      <c r="F131" s="1"/>
      <c r="G131" s="1"/>
      <c r="H131" s="1"/>
      <c r="I131" s="5"/>
      <c r="J131" s="1" t="s">
        <v>110</v>
      </c>
      <c r="K131" s="1"/>
      <c r="L131" s="1"/>
      <c r="M131" s="1"/>
      <c r="N131" s="1"/>
      <c r="O131" s="1"/>
      <c r="P131" s="5"/>
      <c r="Q131" s="1"/>
      <c r="R131" s="1"/>
      <c r="S131" s="1"/>
      <c r="T131" s="1"/>
      <c r="U131" s="1"/>
      <c r="V131" s="5"/>
      <c r="W131" s="1"/>
      <c r="X131" s="1"/>
      <c r="Y131" s="1"/>
      <c r="Z131" s="5"/>
      <c r="AA131" s="385"/>
      <c r="AB131" s="385"/>
      <c r="AC131" s="385"/>
      <c r="AD131" s="385"/>
      <c r="AE131" s="1"/>
    </row>
    <row r="132" spans="1:31" ht="14.4" x14ac:dyDescent="0.3">
      <c r="A132" s="385"/>
      <c r="B132" s="385"/>
      <c r="C132" s="385"/>
      <c r="D132" s="385"/>
      <c r="E132" s="1"/>
      <c r="F132" s="1"/>
      <c r="G132" s="1"/>
      <c r="H132" s="1"/>
      <c r="I132" s="5"/>
      <c r="J132" s="27" t="s">
        <v>111</v>
      </c>
      <c r="K132" s="1"/>
      <c r="L132" s="1"/>
      <c r="M132" s="1"/>
      <c r="N132" s="1"/>
      <c r="O132" s="1"/>
      <c r="P132" s="5"/>
      <c r="Q132" s="1"/>
      <c r="R132" s="1"/>
      <c r="S132" s="1"/>
      <c r="T132" s="1"/>
      <c r="U132" s="1"/>
      <c r="V132" s="5"/>
      <c r="W132" s="1"/>
      <c r="X132" s="1"/>
      <c r="Y132" s="1"/>
      <c r="Z132" s="5"/>
      <c r="AA132" s="385"/>
      <c r="AB132" s="385"/>
      <c r="AC132" s="385"/>
      <c r="AD132" s="385"/>
      <c r="AE132" s="1"/>
    </row>
    <row r="133" spans="1:31" ht="14.4" x14ac:dyDescent="0.3">
      <c r="A133" s="385"/>
      <c r="B133" s="385"/>
      <c r="C133" s="385"/>
      <c r="D133" s="385"/>
      <c r="E133" s="1"/>
      <c r="F133" s="1"/>
      <c r="G133" s="1"/>
      <c r="H133" s="1"/>
      <c r="I133" s="5"/>
      <c r="J133" s="1" t="s">
        <v>112</v>
      </c>
      <c r="K133" s="1"/>
      <c r="L133" s="1"/>
      <c r="M133" s="1"/>
      <c r="N133" s="1"/>
      <c r="O133" s="1"/>
      <c r="P133" s="5"/>
      <c r="Q133" s="1"/>
      <c r="R133" s="1"/>
      <c r="S133" s="1"/>
      <c r="T133" s="1"/>
      <c r="U133" s="1"/>
      <c r="V133" s="5"/>
      <c r="W133" s="1"/>
      <c r="X133" s="1"/>
      <c r="Y133" s="1"/>
      <c r="Z133" s="5"/>
      <c r="AA133" s="385"/>
      <c r="AB133" s="385"/>
      <c r="AC133" s="385"/>
      <c r="AD133" s="385"/>
      <c r="AE133" s="1"/>
    </row>
    <row r="134" spans="1:31" ht="14.4" x14ac:dyDescent="0.3">
      <c r="A134" s="385"/>
      <c r="B134" s="385"/>
      <c r="C134" s="385"/>
      <c r="D134" s="385"/>
      <c r="E134" s="1"/>
      <c r="F134" s="1"/>
      <c r="G134" s="1"/>
      <c r="H134" s="1"/>
      <c r="I134" s="5"/>
      <c r="J134" s="1" t="s">
        <v>113</v>
      </c>
      <c r="K134" s="1"/>
      <c r="L134" s="1"/>
      <c r="M134" s="1"/>
      <c r="N134" s="1"/>
      <c r="O134" s="1"/>
      <c r="P134" s="5"/>
      <c r="Q134" s="1"/>
      <c r="R134" s="1"/>
      <c r="S134" s="1"/>
      <c r="T134" s="1"/>
      <c r="U134" s="1"/>
      <c r="V134" s="5"/>
      <c r="W134" s="1"/>
      <c r="X134" s="1"/>
      <c r="Y134" s="1"/>
      <c r="Z134" s="5"/>
      <c r="AA134" s="385"/>
      <c r="AB134" s="385"/>
      <c r="AC134" s="385"/>
      <c r="AD134" s="385"/>
      <c r="AE134" s="1"/>
    </row>
    <row r="135" spans="1:31" ht="14.4" x14ac:dyDescent="0.3">
      <c r="A135" s="385"/>
      <c r="B135" s="385"/>
      <c r="C135" s="385"/>
      <c r="D135" s="385"/>
      <c r="E135" s="1"/>
      <c r="F135" s="1"/>
      <c r="G135" s="1"/>
      <c r="H135" s="1"/>
      <c r="I135" s="5"/>
      <c r="J135" s="1"/>
      <c r="K135" s="1"/>
      <c r="L135" s="1"/>
      <c r="M135" s="1"/>
      <c r="N135" s="1"/>
      <c r="O135" s="1"/>
      <c r="P135" s="5"/>
      <c r="Q135" s="1"/>
      <c r="R135" s="1"/>
      <c r="S135" s="1"/>
      <c r="T135" s="1"/>
      <c r="U135" s="1"/>
      <c r="V135" s="5"/>
      <c r="W135" s="1"/>
      <c r="X135" s="1"/>
      <c r="Y135" s="1"/>
      <c r="Z135" s="5"/>
      <c r="AA135" s="385"/>
      <c r="AB135" s="385"/>
      <c r="AC135" s="385"/>
      <c r="AD135" s="385"/>
      <c r="AE135" s="1"/>
    </row>
    <row r="136" spans="1:31" ht="14.4" x14ac:dyDescent="0.3">
      <c r="A136" s="385"/>
      <c r="B136" s="385"/>
      <c r="C136" s="385"/>
      <c r="D136" s="385"/>
      <c r="E136" s="1"/>
      <c r="F136" s="1"/>
      <c r="G136" s="1"/>
      <c r="H136" s="1"/>
      <c r="I136" s="5"/>
      <c r="J136" s="1"/>
      <c r="K136" s="1"/>
      <c r="L136" s="1"/>
      <c r="M136" s="1"/>
      <c r="N136" s="1"/>
      <c r="O136" s="1"/>
      <c r="P136" s="5"/>
      <c r="Q136" s="1"/>
      <c r="R136" s="1"/>
      <c r="S136" s="1"/>
      <c r="T136" s="1"/>
      <c r="U136" s="1"/>
      <c r="V136" s="5"/>
      <c r="W136" s="1"/>
      <c r="X136" s="1"/>
      <c r="Y136" s="1"/>
      <c r="Z136" s="5"/>
      <c r="AA136" s="385"/>
      <c r="AB136" s="385"/>
      <c r="AC136" s="385"/>
      <c r="AD136" s="385"/>
      <c r="AE136" s="1"/>
    </row>
  </sheetData>
  <autoFilter ref="A1:AG127" xr:uid="{65861D9D-DF6D-458E-8EEC-6179E128FC3E}">
    <filterColumn colId="0" showButton="0"/>
    <filterColumn colId="2" showButton="0"/>
    <filterColumn colId="25" showButton="0"/>
    <filterColumn colId="26" showButton="0"/>
    <filterColumn colId="27" showButton="0"/>
    <filterColumn colId="28" showButton="0"/>
    <filterColumn colId="29" showButton="0"/>
  </autoFilter>
  <mergeCells count="54">
    <mergeCell ref="Z1:AE1"/>
    <mergeCell ref="A2:B2"/>
    <mergeCell ref="C2:D2"/>
    <mergeCell ref="AA2:AB2"/>
    <mergeCell ref="AC2:AD2"/>
    <mergeCell ref="D5:F5"/>
    <mergeCell ref="A1:B1"/>
    <mergeCell ref="C1:D1"/>
    <mergeCell ref="I1:I3"/>
    <mergeCell ref="J1:J3"/>
    <mergeCell ref="A3:B3"/>
    <mergeCell ref="C3:D3"/>
    <mergeCell ref="AA3:AB3"/>
    <mergeCell ref="AC3:AD3"/>
    <mergeCell ref="A4:B4"/>
    <mergeCell ref="I4:O4"/>
    <mergeCell ref="P4:U4"/>
    <mergeCell ref="V4:Y4"/>
    <mergeCell ref="Z4:AB4"/>
    <mergeCell ref="AC4:AE4"/>
    <mergeCell ref="A129:B129"/>
    <mergeCell ref="C129:D129"/>
    <mergeCell ref="AA129:AB129"/>
    <mergeCell ref="AC129:AD129"/>
    <mergeCell ref="A118:B118"/>
    <mergeCell ref="C118:D118"/>
    <mergeCell ref="A130:B130"/>
    <mergeCell ref="C130:D130"/>
    <mergeCell ref="AA130:AB130"/>
    <mergeCell ref="AC130:AD130"/>
    <mergeCell ref="A131:B131"/>
    <mergeCell ref="C131:D131"/>
    <mergeCell ref="AA131:AB131"/>
    <mergeCell ref="AC131:AD131"/>
    <mergeCell ref="A132:B132"/>
    <mergeCell ref="C132:D132"/>
    <mergeCell ref="AA132:AB132"/>
    <mergeCell ref="AC132:AD132"/>
    <mergeCell ref="A133:B133"/>
    <mergeCell ref="C133:D133"/>
    <mergeCell ref="AA133:AB133"/>
    <mergeCell ref="AC133:AD133"/>
    <mergeCell ref="A136:B136"/>
    <mergeCell ref="C136:D136"/>
    <mergeCell ref="AA136:AB136"/>
    <mergeCell ref="AC136:AD136"/>
    <mergeCell ref="A134:B134"/>
    <mergeCell ref="C134:D134"/>
    <mergeCell ref="AA134:AB134"/>
    <mergeCell ref="AC134:AD134"/>
    <mergeCell ref="A135:B135"/>
    <mergeCell ref="C135:D135"/>
    <mergeCell ref="AA135:AB135"/>
    <mergeCell ref="AC135:AD135"/>
  </mergeCells>
  <conditionalFormatting sqref="K6:K117">
    <cfRule type="cellIs" dxfId="79" priority="27" operator="equal">
      <formula>"Too early"</formula>
    </cfRule>
    <cfRule type="cellIs" dxfId="78" priority="6" stopIfTrue="1" operator="equal">
      <formula>""</formula>
    </cfRule>
    <cfRule type="cellIs" dxfId="77" priority="30" operator="greaterThanOrEqual">
      <formula>0.85</formula>
    </cfRule>
    <cfRule type="cellIs" dxfId="76" priority="29" operator="between">
      <formula>0.85</formula>
      <formula>0.7</formula>
    </cfRule>
    <cfRule type="cellIs" dxfId="75" priority="28" operator="lessThanOrEqual">
      <formula>0.7</formula>
    </cfRule>
  </conditionalFormatting>
  <conditionalFormatting sqref="K119:K126">
    <cfRule type="cellIs" dxfId="74" priority="38" operator="greaterThanOrEqual">
      <formula>0.85</formula>
    </cfRule>
    <cfRule type="cellIs" dxfId="73" priority="37" operator="between">
      <formula>0.85</formula>
      <formula>0.7</formula>
    </cfRule>
    <cfRule type="cellIs" dxfId="72" priority="36" operator="lessThanOrEqual">
      <formula>0.7</formula>
    </cfRule>
    <cfRule type="cellIs" dxfId="71" priority="35" operator="equal">
      <formula>""</formula>
    </cfRule>
  </conditionalFormatting>
  <conditionalFormatting sqref="O6:O117">
    <cfRule type="cellIs" dxfId="70" priority="2" stopIfTrue="1" operator="equal">
      <formula>""</formula>
    </cfRule>
    <cfRule type="cellIs" dxfId="69" priority="23" operator="equal">
      <formula>"Too early"</formula>
    </cfRule>
    <cfRule type="cellIs" dxfId="68" priority="24" operator="lessThanOrEqual">
      <formula>0.85</formula>
    </cfRule>
    <cfRule type="cellIs" dxfId="67" priority="25" operator="between">
      <formula>0.95</formula>
      <formula>0.85</formula>
    </cfRule>
    <cfRule type="cellIs" dxfId="66" priority="26" operator="greaterThanOrEqual">
      <formula>0.95</formula>
    </cfRule>
  </conditionalFormatting>
  <conditionalFormatting sqref="O119:O126">
    <cfRule type="cellIs" dxfId="65" priority="43" operator="equal">
      <formula>""</formula>
    </cfRule>
    <cfRule type="cellIs" dxfId="64" priority="44" operator="lessThanOrEqual">
      <formula>0.8</formula>
    </cfRule>
    <cfRule type="cellIs" dxfId="63" priority="45" operator="between">
      <formula>0.95</formula>
      <formula>0.8</formula>
    </cfRule>
    <cfRule type="cellIs" dxfId="62" priority="46" operator="greaterThanOrEqual">
      <formula>0.95</formula>
    </cfRule>
  </conditionalFormatting>
  <conditionalFormatting sqref="U6:U117">
    <cfRule type="cellIs" dxfId="61" priority="3" stopIfTrue="1" operator="equal">
      <formula>""</formula>
    </cfRule>
    <cfRule type="cellIs" dxfId="60" priority="7" operator="equal">
      <formula>"Too early"</formula>
    </cfRule>
    <cfRule type="cellIs" dxfId="59" priority="8" operator="lessThanOrEqual">
      <formula>0.85</formula>
    </cfRule>
    <cfRule type="cellIs" dxfId="58" priority="9" operator="between">
      <formula>0.95</formula>
      <formula>0.85</formula>
    </cfRule>
    <cfRule type="cellIs" dxfId="57" priority="10" operator="greaterThanOrEqual">
      <formula>0.95</formula>
    </cfRule>
  </conditionalFormatting>
  <conditionalFormatting sqref="U119:U128">
    <cfRule type="cellIs" dxfId="56" priority="50" operator="greaterThanOrEqual">
      <formula>0.95</formula>
    </cfRule>
    <cfRule type="cellIs" dxfId="55" priority="47" operator="equal">
      <formula>""</formula>
    </cfRule>
    <cfRule type="cellIs" dxfId="54" priority="48" operator="lessThanOrEqual">
      <formula>0.8</formula>
    </cfRule>
    <cfRule type="cellIs" dxfId="53" priority="49" operator="between">
      <formula>0.95</formula>
      <formula>0.8</formula>
    </cfRule>
  </conditionalFormatting>
  <conditionalFormatting sqref="Y6:Y117">
    <cfRule type="cellIs" dxfId="52" priority="18" operator="greaterThanOrEqual">
      <formula>0.95</formula>
    </cfRule>
    <cfRule type="cellIs" dxfId="51" priority="17" operator="between">
      <formula>0.95</formula>
      <formula>0.8</formula>
    </cfRule>
    <cfRule type="cellIs" dxfId="50" priority="16" operator="lessThanOrEqual">
      <formula>0.8</formula>
    </cfRule>
    <cfRule type="cellIs" dxfId="49" priority="15" operator="equal">
      <formula>""</formula>
    </cfRule>
    <cfRule type="cellIs" dxfId="48" priority="1" stopIfTrue="1" operator="equal">
      <formula>"N/A"</formula>
    </cfRule>
  </conditionalFormatting>
  <conditionalFormatting sqref="Y119:Y127">
    <cfRule type="cellIs" dxfId="47" priority="39" operator="equal">
      <formula>""</formula>
    </cfRule>
    <cfRule type="cellIs" dxfId="46" priority="40" operator="lessThanOrEqual">
      <formula>0.8</formula>
    </cfRule>
    <cfRule type="cellIs" dxfId="45" priority="41" operator="between">
      <formula>0.95</formula>
      <formula>0.8</formula>
    </cfRule>
    <cfRule type="cellIs" dxfId="44" priority="42" operator="greaterThanOrEqual">
      <formula>0.95</formula>
    </cfRule>
  </conditionalFormatting>
  <conditionalFormatting sqref="AA6:AA117">
    <cfRule type="cellIs" dxfId="43" priority="12" operator="lessThanOrEqual">
      <formula>0.6</formula>
    </cfRule>
    <cfRule type="cellIs" dxfId="42" priority="11" operator="equal">
      <formula>""</formula>
    </cfRule>
    <cfRule type="cellIs" dxfId="41" priority="14" operator="greaterThanOrEqual">
      <formula>0.8</formula>
    </cfRule>
    <cfRule type="cellIs" dxfId="40" priority="13" operator="between">
      <formula>0.8</formula>
      <formula>0.6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topLeftCell="A32" workbookViewId="0">
      <selection activeCell="F43" sqref="F43"/>
    </sheetView>
  </sheetViews>
  <sheetFormatPr defaultColWidth="12.5546875" defaultRowHeight="15.6" x14ac:dyDescent="0.3"/>
  <cols>
    <col min="1" max="2" width="12.5546875" style="84"/>
    <col min="3" max="3" width="12.33203125" style="84" customWidth="1"/>
    <col min="4" max="4" width="9.44140625" style="84" bestFit="1" customWidth="1"/>
    <col min="5" max="5" width="12.6640625" style="84" customWidth="1"/>
    <col min="6" max="6" width="12.33203125" style="84" customWidth="1"/>
    <col min="7" max="7" width="11.5546875" style="84" customWidth="1"/>
    <col min="8" max="8" width="15.33203125" style="84" customWidth="1"/>
    <col min="9" max="9" width="12.33203125" style="84" customWidth="1"/>
    <col min="10" max="10" width="9.44140625" style="84" bestFit="1" customWidth="1"/>
    <col min="11" max="11" width="12.6640625" style="84" customWidth="1"/>
    <col min="12" max="12" width="16" style="84" customWidth="1"/>
    <col min="13" max="13" width="3.33203125" style="84" customWidth="1"/>
    <col min="14" max="14" width="11.109375" style="84" customWidth="1"/>
    <col min="15" max="15" width="9.109375" style="84"/>
    <col min="16" max="16" width="12.88671875" style="84" customWidth="1"/>
    <col min="17" max="17" width="14.44140625" style="84" bestFit="1" customWidth="1"/>
    <col min="18" max="18" width="17.6640625" style="84" bestFit="1" customWidth="1"/>
    <col min="19" max="19" width="9.109375" style="84"/>
    <col min="20" max="20" width="15.5546875" style="84" bestFit="1" customWidth="1"/>
    <col min="21" max="21" width="12.33203125" style="84" customWidth="1"/>
    <col min="22" max="22" width="9.109375" style="84"/>
    <col min="23" max="23" width="14.88671875" style="84" bestFit="1" customWidth="1"/>
    <col min="24" max="16384" width="12.5546875" style="84"/>
  </cols>
  <sheetData>
    <row r="1" spans="1:23" x14ac:dyDescent="0.3">
      <c r="B1" s="84" t="s">
        <v>114</v>
      </c>
      <c r="E1" s="85" t="s">
        <v>2</v>
      </c>
      <c r="F1" s="85"/>
      <c r="G1" s="85"/>
      <c r="J1" s="375" t="s">
        <v>115</v>
      </c>
      <c r="K1" s="375"/>
    </row>
    <row r="2" spans="1:23" x14ac:dyDescent="0.3">
      <c r="B2" s="84" t="s">
        <v>116</v>
      </c>
      <c r="E2" s="86" t="s">
        <v>117</v>
      </c>
      <c r="F2" s="87"/>
      <c r="G2" s="87"/>
      <c r="J2" s="88" t="s">
        <v>118</v>
      </c>
      <c r="K2" s="88"/>
      <c r="N2" s="138" t="s">
        <v>55</v>
      </c>
      <c r="S2" s="394" t="s">
        <v>119</v>
      </c>
      <c r="T2" s="394"/>
    </row>
    <row r="3" spans="1:23" x14ac:dyDescent="0.3">
      <c r="E3" s="89" t="s">
        <v>120</v>
      </c>
      <c r="F3" s="90"/>
      <c r="G3" s="90"/>
      <c r="J3" s="91" t="s">
        <v>121</v>
      </c>
      <c r="K3" s="91"/>
      <c r="N3" s="92">
        <v>0.72</v>
      </c>
      <c r="O3" s="84" t="s">
        <v>122</v>
      </c>
      <c r="S3" s="84" t="s">
        <v>123</v>
      </c>
      <c r="T3" s="84" t="s">
        <v>124</v>
      </c>
    </row>
    <row r="4" spans="1:23" x14ac:dyDescent="0.3">
      <c r="O4" s="93">
        <f>O8/S8*S4</f>
        <v>190.76951550216057</v>
      </c>
      <c r="P4" s="94">
        <f>P8/O8*O4</f>
        <v>67934.778672760774</v>
      </c>
      <c r="Q4" s="93">
        <f>Q8/S8*S4</f>
        <v>2954.7347372317399</v>
      </c>
      <c r="R4" s="94">
        <f>R8/Q8*Q4</f>
        <v>1567065.2213272392</v>
      </c>
      <c r="S4" s="277">
        <f>T4/(T8/S8)</f>
        <v>3145.5042527339006</v>
      </c>
      <c r="T4" s="278">
        <v>1635000</v>
      </c>
      <c r="U4" s="279" t="s">
        <v>125</v>
      </c>
    </row>
    <row r="5" spans="1:23" x14ac:dyDescent="0.3">
      <c r="B5" s="138" t="s">
        <v>126</v>
      </c>
      <c r="O5" s="93">
        <f>O9/S9*S5</f>
        <v>8.670865068310464</v>
      </c>
      <c r="P5" s="94">
        <f>P9/O9*O5</f>
        <v>2639.154412273163</v>
      </c>
      <c r="Q5" s="93">
        <f>Q9/S9*S5</f>
        <v>267.83338766558995</v>
      </c>
      <c r="R5" s="94">
        <f>R9/Q9*Q5</f>
        <v>147753.14647976376</v>
      </c>
      <c r="S5" s="93">
        <f>T5/(T8/S8)</f>
        <v>276.50425273390039</v>
      </c>
      <c r="T5" s="94">
        <f>T4-T8</f>
        <v>143724</v>
      </c>
      <c r="U5" s="84" t="s">
        <v>127</v>
      </c>
      <c r="W5" s="95"/>
    </row>
    <row r="6" spans="1:23" x14ac:dyDescent="0.3">
      <c r="C6" s="395" t="s">
        <v>128</v>
      </c>
      <c r="D6" s="395"/>
      <c r="E6" s="395"/>
      <c r="F6" s="395" t="s">
        <v>129</v>
      </c>
      <c r="G6" s="395"/>
      <c r="H6" s="395"/>
      <c r="I6" s="395" t="s">
        <v>125</v>
      </c>
      <c r="J6" s="395"/>
      <c r="K6" s="395"/>
      <c r="N6" s="138" t="s">
        <v>130</v>
      </c>
      <c r="W6" s="95"/>
    </row>
    <row r="7" spans="1:23" x14ac:dyDescent="0.3">
      <c r="A7" s="84" t="s">
        <v>131</v>
      </c>
      <c r="C7" s="96" t="s">
        <v>132</v>
      </c>
      <c r="D7" s="96" t="s">
        <v>133</v>
      </c>
      <c r="E7" s="96" t="s">
        <v>134</v>
      </c>
      <c r="F7" s="96" t="s">
        <v>132</v>
      </c>
      <c r="G7" s="96" t="s">
        <v>133</v>
      </c>
      <c r="H7" s="96" t="s">
        <v>134</v>
      </c>
      <c r="I7" s="96" t="s">
        <v>132</v>
      </c>
      <c r="J7" s="96" t="s">
        <v>133</v>
      </c>
      <c r="K7" s="96" t="s">
        <v>134</v>
      </c>
      <c r="L7" s="97" t="s">
        <v>135</v>
      </c>
      <c r="O7" s="84" t="s">
        <v>136</v>
      </c>
      <c r="P7" s="84" t="s">
        <v>137</v>
      </c>
      <c r="Q7" s="84" t="s">
        <v>138</v>
      </c>
      <c r="R7" s="84" t="s">
        <v>139</v>
      </c>
      <c r="S7" s="84" t="s">
        <v>140</v>
      </c>
      <c r="T7" s="84" t="s">
        <v>141</v>
      </c>
      <c r="U7" s="97" t="s">
        <v>142</v>
      </c>
    </row>
    <row r="8" spans="1:23" s="98" customFormat="1" x14ac:dyDescent="0.3">
      <c r="A8" s="98" t="s">
        <v>143</v>
      </c>
      <c r="I8" s="99">
        <f>I16</f>
        <v>2456</v>
      </c>
      <c r="J8" s="99"/>
      <c r="K8" s="100">
        <f>K16</f>
        <v>1408430</v>
      </c>
      <c r="L8" s="101"/>
      <c r="N8" s="98" t="s">
        <v>144</v>
      </c>
      <c r="O8" s="102">
        <f>O21</f>
        <v>174</v>
      </c>
      <c r="P8" s="103">
        <f t="shared" ref="P8:T8" si="0">P21</f>
        <v>61963</v>
      </c>
      <c r="Q8" s="102">
        <f t="shared" si="0"/>
        <v>2695</v>
      </c>
      <c r="R8" s="103">
        <f t="shared" si="0"/>
        <v>1429313</v>
      </c>
      <c r="S8" s="102">
        <f t="shared" si="0"/>
        <v>2869</v>
      </c>
      <c r="T8" s="103">
        <f t="shared" si="0"/>
        <v>1491276</v>
      </c>
      <c r="U8" s="104"/>
      <c r="W8" s="99"/>
    </row>
    <row r="9" spans="1:23" x14ac:dyDescent="0.3">
      <c r="A9" s="84">
        <v>1</v>
      </c>
      <c r="B9" s="105">
        <v>45747</v>
      </c>
      <c r="C9" s="106">
        <v>30</v>
      </c>
      <c r="D9" s="107">
        <f>C9/'Sales Pacing'!B3</f>
        <v>713.33333333333337</v>
      </c>
      <c r="E9" s="108">
        <v>16220</v>
      </c>
      <c r="F9" s="106">
        <v>898</v>
      </c>
      <c r="G9" s="107">
        <f>F9/'Sales Pacing'!E3</f>
        <v>3554.0218281036837</v>
      </c>
      <c r="H9" s="108">
        <v>527973</v>
      </c>
      <c r="I9" s="109">
        <f>C9+F9</f>
        <v>928</v>
      </c>
      <c r="J9" s="107">
        <f>D9+G9</f>
        <v>4267.3551614370172</v>
      </c>
      <c r="K9" s="110">
        <f>E9+H9</f>
        <v>544193</v>
      </c>
      <c r="L9" s="111"/>
      <c r="N9" s="105">
        <v>45383</v>
      </c>
      <c r="O9" s="109">
        <v>27</v>
      </c>
      <c r="P9" s="110">
        <v>8218</v>
      </c>
      <c r="Q9" s="109">
        <v>834</v>
      </c>
      <c r="R9" s="110">
        <v>460085</v>
      </c>
      <c r="S9" s="109">
        <f t="shared" ref="S9:T21" si="1">O9+Q9</f>
        <v>861</v>
      </c>
      <c r="T9" s="110">
        <f t="shared" si="1"/>
        <v>468303</v>
      </c>
      <c r="U9" s="97"/>
    </row>
    <row r="10" spans="1:23" x14ac:dyDescent="0.3">
      <c r="A10" s="84">
        <v>2</v>
      </c>
      <c r="B10" s="105">
        <v>45754</v>
      </c>
      <c r="C10" s="106">
        <v>39</v>
      </c>
      <c r="D10" s="107">
        <f>C10/'Sales Pacing'!B4</f>
        <v>642</v>
      </c>
      <c r="E10" s="108">
        <v>21024</v>
      </c>
      <c r="F10" s="106">
        <v>1136</v>
      </c>
      <c r="G10" s="107">
        <f>F10/'Sales Pacing'!E4</f>
        <v>3593.8233369683753</v>
      </c>
      <c r="H10" s="108">
        <v>652031</v>
      </c>
      <c r="I10" s="109">
        <f t="shared" ref="I10:K21" si="2">C10+F10</f>
        <v>1175</v>
      </c>
      <c r="J10" s="107">
        <f t="shared" si="2"/>
        <v>4235.8233369683749</v>
      </c>
      <c r="K10" s="110">
        <f t="shared" si="2"/>
        <v>673055</v>
      </c>
      <c r="L10" s="111">
        <f t="shared" ref="L10:L15" si="3">IF(K10&gt;0,K10-K9,0)</f>
        <v>128862</v>
      </c>
      <c r="N10" s="105">
        <f t="shared" ref="N10:N20" si="4">N9+7</f>
        <v>45390</v>
      </c>
      <c r="O10" s="109">
        <v>32</v>
      </c>
      <c r="P10" s="110">
        <v>12068</v>
      </c>
      <c r="Q10" s="109">
        <v>1194</v>
      </c>
      <c r="R10" s="110">
        <v>655718</v>
      </c>
      <c r="S10" s="109">
        <f t="shared" si="1"/>
        <v>1226</v>
      </c>
      <c r="T10" s="110">
        <f t="shared" si="1"/>
        <v>667786</v>
      </c>
      <c r="U10" s="111">
        <f t="shared" ref="U10:U21" si="5">IF(T10&gt;0,T10-T9,0)</f>
        <v>199483</v>
      </c>
    </row>
    <row r="11" spans="1:23" x14ac:dyDescent="0.3">
      <c r="A11" s="84">
        <v>3</v>
      </c>
      <c r="B11" s="105">
        <v>45761</v>
      </c>
      <c r="C11" s="106">
        <v>50</v>
      </c>
      <c r="D11" s="107">
        <f>C11/'Sales Pacing'!B5</f>
        <v>455.31914893617022</v>
      </c>
      <c r="E11" s="108">
        <v>27424</v>
      </c>
      <c r="F11" s="106">
        <v>1387</v>
      </c>
      <c r="G11" s="107">
        <f>F11/'Sales Pacing'!E5</f>
        <v>3529.5499999999997</v>
      </c>
      <c r="H11" s="108">
        <v>817109</v>
      </c>
      <c r="I11" s="109">
        <f t="shared" si="2"/>
        <v>1437</v>
      </c>
      <c r="J11" s="107">
        <f t="shared" si="2"/>
        <v>3984.8691489361699</v>
      </c>
      <c r="K11" s="110">
        <f t="shared" si="2"/>
        <v>844533</v>
      </c>
      <c r="L11" s="111">
        <f t="shared" si="3"/>
        <v>171478</v>
      </c>
      <c r="N11" s="105">
        <f t="shared" si="4"/>
        <v>45397</v>
      </c>
      <c r="O11" s="109">
        <v>36</v>
      </c>
      <c r="P11" s="110">
        <v>13657</v>
      </c>
      <c r="Q11" s="109">
        <v>1434</v>
      </c>
      <c r="R11" s="110">
        <v>789833</v>
      </c>
      <c r="S11" s="109">
        <f t="shared" si="1"/>
        <v>1470</v>
      </c>
      <c r="T11" s="110">
        <f t="shared" si="1"/>
        <v>803490</v>
      </c>
      <c r="U11" s="111">
        <f t="shared" si="5"/>
        <v>135704</v>
      </c>
      <c r="W11" s="112"/>
    </row>
    <row r="12" spans="1:23" x14ac:dyDescent="0.3">
      <c r="A12" s="84">
        <v>4</v>
      </c>
      <c r="B12" s="105">
        <v>45768</v>
      </c>
      <c r="C12" s="106">
        <v>76</v>
      </c>
      <c r="D12" s="107">
        <f>C12/'Sales Pacing'!B6</f>
        <v>591.41818181818189</v>
      </c>
      <c r="E12" s="108">
        <v>40984</v>
      </c>
      <c r="F12" s="106">
        <v>1739</v>
      </c>
      <c r="G12" s="107">
        <f>F12/'Sales Pacing'!E6</f>
        <v>3653.0333091962348</v>
      </c>
      <c r="H12" s="108">
        <v>1005395</v>
      </c>
      <c r="I12" s="109">
        <f t="shared" si="2"/>
        <v>1815</v>
      </c>
      <c r="J12" s="107">
        <f t="shared" si="2"/>
        <v>4244.4514910144171</v>
      </c>
      <c r="K12" s="110">
        <f t="shared" si="2"/>
        <v>1046379</v>
      </c>
      <c r="L12" s="111">
        <f t="shared" si="3"/>
        <v>201846</v>
      </c>
      <c r="N12" s="105">
        <f t="shared" si="4"/>
        <v>45404</v>
      </c>
      <c r="O12" s="109">
        <v>45</v>
      </c>
      <c r="P12" s="110">
        <v>17584</v>
      </c>
      <c r="Q12" s="109">
        <v>1789</v>
      </c>
      <c r="R12" s="110">
        <v>976040</v>
      </c>
      <c r="S12" s="109">
        <f t="shared" si="1"/>
        <v>1834</v>
      </c>
      <c r="T12" s="110">
        <f t="shared" si="1"/>
        <v>993624</v>
      </c>
      <c r="U12" s="111">
        <f t="shared" si="5"/>
        <v>190134</v>
      </c>
    </row>
    <row r="13" spans="1:23" x14ac:dyDescent="0.3">
      <c r="A13" s="87">
        <v>5</v>
      </c>
      <c r="B13" s="105">
        <f t="shared" ref="B13:B20" si="6">B12+7</f>
        <v>45775</v>
      </c>
      <c r="C13" s="106">
        <v>112</v>
      </c>
      <c r="D13" s="107">
        <f>C13/'Sales Pacing'!B7</f>
        <v>684.80000000000007</v>
      </c>
      <c r="E13" s="108">
        <v>54163</v>
      </c>
      <c r="F13" s="106">
        <v>2160</v>
      </c>
      <c r="G13" s="107">
        <f>F13/'Sales Pacing'!E7</f>
        <v>3788.4885126964932</v>
      </c>
      <c r="H13" s="108">
        <v>1232817</v>
      </c>
      <c r="I13" s="113">
        <f t="shared" si="2"/>
        <v>2272</v>
      </c>
      <c r="J13" s="107">
        <f t="shared" si="2"/>
        <v>4473.2885126964929</v>
      </c>
      <c r="K13" s="110">
        <f t="shared" si="2"/>
        <v>1286980</v>
      </c>
      <c r="L13" s="111">
        <f t="shared" si="3"/>
        <v>240601</v>
      </c>
      <c r="N13" s="105">
        <f t="shared" si="4"/>
        <v>45411</v>
      </c>
      <c r="O13" s="109">
        <v>47</v>
      </c>
      <c r="P13" s="110">
        <v>17987</v>
      </c>
      <c r="Q13" s="109">
        <v>2005</v>
      </c>
      <c r="R13" s="110">
        <v>1080463</v>
      </c>
      <c r="S13" s="109">
        <f t="shared" si="1"/>
        <v>2052</v>
      </c>
      <c r="T13" s="110">
        <f t="shared" si="1"/>
        <v>1098450</v>
      </c>
      <c r="U13" s="111">
        <f t="shared" si="5"/>
        <v>104826</v>
      </c>
    </row>
    <row r="14" spans="1:23" x14ac:dyDescent="0.3">
      <c r="A14" s="84">
        <v>6</v>
      </c>
      <c r="B14" s="105">
        <f t="shared" si="6"/>
        <v>45782</v>
      </c>
      <c r="C14" s="106">
        <v>121</v>
      </c>
      <c r="D14" s="107">
        <f>C14/'Sales Pacing'!B8</f>
        <v>533.89690721649481</v>
      </c>
      <c r="E14" s="108">
        <v>58153</v>
      </c>
      <c r="F14" s="106">
        <v>2252</v>
      </c>
      <c r="G14" s="107">
        <f>F14/'Sales Pacing'!E8</f>
        <v>3121.3817486860971</v>
      </c>
      <c r="H14" s="108">
        <v>1294295</v>
      </c>
      <c r="I14" s="114">
        <f t="shared" si="2"/>
        <v>2373</v>
      </c>
      <c r="J14" s="107">
        <f t="shared" si="2"/>
        <v>3655.2786559025917</v>
      </c>
      <c r="K14" s="115">
        <f t="shared" si="2"/>
        <v>1352448</v>
      </c>
      <c r="L14" s="111">
        <f t="shared" si="3"/>
        <v>65468</v>
      </c>
      <c r="N14" s="105">
        <f t="shared" si="4"/>
        <v>45418</v>
      </c>
      <c r="O14" s="109">
        <v>70</v>
      </c>
      <c r="P14" s="110">
        <v>26832</v>
      </c>
      <c r="Q14" s="109">
        <v>2362</v>
      </c>
      <c r="R14" s="110">
        <v>1271615</v>
      </c>
      <c r="S14" s="109">
        <f t="shared" si="1"/>
        <v>2432</v>
      </c>
      <c r="T14" s="110">
        <f t="shared" si="1"/>
        <v>1298447</v>
      </c>
      <c r="U14" s="111">
        <f t="shared" si="5"/>
        <v>199997</v>
      </c>
    </row>
    <row r="15" spans="1:23" x14ac:dyDescent="0.3">
      <c r="A15" s="84">
        <v>7</v>
      </c>
      <c r="B15" s="105">
        <f t="shared" si="6"/>
        <v>45789</v>
      </c>
      <c r="C15" s="106">
        <v>122</v>
      </c>
      <c r="D15" s="107">
        <f>C15/'Sales Pacing'!B9</f>
        <v>404.77519379844961</v>
      </c>
      <c r="E15" s="108">
        <v>59763</v>
      </c>
      <c r="F15" s="106">
        <v>2293</v>
      </c>
      <c r="G15" s="107">
        <f>F15/'Sales Pacing'!E9</f>
        <v>2534.0925714285713</v>
      </c>
      <c r="H15" s="108">
        <v>1322554</v>
      </c>
      <c r="I15" s="114">
        <f t="shared" si="2"/>
        <v>2415</v>
      </c>
      <c r="J15" s="107">
        <f t="shared" si="2"/>
        <v>2938.8677652270208</v>
      </c>
      <c r="K15" s="115">
        <f t="shared" si="2"/>
        <v>1382317</v>
      </c>
      <c r="L15" s="111">
        <f t="shared" si="3"/>
        <v>29869</v>
      </c>
      <c r="N15" s="105">
        <f t="shared" si="4"/>
        <v>45425</v>
      </c>
      <c r="O15" s="109">
        <v>76</v>
      </c>
      <c r="P15" s="110">
        <v>28802</v>
      </c>
      <c r="Q15" s="109">
        <v>2443</v>
      </c>
      <c r="R15" s="110">
        <v>1319275</v>
      </c>
      <c r="S15" s="109">
        <f t="shared" si="1"/>
        <v>2519</v>
      </c>
      <c r="T15" s="110">
        <f t="shared" si="1"/>
        <v>1348077</v>
      </c>
      <c r="U15" s="111">
        <f t="shared" si="5"/>
        <v>49630</v>
      </c>
    </row>
    <row r="16" spans="1:23" x14ac:dyDescent="0.3">
      <c r="A16" s="84">
        <v>8</v>
      </c>
      <c r="B16" s="105">
        <f t="shared" si="6"/>
        <v>45796</v>
      </c>
      <c r="C16" s="85">
        <v>134</v>
      </c>
      <c r="D16" s="107">
        <f>C16/'Sales Pacing'!B10</f>
        <v>382.34666666666669</v>
      </c>
      <c r="E16" s="116">
        <v>63528</v>
      </c>
      <c r="F16" s="117">
        <v>2322</v>
      </c>
      <c r="G16" s="107">
        <f>F16/'Sales Pacing'!E10</f>
        <v>2473.7869996327581</v>
      </c>
      <c r="H16" s="116">
        <v>1344902</v>
      </c>
      <c r="I16" s="114">
        <f t="shared" si="2"/>
        <v>2456</v>
      </c>
      <c r="J16" s="107">
        <f t="shared" si="2"/>
        <v>2856.1336662994249</v>
      </c>
      <c r="K16" s="115">
        <f t="shared" si="2"/>
        <v>1408430</v>
      </c>
      <c r="L16" s="111">
        <f>IF(K16&gt;0,K16-K15,0)</f>
        <v>26113</v>
      </c>
      <c r="N16" s="105">
        <f t="shared" si="4"/>
        <v>45432</v>
      </c>
      <c r="O16" s="109">
        <v>85</v>
      </c>
      <c r="P16" s="110">
        <v>30752</v>
      </c>
      <c r="Q16" s="109">
        <v>2473</v>
      </c>
      <c r="R16" s="110">
        <v>1329297</v>
      </c>
      <c r="S16" s="109">
        <f t="shared" si="1"/>
        <v>2558</v>
      </c>
      <c r="T16" s="110">
        <f t="shared" si="1"/>
        <v>1360049</v>
      </c>
      <c r="U16" s="111">
        <f t="shared" si="5"/>
        <v>11972</v>
      </c>
      <c r="W16" s="93"/>
    </row>
    <row r="17" spans="1:23" x14ac:dyDescent="0.3">
      <c r="A17" s="84">
        <v>9</v>
      </c>
      <c r="B17" s="105">
        <f t="shared" si="6"/>
        <v>45803</v>
      </c>
      <c r="C17" s="85">
        <v>146</v>
      </c>
      <c r="D17" s="107">
        <f>C17/'Sales Pacing'!B11</f>
        <v>369.75147928994079</v>
      </c>
      <c r="E17" s="116">
        <v>67946</v>
      </c>
      <c r="F17" s="117">
        <v>2345</v>
      </c>
      <c r="G17" s="107">
        <f>F17/'Sales Pacing'!E11</f>
        <v>2468.3762699564586</v>
      </c>
      <c r="H17" s="116">
        <v>1357272</v>
      </c>
      <c r="I17" s="114">
        <f t="shared" si="2"/>
        <v>2491</v>
      </c>
      <c r="J17" s="107">
        <f t="shared" si="2"/>
        <v>2838.1277492463996</v>
      </c>
      <c r="K17" s="115">
        <f t="shared" si="2"/>
        <v>1425218</v>
      </c>
      <c r="L17" s="111">
        <f t="shared" ref="L17:L20" si="7">IF(K17&gt;0,K17-K16,0)</f>
        <v>16788</v>
      </c>
      <c r="N17" s="105">
        <f t="shared" si="4"/>
        <v>45439</v>
      </c>
      <c r="O17" s="109">
        <v>91</v>
      </c>
      <c r="P17" s="110">
        <v>32154</v>
      </c>
      <c r="Q17" s="109">
        <v>2513</v>
      </c>
      <c r="R17" s="110">
        <v>1344658</v>
      </c>
      <c r="S17" s="109">
        <f t="shared" si="1"/>
        <v>2604</v>
      </c>
      <c r="T17" s="110">
        <f t="shared" si="1"/>
        <v>1376812</v>
      </c>
      <c r="U17" s="111">
        <f t="shared" si="5"/>
        <v>16763</v>
      </c>
      <c r="W17" s="93"/>
    </row>
    <row r="18" spans="1:23" x14ac:dyDescent="0.3">
      <c r="A18" s="84">
        <v>10</v>
      </c>
      <c r="B18" s="105">
        <f t="shared" si="6"/>
        <v>45810</v>
      </c>
      <c r="C18" s="85">
        <v>165</v>
      </c>
      <c r="D18" s="107">
        <f>C18/'Sales Pacing'!B12</f>
        <v>377.64705882352939</v>
      </c>
      <c r="E18" s="116">
        <v>75744</v>
      </c>
      <c r="F18" s="117">
        <v>2369</v>
      </c>
      <c r="G18" s="107">
        <f>F18/'Sales Pacing'!E12</f>
        <v>2461.4860315186247</v>
      </c>
      <c r="H18" s="116">
        <v>1380368</v>
      </c>
      <c r="I18" s="114">
        <f t="shared" si="2"/>
        <v>2534</v>
      </c>
      <c r="J18" s="107">
        <f t="shared" si="2"/>
        <v>2839.133090342154</v>
      </c>
      <c r="K18" s="115">
        <f t="shared" si="2"/>
        <v>1456112</v>
      </c>
      <c r="L18" s="111">
        <f t="shared" si="7"/>
        <v>30894</v>
      </c>
      <c r="N18" s="105">
        <f t="shared" si="4"/>
        <v>45446</v>
      </c>
      <c r="O18" s="109">
        <v>94</v>
      </c>
      <c r="P18" s="110">
        <v>32854</v>
      </c>
      <c r="Q18" s="109">
        <v>2608</v>
      </c>
      <c r="R18" s="110">
        <v>1391277</v>
      </c>
      <c r="S18" s="109">
        <f t="shared" si="1"/>
        <v>2702</v>
      </c>
      <c r="T18" s="110">
        <f t="shared" si="1"/>
        <v>1424131</v>
      </c>
      <c r="U18" s="111">
        <f t="shared" si="5"/>
        <v>47319</v>
      </c>
      <c r="W18" s="93"/>
    </row>
    <row r="19" spans="1:23" x14ac:dyDescent="0.3">
      <c r="A19" s="90">
        <v>11</v>
      </c>
      <c r="B19" s="105">
        <f t="shared" si="6"/>
        <v>45817</v>
      </c>
      <c r="C19" s="85">
        <v>186</v>
      </c>
      <c r="D19" s="107">
        <f>C19/'Sales Pacing'!B13</f>
        <v>396.05970149253727</v>
      </c>
      <c r="E19" s="116">
        <v>89633</v>
      </c>
      <c r="F19" s="117">
        <v>2384</v>
      </c>
      <c r="G19" s="107">
        <f>F19/'Sales Pacing'!E13</f>
        <v>2469.1124598357728</v>
      </c>
      <c r="H19" s="116">
        <v>1390065</v>
      </c>
      <c r="I19" s="118">
        <f t="shared" si="2"/>
        <v>2570</v>
      </c>
      <c r="J19" s="107">
        <f t="shared" si="2"/>
        <v>2865.1721613283103</v>
      </c>
      <c r="K19" s="115">
        <f t="shared" si="2"/>
        <v>1479698</v>
      </c>
      <c r="L19" s="111">
        <f t="shared" si="7"/>
        <v>23586</v>
      </c>
      <c r="N19" s="105">
        <f t="shared" si="4"/>
        <v>45453</v>
      </c>
      <c r="O19" s="109">
        <v>95</v>
      </c>
      <c r="P19" s="110">
        <v>33169</v>
      </c>
      <c r="Q19" s="109">
        <v>2628</v>
      </c>
      <c r="R19" s="110">
        <v>1398365</v>
      </c>
      <c r="S19" s="109">
        <f t="shared" si="1"/>
        <v>2723</v>
      </c>
      <c r="T19" s="110">
        <f t="shared" si="1"/>
        <v>1431534</v>
      </c>
      <c r="U19" s="111">
        <f t="shared" si="5"/>
        <v>7403</v>
      </c>
      <c r="W19" s="93"/>
    </row>
    <row r="20" spans="1:23" x14ac:dyDescent="0.3">
      <c r="A20" s="84">
        <v>12</v>
      </c>
      <c r="B20" s="105">
        <f t="shared" si="6"/>
        <v>45824</v>
      </c>
      <c r="C20" s="85">
        <v>205</v>
      </c>
      <c r="D20" s="107">
        <f>C20/'Sales Pacing'!B14</f>
        <v>404.33179723502309</v>
      </c>
      <c r="E20" s="116">
        <v>94753</v>
      </c>
      <c r="F20" s="117">
        <v>2413</v>
      </c>
      <c r="G20" s="107">
        <f>F20/'Sales Pacing'!E14</f>
        <v>2491.1434163701065</v>
      </c>
      <c r="H20" s="116">
        <v>1408181</v>
      </c>
      <c r="I20" s="114">
        <f t="shared" si="2"/>
        <v>2618</v>
      </c>
      <c r="J20" s="107">
        <f t="shared" si="2"/>
        <v>2895.4752136051297</v>
      </c>
      <c r="K20" s="115">
        <f t="shared" si="2"/>
        <v>1502934</v>
      </c>
      <c r="L20" s="111">
        <f t="shared" si="7"/>
        <v>23236</v>
      </c>
      <c r="N20" s="105">
        <f t="shared" si="4"/>
        <v>45460</v>
      </c>
      <c r="O20" s="109">
        <v>103</v>
      </c>
      <c r="P20" s="110">
        <v>35745</v>
      </c>
      <c r="Q20" s="109">
        <v>2655</v>
      </c>
      <c r="R20" s="110">
        <v>1411925</v>
      </c>
      <c r="S20" s="109">
        <f t="shared" si="1"/>
        <v>2758</v>
      </c>
      <c r="T20" s="110">
        <f t="shared" si="1"/>
        <v>1447670</v>
      </c>
      <c r="U20" s="111">
        <f t="shared" si="5"/>
        <v>16136</v>
      </c>
      <c r="W20" s="93"/>
    </row>
    <row r="21" spans="1:23" x14ac:dyDescent="0.3">
      <c r="A21" s="119" t="s">
        <v>145</v>
      </c>
      <c r="B21" s="372">
        <v>45894</v>
      </c>
      <c r="C21" s="85">
        <v>271</v>
      </c>
      <c r="D21" s="107">
        <f>C21/'Sales Pacing'!B15</f>
        <v>271</v>
      </c>
      <c r="E21" s="116">
        <v>124427</v>
      </c>
      <c r="F21" s="117">
        <v>2424</v>
      </c>
      <c r="G21" s="107">
        <f>F21/'Sales Pacing'!E15</f>
        <v>2424</v>
      </c>
      <c r="H21" s="116">
        <v>1409643</v>
      </c>
      <c r="I21" s="114">
        <f t="shared" si="2"/>
        <v>2695</v>
      </c>
      <c r="J21" s="107">
        <f t="shared" si="2"/>
        <v>2695</v>
      </c>
      <c r="K21" s="374">
        <f t="shared" si="2"/>
        <v>1534070</v>
      </c>
      <c r="L21" s="111">
        <f>IF(K21&gt;0,K21-K20,0)</f>
        <v>31136</v>
      </c>
      <c r="N21" s="120" t="s">
        <v>146</v>
      </c>
      <c r="O21" s="109">
        <v>174</v>
      </c>
      <c r="P21" s="110">
        <v>61963</v>
      </c>
      <c r="Q21" s="109">
        <v>2695</v>
      </c>
      <c r="R21" s="110">
        <v>1429313</v>
      </c>
      <c r="S21" s="109">
        <f t="shared" si="1"/>
        <v>2869</v>
      </c>
      <c r="T21" s="110">
        <f t="shared" si="1"/>
        <v>1491276</v>
      </c>
      <c r="U21" s="111">
        <f t="shared" si="5"/>
        <v>43606</v>
      </c>
      <c r="W21" s="93"/>
    </row>
    <row r="22" spans="1:23" x14ac:dyDescent="0.3">
      <c r="C22" s="109"/>
      <c r="D22" s="109"/>
      <c r="E22" s="110"/>
      <c r="F22" s="109"/>
      <c r="G22" s="109"/>
      <c r="H22" s="110"/>
      <c r="I22" s="109" t="s">
        <v>147</v>
      </c>
      <c r="J22" s="371">
        <f>J21/$S$4</f>
        <v>0.85677836793819406</v>
      </c>
      <c r="K22" s="244">
        <f>K21/$T$4</f>
        <v>0.93826911314984707</v>
      </c>
      <c r="L22" s="110"/>
      <c r="N22" s="105"/>
      <c r="T22" s="110"/>
    </row>
    <row r="23" spans="1:23" x14ac:dyDescent="0.3">
      <c r="B23" s="84" t="s">
        <v>148</v>
      </c>
      <c r="C23" s="109"/>
      <c r="D23" s="109"/>
      <c r="E23" s="110"/>
      <c r="F23" s="109"/>
      <c r="G23" s="109"/>
      <c r="H23" s="110"/>
      <c r="I23" s="109"/>
      <c r="J23" s="109"/>
      <c r="K23" s="110"/>
      <c r="L23" s="110"/>
    </row>
    <row r="24" spans="1:23" x14ac:dyDescent="0.3">
      <c r="B24" s="121">
        <f>F15/S8</f>
        <v>0.79923318229348206</v>
      </c>
      <c r="C24" s="109"/>
      <c r="D24" s="109"/>
      <c r="E24" s="110" t="s">
        <v>149</v>
      </c>
      <c r="F24" s="109"/>
      <c r="G24" s="109"/>
      <c r="H24" s="110"/>
      <c r="I24" s="109"/>
      <c r="J24" s="109"/>
      <c r="K24" s="244"/>
      <c r="L24" s="110"/>
      <c r="N24" s="138" t="s">
        <v>50</v>
      </c>
      <c r="S24" s="394" t="s">
        <v>150</v>
      </c>
      <c r="T24" s="394"/>
    </row>
    <row r="25" spans="1:23" x14ac:dyDescent="0.3">
      <c r="C25" s="109"/>
      <c r="D25" s="109"/>
      <c r="E25" s="110"/>
      <c r="F25" s="109"/>
      <c r="G25" s="109"/>
      <c r="H25" s="110"/>
      <c r="I25" s="109"/>
      <c r="J25" s="109"/>
      <c r="K25" s="110"/>
      <c r="L25" s="110"/>
      <c r="N25" s="92">
        <v>0.26</v>
      </c>
      <c r="O25" s="84" t="s">
        <v>122</v>
      </c>
      <c r="S25" s="84" t="s">
        <v>123</v>
      </c>
      <c r="T25" s="84" t="s">
        <v>124</v>
      </c>
    </row>
    <row r="26" spans="1:23" x14ac:dyDescent="0.3">
      <c r="C26" s="109"/>
      <c r="D26" s="109"/>
      <c r="E26" s="110"/>
      <c r="F26" s="109"/>
      <c r="G26" s="109"/>
      <c r="H26" s="110"/>
      <c r="I26" s="109"/>
      <c r="J26" s="109"/>
      <c r="K26" s="110"/>
      <c r="L26" s="110"/>
      <c r="O26" s="93">
        <f>O30/S30*S26</f>
        <v>240.07343118412092</v>
      </c>
      <c r="P26" s="94">
        <f>P30/O30*O26</f>
        <v>69318.269023589324</v>
      </c>
      <c r="Q26" s="93">
        <f>Q30/S30*S26</f>
        <v>1547.1398898532236</v>
      </c>
      <c r="R26" s="94">
        <f>R30/Q30*Q26</f>
        <v>549681.73097641056</v>
      </c>
      <c r="S26" s="277">
        <f>T26/(T30/S30)</f>
        <v>1787.2133210373447</v>
      </c>
      <c r="T26" s="278">
        <v>619000</v>
      </c>
      <c r="U26" s="279" t="s">
        <v>125</v>
      </c>
    </row>
    <row r="27" spans="1:23" x14ac:dyDescent="0.3">
      <c r="B27" s="138" t="s">
        <v>151</v>
      </c>
      <c r="O27" s="93">
        <f>O31/S31*S27</f>
        <v>3.2060948867812784</v>
      </c>
      <c r="P27" s="94">
        <f>P31/O31*O27</f>
        <v>1038.7747433171342</v>
      </c>
      <c r="Q27" s="93">
        <f>Q31/S31*S27</f>
        <v>109.00722615056347</v>
      </c>
      <c r="R27" s="94">
        <f>R31/Q31*Q27</f>
        <v>44362.73494839255</v>
      </c>
      <c r="S27" s="93">
        <f>T27/(T30/S30)</f>
        <v>112.21332103734474</v>
      </c>
      <c r="T27" s="94">
        <f>T26-T30</f>
        <v>38865</v>
      </c>
      <c r="U27" s="84" t="s">
        <v>127</v>
      </c>
      <c r="W27" s="95"/>
    </row>
    <row r="28" spans="1:23" x14ac:dyDescent="0.3">
      <c r="C28" s="395" t="s">
        <v>128</v>
      </c>
      <c r="D28" s="395"/>
      <c r="E28" s="395"/>
      <c r="F28" s="395" t="s">
        <v>129</v>
      </c>
      <c r="G28" s="395"/>
      <c r="H28" s="395"/>
      <c r="I28" s="395" t="s">
        <v>125</v>
      </c>
      <c r="J28" s="395"/>
      <c r="K28" s="395"/>
      <c r="N28" s="138" t="s">
        <v>152</v>
      </c>
    </row>
    <row r="29" spans="1:23" x14ac:dyDescent="0.3">
      <c r="C29" s="96" t="s">
        <v>132</v>
      </c>
      <c r="D29" s="96" t="s">
        <v>133</v>
      </c>
      <c r="E29" s="96" t="s">
        <v>134</v>
      </c>
      <c r="F29" s="96" t="s">
        <v>132</v>
      </c>
      <c r="G29" s="96" t="s">
        <v>133</v>
      </c>
      <c r="H29" s="96" t="s">
        <v>134</v>
      </c>
      <c r="I29" s="96" t="s">
        <v>132</v>
      </c>
      <c r="J29" s="96" t="s">
        <v>133</v>
      </c>
      <c r="K29" s="96" t="s">
        <v>134</v>
      </c>
      <c r="L29" s="97" t="s">
        <v>135</v>
      </c>
      <c r="O29" s="84" t="s">
        <v>136</v>
      </c>
      <c r="P29" s="84" t="s">
        <v>137</v>
      </c>
      <c r="Q29" s="84" t="s">
        <v>138</v>
      </c>
      <c r="R29" s="84" t="s">
        <v>139</v>
      </c>
      <c r="S29" s="84" t="s">
        <v>140</v>
      </c>
      <c r="T29" s="84" t="s">
        <v>141</v>
      </c>
      <c r="U29" s="97" t="s">
        <v>142</v>
      </c>
    </row>
    <row r="30" spans="1:23" s="98" customFormat="1" x14ac:dyDescent="0.3">
      <c r="A30" s="98" t="s">
        <v>143</v>
      </c>
      <c r="I30" s="99">
        <f>I38</f>
        <v>1561</v>
      </c>
      <c r="J30" s="99"/>
      <c r="K30" s="100">
        <f>K38</f>
        <v>591188</v>
      </c>
      <c r="L30" s="101"/>
      <c r="N30" s="98" t="s">
        <v>144</v>
      </c>
      <c r="O30" s="102">
        <f>O43</f>
        <v>225</v>
      </c>
      <c r="P30" s="102">
        <f t="shared" ref="P30:T30" si="8">P43</f>
        <v>64966</v>
      </c>
      <c r="Q30" s="102">
        <f t="shared" si="8"/>
        <v>1450</v>
      </c>
      <c r="R30" s="102">
        <f t="shared" si="8"/>
        <v>515169</v>
      </c>
      <c r="S30" s="102">
        <f t="shared" si="8"/>
        <v>1675</v>
      </c>
      <c r="T30" s="102">
        <f t="shared" si="8"/>
        <v>580135</v>
      </c>
      <c r="U30" s="101"/>
    </row>
    <row r="31" spans="1:23" x14ac:dyDescent="0.3">
      <c r="A31" s="84">
        <v>1</v>
      </c>
      <c r="B31" s="105">
        <v>45747</v>
      </c>
      <c r="C31" s="106">
        <v>38</v>
      </c>
      <c r="D31" s="107">
        <f>C31/'Sales Pacing'!C3</f>
        <v>1048.1666666666665</v>
      </c>
      <c r="E31" s="108">
        <v>13163</v>
      </c>
      <c r="F31" s="106">
        <v>636</v>
      </c>
      <c r="G31" s="107">
        <f>F31/'Sales Pacing'!F3</f>
        <v>5546.3926541320507</v>
      </c>
      <c r="H31" s="108">
        <v>258782</v>
      </c>
      <c r="I31" s="109">
        <f t="shared" ref="I31:K43" si="9">C31+F31</f>
        <v>674</v>
      </c>
      <c r="J31" s="107">
        <f t="shared" si="9"/>
        <v>6594.5593207987167</v>
      </c>
      <c r="K31" s="110">
        <f t="shared" si="9"/>
        <v>271945</v>
      </c>
      <c r="L31" s="111"/>
      <c r="N31" s="105">
        <v>45383</v>
      </c>
      <c r="O31" s="109">
        <v>2</v>
      </c>
      <c r="P31" s="110">
        <v>648</v>
      </c>
      <c r="Q31" s="109">
        <v>68</v>
      </c>
      <c r="R31" s="110">
        <v>27674</v>
      </c>
      <c r="S31" s="109">
        <f t="shared" ref="S31:T43" si="10">O31+Q31</f>
        <v>70</v>
      </c>
      <c r="T31" s="110">
        <f t="shared" si="10"/>
        <v>28322</v>
      </c>
      <c r="U31" s="97"/>
    </row>
    <row r="32" spans="1:23" x14ac:dyDescent="0.3">
      <c r="A32" s="84">
        <v>2</v>
      </c>
      <c r="B32" s="105">
        <v>45754</v>
      </c>
      <c r="C32" s="106">
        <v>44</v>
      </c>
      <c r="D32" s="107">
        <f>C32/'Sales Pacing'!C4</f>
        <v>606.83333333333326</v>
      </c>
      <c r="E32" s="108">
        <v>14651</v>
      </c>
      <c r="F32" s="106">
        <v>785</v>
      </c>
      <c r="G32" s="107">
        <f>F32/'Sales Pacing'!F4</f>
        <v>3783.5788739330269</v>
      </c>
      <c r="H32" s="108">
        <v>312531</v>
      </c>
      <c r="I32" s="109">
        <f t="shared" si="9"/>
        <v>829</v>
      </c>
      <c r="J32" s="107">
        <f t="shared" si="9"/>
        <v>4390.4122072663604</v>
      </c>
      <c r="K32" s="110">
        <f t="shared" si="9"/>
        <v>327182</v>
      </c>
      <c r="L32" s="111">
        <f t="shared" ref="L32:L43" si="11">IF(K32&gt;0,K32-K31,0)</f>
        <v>55237</v>
      </c>
      <c r="N32" s="105">
        <f t="shared" ref="N32:N42" si="12">N31+7</f>
        <v>45390</v>
      </c>
      <c r="O32" s="109">
        <v>54</v>
      </c>
      <c r="P32" s="110">
        <v>17576</v>
      </c>
      <c r="Q32" s="109">
        <v>181</v>
      </c>
      <c r="R32" s="110">
        <v>68648</v>
      </c>
      <c r="S32" s="109">
        <f t="shared" si="10"/>
        <v>235</v>
      </c>
      <c r="T32" s="110">
        <f t="shared" si="10"/>
        <v>86224</v>
      </c>
      <c r="U32" s="111">
        <f t="shared" ref="U32:U43" si="13">IF(T32&gt;0,T32-T31,0)</f>
        <v>57902</v>
      </c>
    </row>
    <row r="33" spans="1:23" x14ac:dyDescent="0.3">
      <c r="A33" s="84">
        <v>3</v>
      </c>
      <c r="B33" s="105">
        <v>45761</v>
      </c>
      <c r="C33" s="106">
        <v>54</v>
      </c>
      <c r="D33" s="107">
        <f>C33/'Sales Pacing'!C5</f>
        <v>616.34482758620686</v>
      </c>
      <c r="E33" s="108">
        <v>19061</v>
      </c>
      <c r="F33" s="106">
        <v>893</v>
      </c>
      <c r="G33" s="107">
        <f>F33/'Sales Pacing'!F5</f>
        <v>3135.2144042168406</v>
      </c>
      <c r="H33" s="108">
        <v>353304</v>
      </c>
      <c r="I33" s="109">
        <f t="shared" si="9"/>
        <v>947</v>
      </c>
      <c r="J33" s="107">
        <f t="shared" si="9"/>
        <v>3751.5592318030476</v>
      </c>
      <c r="K33" s="110">
        <f t="shared" si="9"/>
        <v>372365</v>
      </c>
      <c r="L33" s="111">
        <f t="shared" si="11"/>
        <v>45183</v>
      </c>
      <c r="N33" s="105">
        <f t="shared" si="12"/>
        <v>45397</v>
      </c>
      <c r="O33" s="109">
        <v>66</v>
      </c>
      <c r="P33" s="110">
        <v>20302</v>
      </c>
      <c r="Q33" s="109">
        <v>283</v>
      </c>
      <c r="R33" s="110">
        <v>105425</v>
      </c>
      <c r="S33" s="109">
        <f t="shared" si="10"/>
        <v>349</v>
      </c>
      <c r="T33" s="110">
        <f t="shared" si="10"/>
        <v>125727</v>
      </c>
      <c r="U33" s="111">
        <f t="shared" si="13"/>
        <v>39503</v>
      </c>
    </row>
    <row r="34" spans="1:23" x14ac:dyDescent="0.3">
      <c r="A34" s="84">
        <v>4</v>
      </c>
      <c r="B34" s="105">
        <v>45768</v>
      </c>
      <c r="C34" s="106">
        <v>60</v>
      </c>
      <c r="D34" s="107">
        <f>C34/'Sales Pacing'!C6</f>
        <v>484.39024390243907</v>
      </c>
      <c r="E34" s="108">
        <v>20782</v>
      </c>
      <c r="F34" s="106">
        <v>1067</v>
      </c>
      <c r="G34" s="107">
        <f>F34/'Sales Pacing'!F6</f>
        <v>2921.0750410175192</v>
      </c>
      <c r="H34" s="108">
        <v>417996</v>
      </c>
      <c r="I34" s="109">
        <f t="shared" si="9"/>
        <v>1127</v>
      </c>
      <c r="J34" s="107">
        <f t="shared" si="9"/>
        <v>3405.4652849199583</v>
      </c>
      <c r="K34" s="110">
        <f t="shared" si="9"/>
        <v>438778</v>
      </c>
      <c r="L34" s="111">
        <f t="shared" si="11"/>
        <v>66413</v>
      </c>
      <c r="N34" s="105">
        <f t="shared" si="12"/>
        <v>45404</v>
      </c>
      <c r="O34" s="109">
        <v>86</v>
      </c>
      <c r="P34" s="110">
        <v>26557</v>
      </c>
      <c r="Q34" s="109">
        <v>389</v>
      </c>
      <c r="R34" s="110">
        <v>146108</v>
      </c>
      <c r="S34" s="109">
        <f t="shared" si="10"/>
        <v>475</v>
      </c>
      <c r="T34" s="110">
        <f t="shared" si="10"/>
        <v>172665</v>
      </c>
      <c r="U34" s="111">
        <f t="shared" si="13"/>
        <v>46938</v>
      </c>
    </row>
    <row r="35" spans="1:23" x14ac:dyDescent="0.3">
      <c r="A35" s="87">
        <v>5</v>
      </c>
      <c r="B35" s="105">
        <f t="shared" ref="B35:B42" si="14">B34+7</f>
        <v>45775</v>
      </c>
      <c r="C35" s="106">
        <v>118</v>
      </c>
      <c r="D35" s="107">
        <f>C35/'Sales Pacing'!C7</f>
        <v>566.05797101449275</v>
      </c>
      <c r="E35" s="108">
        <v>38918</v>
      </c>
      <c r="F35" s="106">
        <v>1300</v>
      </c>
      <c r="G35" s="107">
        <f>F35/'Sales Pacing'!F7</f>
        <v>2887.9508729012855</v>
      </c>
      <c r="H35" s="108">
        <v>502867</v>
      </c>
      <c r="I35" s="113">
        <f t="shared" si="9"/>
        <v>1418</v>
      </c>
      <c r="J35" s="107">
        <f t="shared" si="9"/>
        <v>3454.008843915778</v>
      </c>
      <c r="K35" s="110">
        <f t="shared" si="9"/>
        <v>541785</v>
      </c>
      <c r="L35" s="111">
        <f t="shared" si="11"/>
        <v>103007</v>
      </c>
      <c r="N35" s="105">
        <f t="shared" si="12"/>
        <v>45411</v>
      </c>
      <c r="O35" s="109">
        <v>86</v>
      </c>
      <c r="P35" s="110">
        <v>26557</v>
      </c>
      <c r="Q35" s="109">
        <v>476</v>
      </c>
      <c r="R35" s="110">
        <v>178054</v>
      </c>
      <c r="S35" s="109">
        <f t="shared" si="10"/>
        <v>562</v>
      </c>
      <c r="T35" s="110">
        <f t="shared" si="10"/>
        <v>204611</v>
      </c>
      <c r="U35" s="111">
        <f t="shared" si="13"/>
        <v>31946</v>
      </c>
    </row>
    <row r="36" spans="1:23" x14ac:dyDescent="0.3">
      <c r="A36" s="84">
        <v>6</v>
      </c>
      <c r="B36" s="105">
        <f t="shared" si="14"/>
        <v>45782</v>
      </c>
      <c r="C36" s="106">
        <v>157</v>
      </c>
      <c r="D36" s="107">
        <f>C36/'Sales Pacing'!C8</f>
        <v>683.77631578947364</v>
      </c>
      <c r="E36" s="108">
        <v>51765</v>
      </c>
      <c r="F36" s="106">
        <v>1358</v>
      </c>
      <c r="G36" s="107">
        <f>F36/'Sales Pacing'!F8</f>
        <v>2121.6397891180291</v>
      </c>
      <c r="H36" s="108">
        <v>522161</v>
      </c>
      <c r="I36" s="109">
        <f t="shared" si="9"/>
        <v>1515</v>
      </c>
      <c r="J36" s="107">
        <f t="shared" si="9"/>
        <v>2805.4161049075028</v>
      </c>
      <c r="K36" s="115">
        <f t="shared" si="9"/>
        <v>573926</v>
      </c>
      <c r="L36" s="111">
        <f t="shared" si="11"/>
        <v>32141</v>
      </c>
      <c r="N36" s="105">
        <f t="shared" si="12"/>
        <v>45418</v>
      </c>
      <c r="O36" s="109">
        <v>98</v>
      </c>
      <c r="P36" s="110">
        <v>31472</v>
      </c>
      <c r="Q36" s="109">
        <v>806</v>
      </c>
      <c r="R36" s="110">
        <v>294720</v>
      </c>
      <c r="S36" s="109">
        <f t="shared" si="10"/>
        <v>904</v>
      </c>
      <c r="T36" s="110">
        <f t="shared" si="10"/>
        <v>326192</v>
      </c>
      <c r="U36" s="111">
        <f t="shared" si="13"/>
        <v>121581</v>
      </c>
    </row>
    <row r="37" spans="1:23" x14ac:dyDescent="0.3">
      <c r="A37" s="84">
        <v>7</v>
      </c>
      <c r="B37" s="105">
        <f t="shared" si="14"/>
        <v>45789</v>
      </c>
      <c r="C37" s="106">
        <v>165</v>
      </c>
      <c r="D37" s="107">
        <f>C37/'Sales Pacing'!C9</f>
        <v>593.64130434782601</v>
      </c>
      <c r="E37" s="108">
        <v>54301</v>
      </c>
      <c r="F37" s="106">
        <v>1365</v>
      </c>
      <c r="G37" s="107">
        <f>F37/'Sales Pacing'!F9</f>
        <v>1717.3750419561941</v>
      </c>
      <c r="H37" s="108">
        <v>525805</v>
      </c>
      <c r="I37" s="109">
        <f t="shared" si="9"/>
        <v>1530</v>
      </c>
      <c r="J37" s="107">
        <f t="shared" si="9"/>
        <v>2311.0163463040199</v>
      </c>
      <c r="K37" s="115">
        <f t="shared" si="9"/>
        <v>580106</v>
      </c>
      <c r="L37" s="111">
        <f t="shared" si="11"/>
        <v>6180</v>
      </c>
      <c r="N37" s="105">
        <f t="shared" si="12"/>
        <v>45425</v>
      </c>
      <c r="O37" s="84">
        <v>113</v>
      </c>
      <c r="P37" s="122">
        <v>36672</v>
      </c>
      <c r="Q37" s="123">
        <v>1031</v>
      </c>
      <c r="R37" s="122">
        <v>372369</v>
      </c>
      <c r="S37" s="109">
        <f t="shared" si="10"/>
        <v>1144</v>
      </c>
      <c r="T37" s="110">
        <f t="shared" si="10"/>
        <v>409041</v>
      </c>
      <c r="U37" s="111">
        <f t="shared" si="13"/>
        <v>82849</v>
      </c>
    </row>
    <row r="38" spans="1:23" x14ac:dyDescent="0.3">
      <c r="A38" s="84">
        <v>8</v>
      </c>
      <c r="B38" s="105">
        <f t="shared" si="14"/>
        <v>45796</v>
      </c>
      <c r="C38" s="117">
        <v>199</v>
      </c>
      <c r="D38" s="107">
        <f>C38/'Sales Pacing'!C10</f>
        <v>639.504854368932</v>
      </c>
      <c r="E38" s="116">
        <v>65018</v>
      </c>
      <c r="F38" s="117">
        <v>1362</v>
      </c>
      <c r="G38" s="107">
        <f>F38/'Sales Pacing'!F10</f>
        <v>1532.8470860296795</v>
      </c>
      <c r="H38" s="116">
        <v>526170</v>
      </c>
      <c r="I38" s="114">
        <f t="shared" si="9"/>
        <v>1561</v>
      </c>
      <c r="J38" s="107">
        <f t="shared" si="9"/>
        <v>2172.3519403986115</v>
      </c>
      <c r="K38" s="115">
        <f t="shared" si="9"/>
        <v>591188</v>
      </c>
      <c r="L38" s="111">
        <f t="shared" si="11"/>
        <v>11082</v>
      </c>
      <c r="N38" s="105">
        <f t="shared" si="12"/>
        <v>45432</v>
      </c>
      <c r="O38" s="109">
        <v>127</v>
      </c>
      <c r="P38" s="122">
        <v>40518</v>
      </c>
      <c r="Q38" s="123">
        <v>1267</v>
      </c>
      <c r="R38" s="122">
        <v>452816</v>
      </c>
      <c r="S38" s="109">
        <f t="shared" si="10"/>
        <v>1394</v>
      </c>
      <c r="T38" s="110">
        <f t="shared" si="10"/>
        <v>493334</v>
      </c>
      <c r="U38" s="111">
        <f t="shared" si="13"/>
        <v>84293</v>
      </c>
      <c r="W38" s="93"/>
    </row>
    <row r="39" spans="1:23" x14ac:dyDescent="0.3">
      <c r="A39" s="84">
        <v>9</v>
      </c>
      <c r="B39" s="105">
        <f t="shared" si="14"/>
        <v>45803</v>
      </c>
      <c r="C39" s="117">
        <v>220</v>
      </c>
      <c r="D39" s="107">
        <f>C39/'Sales Pacing'!C11</f>
        <v>568.90625</v>
      </c>
      <c r="E39" s="116">
        <v>73218</v>
      </c>
      <c r="F39" s="117">
        <v>1368</v>
      </c>
      <c r="G39" s="107">
        <f>F39/'Sales Pacing'!F11</f>
        <v>1451.7935022689851</v>
      </c>
      <c r="H39" s="116">
        <v>531352</v>
      </c>
      <c r="I39" s="109">
        <f t="shared" si="9"/>
        <v>1588</v>
      </c>
      <c r="J39" s="107">
        <f t="shared" si="9"/>
        <v>2020.6997522689851</v>
      </c>
      <c r="K39" s="115">
        <f t="shared" si="9"/>
        <v>604570</v>
      </c>
      <c r="L39" s="111">
        <f t="shared" si="11"/>
        <v>13382</v>
      </c>
      <c r="N39" s="105">
        <f t="shared" si="12"/>
        <v>45439</v>
      </c>
      <c r="O39" s="109">
        <v>160</v>
      </c>
      <c r="P39" s="122">
        <v>48485</v>
      </c>
      <c r="Q39" s="123">
        <v>1395</v>
      </c>
      <c r="R39" s="122">
        <v>497335</v>
      </c>
      <c r="S39" s="109">
        <f t="shared" si="10"/>
        <v>1555</v>
      </c>
      <c r="T39" s="110">
        <f t="shared" si="10"/>
        <v>545820</v>
      </c>
      <c r="U39" s="111">
        <f t="shared" si="13"/>
        <v>52486</v>
      </c>
      <c r="W39" s="93"/>
    </row>
    <row r="40" spans="1:23" x14ac:dyDescent="0.3">
      <c r="A40" s="90">
        <v>10</v>
      </c>
      <c r="B40" s="105">
        <f t="shared" si="14"/>
        <v>45810</v>
      </c>
      <c r="C40" s="117">
        <v>239</v>
      </c>
      <c r="D40" s="107">
        <f>C40/'Sales Pacing'!C12</f>
        <v>557.1056338028169</v>
      </c>
      <c r="E40" s="116">
        <v>80035</v>
      </c>
      <c r="F40" s="117">
        <v>1374</v>
      </c>
      <c r="G40" s="107">
        <f>F40/'Sales Pacing'!F12</f>
        <v>1439.257790435646</v>
      </c>
      <c r="H40" s="116">
        <v>536728</v>
      </c>
      <c r="I40" s="118">
        <f t="shared" si="9"/>
        <v>1613</v>
      </c>
      <c r="J40" s="107">
        <f t="shared" si="9"/>
        <v>1996.3634242384628</v>
      </c>
      <c r="K40" s="115">
        <f t="shared" si="9"/>
        <v>616763</v>
      </c>
      <c r="L40" s="111">
        <f t="shared" si="11"/>
        <v>12193</v>
      </c>
      <c r="N40" s="105">
        <f t="shared" si="12"/>
        <v>45446</v>
      </c>
      <c r="O40" s="123">
        <v>172</v>
      </c>
      <c r="P40" s="110">
        <v>51234</v>
      </c>
      <c r="Q40" s="109">
        <v>1411</v>
      </c>
      <c r="R40" s="110">
        <v>502695</v>
      </c>
      <c r="S40" s="109">
        <f t="shared" si="10"/>
        <v>1583</v>
      </c>
      <c r="T40" s="110">
        <f t="shared" si="10"/>
        <v>553929</v>
      </c>
      <c r="U40" s="111">
        <f t="shared" si="13"/>
        <v>8109</v>
      </c>
    </row>
    <row r="41" spans="1:23" x14ac:dyDescent="0.3">
      <c r="A41" s="84">
        <v>11</v>
      </c>
      <c r="B41" s="105">
        <f t="shared" si="14"/>
        <v>45817</v>
      </c>
      <c r="C41" s="117">
        <v>255</v>
      </c>
      <c r="D41" s="107">
        <f>C41/'Sales Pacing'!C13</f>
        <v>530.84905660377353</v>
      </c>
      <c r="E41" s="116">
        <v>89633</v>
      </c>
      <c r="F41" s="117">
        <v>1407</v>
      </c>
      <c r="G41" s="107">
        <f>F41/'Sales Pacing'!F13</f>
        <v>1457.5734767710057</v>
      </c>
      <c r="H41" s="116">
        <v>540393</v>
      </c>
      <c r="I41" s="109">
        <f t="shared" si="9"/>
        <v>1662</v>
      </c>
      <c r="J41" s="107">
        <f t="shared" si="9"/>
        <v>1988.4225333747793</v>
      </c>
      <c r="K41" s="115">
        <f t="shared" si="9"/>
        <v>630026</v>
      </c>
      <c r="L41" s="111">
        <f t="shared" si="11"/>
        <v>13263</v>
      </c>
      <c r="N41" s="105">
        <f t="shared" si="12"/>
        <v>45453</v>
      </c>
      <c r="O41" s="123">
        <v>187</v>
      </c>
      <c r="P41" s="110">
        <v>55826</v>
      </c>
      <c r="Q41" s="109">
        <v>1418</v>
      </c>
      <c r="R41" s="110">
        <v>505550</v>
      </c>
      <c r="S41" s="109">
        <f t="shared" si="10"/>
        <v>1605</v>
      </c>
      <c r="T41" s="110">
        <f t="shared" si="10"/>
        <v>561376</v>
      </c>
      <c r="U41" s="111">
        <f t="shared" si="13"/>
        <v>7447</v>
      </c>
    </row>
    <row r="42" spans="1:23" x14ac:dyDescent="0.3">
      <c r="A42" s="84">
        <v>12</v>
      </c>
      <c r="B42" s="105">
        <f t="shared" si="14"/>
        <v>45824</v>
      </c>
      <c r="C42" s="117">
        <v>270</v>
      </c>
      <c r="D42" s="107">
        <f>C42/'Sales Pacing'!C14</f>
        <v>470.36842105263156</v>
      </c>
      <c r="E42" s="116">
        <v>90711</v>
      </c>
      <c r="F42" s="117">
        <v>1383</v>
      </c>
      <c r="G42" s="107">
        <f>F42/'Sales Pacing'!F14</f>
        <v>1420.0539987644104</v>
      </c>
      <c r="H42" s="116">
        <v>543160</v>
      </c>
      <c r="I42" s="109">
        <f t="shared" si="9"/>
        <v>1653</v>
      </c>
      <c r="J42" s="107">
        <f t="shared" si="9"/>
        <v>1890.4224198170418</v>
      </c>
      <c r="K42" s="115">
        <f t="shared" si="9"/>
        <v>633871</v>
      </c>
      <c r="L42" s="111">
        <f t="shared" si="11"/>
        <v>3845</v>
      </c>
      <c r="N42" s="105">
        <f t="shared" si="12"/>
        <v>45460</v>
      </c>
      <c r="O42" s="123">
        <v>193</v>
      </c>
      <c r="P42" s="124">
        <v>57355</v>
      </c>
      <c r="Q42" s="125">
        <v>1434</v>
      </c>
      <c r="R42" s="124">
        <v>510568</v>
      </c>
      <c r="S42" s="109">
        <f t="shared" si="10"/>
        <v>1627</v>
      </c>
      <c r="T42" s="110">
        <f t="shared" si="10"/>
        <v>567923</v>
      </c>
      <c r="U42" s="111">
        <f t="shared" si="13"/>
        <v>6547</v>
      </c>
    </row>
    <row r="43" spans="1:23" x14ac:dyDescent="0.3">
      <c r="A43" s="119" t="s">
        <v>145</v>
      </c>
      <c r="B43" s="372">
        <v>45894</v>
      </c>
      <c r="C43" s="117">
        <v>348</v>
      </c>
      <c r="D43" s="107">
        <f>C43/'Sales Pacing'!C15</f>
        <v>348</v>
      </c>
      <c r="E43" s="116">
        <v>111393</v>
      </c>
      <c r="F43" s="117">
        <v>1409</v>
      </c>
      <c r="G43" s="107">
        <f>F43/'Sales Pacing'!F15</f>
        <v>1409</v>
      </c>
      <c r="H43" s="116">
        <v>544870</v>
      </c>
      <c r="I43" s="109">
        <f t="shared" si="9"/>
        <v>1757</v>
      </c>
      <c r="J43" s="107">
        <f t="shared" si="9"/>
        <v>1757</v>
      </c>
      <c r="K43" s="376">
        <f t="shared" si="9"/>
        <v>656263</v>
      </c>
      <c r="L43" s="111">
        <f t="shared" si="11"/>
        <v>22392</v>
      </c>
      <c r="N43" s="120" t="s">
        <v>146</v>
      </c>
      <c r="O43" s="123">
        <v>225</v>
      </c>
      <c r="P43" s="110">
        <v>64966</v>
      </c>
      <c r="Q43" s="109">
        <v>1450</v>
      </c>
      <c r="R43" s="110">
        <v>515169</v>
      </c>
      <c r="S43" s="109">
        <f t="shared" si="10"/>
        <v>1675</v>
      </c>
      <c r="T43" s="110">
        <f t="shared" si="10"/>
        <v>580135</v>
      </c>
      <c r="U43" s="111">
        <f t="shared" si="13"/>
        <v>12212</v>
      </c>
    </row>
    <row r="44" spans="1:23" x14ac:dyDescent="0.3">
      <c r="C44" s="109"/>
      <c r="D44" s="109"/>
      <c r="E44" s="110"/>
      <c r="F44" s="109"/>
      <c r="G44" s="109"/>
      <c r="H44" s="110"/>
      <c r="I44" s="109" t="s">
        <v>147</v>
      </c>
      <c r="J44" s="371">
        <f>J43/$S$26</f>
        <v>0.98309473151206817</v>
      </c>
      <c r="K44" s="244">
        <f>K43/$T$26</f>
        <v>1.0601987075928918</v>
      </c>
      <c r="L44" s="110"/>
    </row>
    <row r="45" spans="1:23" x14ac:dyDescent="0.3">
      <c r="B45" s="84" t="s">
        <v>148</v>
      </c>
      <c r="C45" s="109"/>
      <c r="D45" s="109"/>
      <c r="F45" s="109"/>
      <c r="G45" s="109"/>
      <c r="I45" s="109"/>
      <c r="J45" s="109"/>
    </row>
    <row r="46" spans="1:23" x14ac:dyDescent="0.3">
      <c r="B46" s="121">
        <f>F37/S30</f>
        <v>0.81492537313432833</v>
      </c>
      <c r="I46" s="109"/>
      <c r="J46" s="109"/>
      <c r="K46" s="95"/>
      <c r="L46" s="95"/>
    </row>
    <row r="47" spans="1:23" x14ac:dyDescent="0.3">
      <c r="B47" s="121"/>
      <c r="I47" s="109"/>
      <c r="J47" s="109"/>
    </row>
    <row r="48" spans="1:23" x14ac:dyDescent="0.3">
      <c r="A48" s="26" t="s">
        <v>109</v>
      </c>
      <c r="K48" s="95"/>
    </row>
    <row r="49" spans="1:11" x14ac:dyDescent="0.3">
      <c r="A49" s="28" t="s">
        <v>153</v>
      </c>
      <c r="K49" s="95"/>
    </row>
    <row r="50" spans="1:11" x14ac:dyDescent="0.3">
      <c r="A50" s="84" t="s">
        <v>154</v>
      </c>
    </row>
    <row r="51" spans="1:11" x14ac:dyDescent="0.3">
      <c r="A51" s="84" t="s">
        <v>155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39" priority="9" operator="equal">
      <formula>0</formula>
    </cfRule>
    <cfRule type="cellIs" dxfId="38" priority="10" operator="lessThanOrEqual">
      <formula>0.9*$O$4</formula>
    </cfRule>
    <cfRule type="cellIs" dxfId="37" priority="11" operator="between">
      <formula>0.9*$O$4</formula>
      <formula>0.9999*$O$4</formula>
    </cfRule>
    <cfRule type="cellIs" dxfId="36" priority="12" operator="greaterThanOrEqual">
      <formula>$O$4</formula>
    </cfRule>
  </conditionalFormatting>
  <conditionalFormatting sqref="D31:D43">
    <cfRule type="cellIs" dxfId="35" priority="1" operator="equal">
      <formula>0</formula>
    </cfRule>
    <cfRule type="cellIs" dxfId="34" priority="2" operator="lessThanOrEqual">
      <formula>0.9*$O$26</formula>
    </cfRule>
    <cfRule type="cellIs" dxfId="33" priority="3" operator="between">
      <formula>0.9*$O$26</formula>
      <formula>0.9999*$O$26</formula>
    </cfRule>
    <cfRule type="cellIs" dxfId="32" priority="4" operator="greaterThanOrEqual">
      <formula>$O$26</formula>
    </cfRule>
  </conditionalFormatting>
  <conditionalFormatting sqref="G9:G21">
    <cfRule type="cellIs" dxfId="31" priority="13" operator="equal">
      <formula>0</formula>
    </cfRule>
    <cfRule type="cellIs" dxfId="30" priority="14" operator="lessThanOrEqual">
      <formula>0.9*$Q$4</formula>
    </cfRule>
    <cfRule type="cellIs" dxfId="29" priority="15" operator="between">
      <formula>0.9*$Q$4</formula>
      <formula>0.9999*$Q$4</formula>
    </cfRule>
    <cfRule type="cellIs" dxfId="28" priority="16" operator="greaterThanOrEqual">
      <formula>$Q$4</formula>
    </cfRule>
  </conditionalFormatting>
  <conditionalFormatting sqref="G31:G43">
    <cfRule type="cellIs" dxfId="27" priority="5" operator="equal">
      <formula>0</formula>
    </cfRule>
    <cfRule type="cellIs" dxfId="26" priority="6" operator="lessThanOrEqual">
      <formula>0.9*$Q$26</formula>
    </cfRule>
    <cfRule type="cellIs" dxfId="25" priority="7" operator="between">
      <formula>0.9*$Q$26</formula>
      <formula>0.9999*$Q$26</formula>
    </cfRule>
    <cfRule type="cellIs" dxfId="24" priority="8" operator="greaterThanOrEqual">
      <formula>$Q$26</formula>
    </cfRule>
  </conditionalFormatting>
  <conditionalFormatting sqref="J9:J21">
    <cfRule type="cellIs" dxfId="23" priority="21" operator="equal">
      <formula>0</formula>
    </cfRule>
    <cfRule type="cellIs" dxfId="22" priority="22" operator="lessThanOrEqual">
      <formula>0.9*$S$4</formula>
    </cfRule>
    <cfRule type="cellIs" dxfId="21" priority="23" operator="between">
      <formula>0.9*$S$4</formula>
      <formula>0.9999*$S$4</formula>
    </cfRule>
    <cfRule type="cellIs" dxfId="20" priority="24" operator="greaterThanOrEqual">
      <formula>$S$4</formula>
    </cfRule>
  </conditionalFormatting>
  <conditionalFormatting sqref="J31:J43">
    <cfRule type="cellIs" dxfId="19" priority="17" operator="equal">
      <formula>0</formula>
    </cfRule>
    <cfRule type="cellIs" dxfId="18" priority="18" operator="lessThanOrEqual">
      <formula>0.9*$S$26</formula>
    </cfRule>
    <cfRule type="cellIs" dxfId="17" priority="19" operator="between">
      <formula>0.9*$S$26</formula>
      <formula>0.9999*$S$26</formula>
    </cfRule>
    <cfRule type="cellIs" dxfId="16" priority="20" operator="greaterThanOrEqual">
      <formula>$S$26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defaultRowHeight="14.4" x14ac:dyDescent="0.3"/>
  <cols>
    <col min="1" max="1" width="37" customWidth="1"/>
    <col min="2" max="11" width="13.33203125" customWidth="1"/>
  </cols>
  <sheetData>
    <row r="1" spans="1:11" x14ac:dyDescent="0.3">
      <c r="A1" s="177" t="s">
        <v>156</v>
      </c>
    </row>
    <row r="2" spans="1:11" ht="14.4" customHeight="1" x14ac:dyDescent="0.3">
      <c r="A2" s="151" t="s">
        <v>157</v>
      </c>
      <c r="B2" s="396" t="s">
        <v>158</v>
      </c>
      <c r="C2" s="397"/>
      <c r="D2" s="397"/>
      <c r="E2" s="397"/>
      <c r="F2" s="398"/>
      <c r="G2" s="152" t="s">
        <v>157</v>
      </c>
      <c r="H2" s="396" t="s">
        <v>159</v>
      </c>
      <c r="I2" s="397"/>
      <c r="J2" s="398"/>
      <c r="K2" s="153" t="s">
        <v>157</v>
      </c>
    </row>
    <row r="3" spans="1:11" ht="31.2" x14ac:dyDescent="0.3">
      <c r="A3" s="154" t="s">
        <v>160</v>
      </c>
      <c r="B3" s="155" t="s">
        <v>161</v>
      </c>
      <c r="C3" s="156" t="s">
        <v>162</v>
      </c>
      <c r="D3" s="156" t="s">
        <v>163</v>
      </c>
      <c r="E3" s="155" t="s">
        <v>164</v>
      </c>
      <c r="F3" s="155" t="s">
        <v>165</v>
      </c>
      <c r="G3" s="156" t="s">
        <v>166</v>
      </c>
      <c r="H3" s="156" t="s">
        <v>167</v>
      </c>
      <c r="I3" s="155" t="s">
        <v>168</v>
      </c>
      <c r="J3" s="155" t="s">
        <v>161</v>
      </c>
      <c r="K3" s="157" t="s">
        <v>169</v>
      </c>
    </row>
    <row r="4" spans="1:11" ht="15.6" x14ac:dyDescent="0.3">
      <c r="A4" s="158"/>
      <c r="B4" s="159" t="s">
        <v>170</v>
      </c>
      <c r="C4" s="160"/>
      <c r="D4" s="160"/>
      <c r="E4" s="159" t="s">
        <v>171</v>
      </c>
      <c r="F4" s="159" t="s">
        <v>172</v>
      </c>
      <c r="G4" s="160"/>
      <c r="H4" s="160"/>
      <c r="I4" s="159" t="s">
        <v>173</v>
      </c>
      <c r="J4" s="159" t="s">
        <v>174</v>
      </c>
      <c r="K4" s="161"/>
    </row>
    <row r="5" spans="1:11" ht="15.6" x14ac:dyDescent="0.3">
      <c r="A5" s="162" t="s">
        <v>175</v>
      </c>
      <c r="B5" s="156" t="s">
        <v>157</v>
      </c>
      <c r="C5" s="156" t="s">
        <v>157</v>
      </c>
      <c r="D5" s="156" t="s">
        <v>176</v>
      </c>
      <c r="E5" s="156" t="s">
        <v>157</v>
      </c>
      <c r="F5" s="156" t="s">
        <v>157</v>
      </c>
      <c r="G5" s="156" t="s">
        <v>157</v>
      </c>
      <c r="H5" s="156" t="s">
        <v>157</v>
      </c>
      <c r="I5" s="156" t="s">
        <v>157</v>
      </c>
      <c r="J5" s="156" t="s">
        <v>157</v>
      </c>
      <c r="K5" s="157" t="s">
        <v>157</v>
      </c>
    </row>
    <row r="6" spans="1:11" ht="15.6" x14ac:dyDescent="0.3">
      <c r="A6" s="163" t="s">
        <v>177</v>
      </c>
      <c r="B6" s="160"/>
      <c r="C6" s="160"/>
      <c r="D6" s="160"/>
      <c r="E6" s="160"/>
      <c r="F6" s="160"/>
      <c r="G6" s="160"/>
      <c r="H6" s="160"/>
      <c r="I6" s="160"/>
      <c r="J6" s="160"/>
      <c r="K6" s="161"/>
    </row>
    <row r="7" spans="1:11" ht="15.6" x14ac:dyDescent="0.3">
      <c r="A7" s="162" t="s">
        <v>178</v>
      </c>
      <c r="B7" s="156" t="s">
        <v>157</v>
      </c>
      <c r="C7" s="156" t="s">
        <v>157</v>
      </c>
      <c r="D7" s="156" t="s">
        <v>179</v>
      </c>
      <c r="E7" s="156" t="s">
        <v>157</v>
      </c>
      <c r="F7" s="156" t="s">
        <v>157</v>
      </c>
      <c r="G7" s="156" t="s">
        <v>157</v>
      </c>
      <c r="H7" s="156" t="s">
        <v>157</v>
      </c>
      <c r="I7" s="156" t="s">
        <v>157</v>
      </c>
      <c r="J7" s="156" t="s">
        <v>157</v>
      </c>
      <c r="K7" s="157" t="s">
        <v>157</v>
      </c>
    </row>
    <row r="8" spans="1:11" ht="15.6" x14ac:dyDescent="0.3">
      <c r="A8" s="163" t="s">
        <v>180</v>
      </c>
      <c r="B8" s="160"/>
      <c r="C8" s="160"/>
      <c r="D8" s="160"/>
      <c r="E8" s="160"/>
      <c r="F8" s="160"/>
      <c r="G8" s="160"/>
      <c r="H8" s="160"/>
      <c r="I8" s="160"/>
      <c r="J8" s="160"/>
      <c r="K8" s="161"/>
    </row>
    <row r="9" spans="1:11" ht="15.6" x14ac:dyDescent="0.3">
      <c r="A9" s="164" t="s">
        <v>181</v>
      </c>
      <c r="B9" s="165" t="s">
        <v>157</v>
      </c>
      <c r="C9" s="165" t="s">
        <v>157</v>
      </c>
      <c r="D9" s="165" t="s">
        <v>182</v>
      </c>
      <c r="E9" s="165" t="s">
        <v>157</v>
      </c>
      <c r="F9" s="165" t="s">
        <v>157</v>
      </c>
      <c r="G9" s="165" t="s">
        <v>157</v>
      </c>
      <c r="H9" s="165" t="s">
        <v>157</v>
      </c>
      <c r="I9" s="165" t="s">
        <v>157</v>
      </c>
      <c r="J9" s="165" t="s">
        <v>157</v>
      </c>
      <c r="K9" s="166" t="s">
        <v>157</v>
      </c>
    </row>
    <row r="10" spans="1:11" ht="15.6" x14ac:dyDescent="0.3">
      <c r="A10" s="162" t="s">
        <v>183</v>
      </c>
      <c r="B10" s="156" t="s">
        <v>157</v>
      </c>
      <c r="C10" s="156" t="s">
        <v>157</v>
      </c>
      <c r="D10" s="156" t="s">
        <v>184</v>
      </c>
      <c r="E10" s="156" t="s">
        <v>157</v>
      </c>
      <c r="F10" s="156" t="s">
        <v>157</v>
      </c>
      <c r="G10" s="156" t="s">
        <v>157</v>
      </c>
      <c r="H10" s="156" t="s">
        <v>157</v>
      </c>
      <c r="I10" s="156" t="s">
        <v>157</v>
      </c>
      <c r="J10" s="156" t="s">
        <v>157</v>
      </c>
      <c r="K10" s="157" t="s">
        <v>157</v>
      </c>
    </row>
    <row r="11" spans="1:11" ht="15.6" x14ac:dyDescent="0.3">
      <c r="A11" s="163" t="s">
        <v>185</v>
      </c>
      <c r="B11" s="160"/>
      <c r="C11" s="160"/>
      <c r="D11" s="160"/>
      <c r="E11" s="160"/>
      <c r="F11" s="160"/>
      <c r="G11" s="160"/>
      <c r="H11" s="160"/>
      <c r="I11" s="160"/>
      <c r="J11" s="160"/>
      <c r="K11" s="161"/>
    </row>
    <row r="12" spans="1:11" ht="15.6" x14ac:dyDescent="0.3">
      <c r="A12" s="164" t="s">
        <v>186</v>
      </c>
      <c r="B12" s="165" t="s">
        <v>157</v>
      </c>
      <c r="C12" s="165" t="s">
        <v>157</v>
      </c>
      <c r="D12" s="165" t="s">
        <v>187</v>
      </c>
      <c r="E12" s="165" t="s">
        <v>157</v>
      </c>
      <c r="F12" s="165" t="s">
        <v>157</v>
      </c>
      <c r="G12" s="165" t="s">
        <v>157</v>
      </c>
      <c r="H12" s="165" t="s">
        <v>157</v>
      </c>
      <c r="I12" s="165" t="s">
        <v>157</v>
      </c>
      <c r="J12" s="165" t="s">
        <v>157</v>
      </c>
      <c r="K12" s="166" t="s">
        <v>157</v>
      </c>
    </row>
    <row r="13" spans="1:11" ht="15.6" x14ac:dyDescent="0.3">
      <c r="A13" s="164" t="s">
        <v>188</v>
      </c>
      <c r="B13" s="165" t="s">
        <v>157</v>
      </c>
      <c r="C13" s="165" t="s">
        <v>157</v>
      </c>
      <c r="D13" s="165" t="s">
        <v>157</v>
      </c>
      <c r="E13" s="165" t="s">
        <v>157</v>
      </c>
      <c r="F13" s="165" t="s">
        <v>157</v>
      </c>
      <c r="G13" s="165" t="s">
        <v>157</v>
      </c>
      <c r="H13" s="165" t="s">
        <v>157</v>
      </c>
      <c r="I13" s="165" t="s">
        <v>157</v>
      </c>
      <c r="J13" s="165" t="s">
        <v>157</v>
      </c>
      <c r="K13" s="166" t="s">
        <v>157</v>
      </c>
    </row>
    <row r="14" spans="1:11" ht="15.6" x14ac:dyDescent="0.3">
      <c r="A14" s="167" t="s">
        <v>157</v>
      </c>
      <c r="B14" s="168" t="s">
        <v>157</v>
      </c>
      <c r="C14" s="168" t="s">
        <v>157</v>
      </c>
      <c r="D14" s="168" t="s">
        <v>157</v>
      </c>
      <c r="E14" s="168" t="s">
        <v>157</v>
      </c>
      <c r="F14" s="168" t="s">
        <v>157</v>
      </c>
      <c r="G14" s="168" t="s">
        <v>157</v>
      </c>
      <c r="H14" s="168" t="s">
        <v>157</v>
      </c>
      <c r="I14" s="168" t="s">
        <v>157</v>
      </c>
      <c r="J14" s="168" t="s">
        <v>157</v>
      </c>
      <c r="K14" s="169" t="s">
        <v>157</v>
      </c>
    </row>
    <row r="15" spans="1:11" ht="15.6" x14ac:dyDescent="0.3">
      <c r="A15" s="164" t="s">
        <v>189</v>
      </c>
      <c r="B15" s="165" t="s">
        <v>157</v>
      </c>
      <c r="C15" s="165" t="s">
        <v>157</v>
      </c>
      <c r="D15" s="165" t="s">
        <v>157</v>
      </c>
      <c r="E15" s="165" t="s">
        <v>157</v>
      </c>
      <c r="F15" s="165" t="s">
        <v>157</v>
      </c>
      <c r="G15" s="165" t="s">
        <v>157</v>
      </c>
      <c r="H15" s="165" t="s">
        <v>157</v>
      </c>
      <c r="I15" s="165" t="s">
        <v>157</v>
      </c>
      <c r="J15" s="165" t="s">
        <v>157</v>
      </c>
      <c r="K15" s="166" t="s">
        <v>157</v>
      </c>
    </row>
    <row r="16" spans="1:11" ht="15.6" x14ac:dyDescent="0.3">
      <c r="A16" s="164" t="s">
        <v>190</v>
      </c>
      <c r="B16" s="165" t="s">
        <v>157</v>
      </c>
      <c r="C16" s="165" t="s">
        <v>157</v>
      </c>
      <c r="D16" s="165" t="s">
        <v>157</v>
      </c>
      <c r="E16" s="165" t="s">
        <v>157</v>
      </c>
      <c r="F16" s="165" t="s">
        <v>157</v>
      </c>
      <c r="G16" s="165" t="s">
        <v>157</v>
      </c>
      <c r="H16" s="165" t="s">
        <v>157</v>
      </c>
      <c r="I16" s="165" t="s">
        <v>157</v>
      </c>
      <c r="J16" s="165" t="s">
        <v>157</v>
      </c>
      <c r="K16" s="166" t="s">
        <v>157</v>
      </c>
    </row>
    <row r="17" spans="1:11" ht="15.6" x14ac:dyDescent="0.3">
      <c r="A17" s="164" t="s">
        <v>191</v>
      </c>
      <c r="B17" s="165" t="s">
        <v>157</v>
      </c>
      <c r="C17" s="165" t="s">
        <v>157</v>
      </c>
      <c r="D17" s="165" t="s">
        <v>157</v>
      </c>
      <c r="E17" s="165" t="s">
        <v>157</v>
      </c>
      <c r="F17" s="165" t="s">
        <v>157</v>
      </c>
      <c r="G17" s="165" t="s">
        <v>157</v>
      </c>
      <c r="H17" s="165" t="s">
        <v>157</v>
      </c>
      <c r="I17" s="165" t="s">
        <v>157</v>
      </c>
      <c r="J17" s="165" t="s">
        <v>192</v>
      </c>
      <c r="K17" s="166" t="s">
        <v>157</v>
      </c>
    </row>
    <row r="18" spans="1:11" ht="15.6" x14ac:dyDescent="0.3">
      <c r="A18" s="170" t="s">
        <v>193</v>
      </c>
      <c r="B18" s="171" t="s">
        <v>157</v>
      </c>
      <c r="C18" s="171" t="s">
        <v>157</v>
      </c>
      <c r="D18" s="171" t="s">
        <v>157</v>
      </c>
      <c r="E18" s="171" t="s">
        <v>157</v>
      </c>
      <c r="F18" s="171" t="s">
        <v>157</v>
      </c>
      <c r="G18" s="171" t="s">
        <v>157</v>
      </c>
      <c r="H18" s="171" t="s">
        <v>157</v>
      </c>
      <c r="I18" s="171" t="s">
        <v>157</v>
      </c>
      <c r="J18" s="171" t="s">
        <v>157</v>
      </c>
      <c r="K18" s="172" t="s">
        <v>157</v>
      </c>
    </row>
    <row r="20" spans="1:11" x14ac:dyDescent="0.3">
      <c r="A20" s="177" t="s">
        <v>194</v>
      </c>
    </row>
    <row r="21" spans="1:11" ht="31.2" x14ac:dyDescent="0.3">
      <c r="A21" s="173" t="s">
        <v>160</v>
      </c>
      <c r="B21" s="174" t="s">
        <v>161</v>
      </c>
      <c r="C21" s="175" t="s">
        <v>195</v>
      </c>
      <c r="D21" s="175" t="s">
        <v>196</v>
      </c>
      <c r="E21" s="176" t="s">
        <v>169</v>
      </c>
    </row>
    <row r="22" spans="1:11" ht="15.6" x14ac:dyDescent="0.3">
      <c r="A22" s="158"/>
      <c r="B22" s="159" t="s">
        <v>170</v>
      </c>
      <c r="C22" s="160"/>
      <c r="D22" s="160"/>
      <c r="E22" s="161"/>
    </row>
    <row r="23" spans="1:11" ht="15.6" x14ac:dyDescent="0.3">
      <c r="A23" s="162" t="s">
        <v>197</v>
      </c>
      <c r="B23" s="156" t="s">
        <v>157</v>
      </c>
      <c r="C23" s="156" t="s">
        <v>198</v>
      </c>
      <c r="D23" s="156" t="s">
        <v>157</v>
      </c>
      <c r="E23" s="157" t="s">
        <v>157</v>
      </c>
    </row>
    <row r="24" spans="1:11" ht="15.6" x14ac:dyDescent="0.3">
      <c r="A24" s="163" t="s">
        <v>199</v>
      </c>
      <c r="B24" s="160"/>
      <c r="C24" s="160"/>
      <c r="D24" s="160"/>
      <c r="E24" s="161"/>
    </row>
    <row r="25" spans="1:11" ht="15.6" x14ac:dyDescent="0.3">
      <c r="A25" s="164" t="s">
        <v>200</v>
      </c>
      <c r="B25" s="165" t="s">
        <v>157</v>
      </c>
      <c r="C25" s="165" t="s">
        <v>157</v>
      </c>
      <c r="D25" s="165" t="s">
        <v>157</v>
      </c>
      <c r="E25" s="166" t="s">
        <v>157</v>
      </c>
    </row>
    <row r="26" spans="1:11" ht="15.6" x14ac:dyDescent="0.3">
      <c r="A26" s="164" t="s">
        <v>201</v>
      </c>
      <c r="B26" s="165" t="s">
        <v>157</v>
      </c>
      <c r="C26" s="165" t="s">
        <v>202</v>
      </c>
      <c r="D26" s="165" t="s">
        <v>157</v>
      </c>
      <c r="E26" s="166" t="s">
        <v>157</v>
      </c>
    </row>
    <row r="27" spans="1:11" ht="15.6" x14ac:dyDescent="0.3">
      <c r="A27" s="164" t="s">
        <v>203</v>
      </c>
      <c r="B27" s="165" t="s">
        <v>157</v>
      </c>
      <c r="C27" s="165" t="s">
        <v>204</v>
      </c>
      <c r="D27" s="165" t="s">
        <v>157</v>
      </c>
      <c r="E27" s="166" t="s">
        <v>157</v>
      </c>
    </row>
    <row r="28" spans="1:11" ht="15.6" x14ac:dyDescent="0.3">
      <c r="A28" s="164" t="s">
        <v>205</v>
      </c>
      <c r="B28" s="165" t="s">
        <v>157</v>
      </c>
      <c r="C28" s="165" t="s">
        <v>157</v>
      </c>
      <c r="D28" s="165" t="s">
        <v>206</v>
      </c>
      <c r="E28" s="166" t="s">
        <v>157</v>
      </c>
    </row>
    <row r="29" spans="1:11" ht="15.6" x14ac:dyDescent="0.3">
      <c r="A29" s="164" t="s">
        <v>207</v>
      </c>
      <c r="B29" s="165" t="s">
        <v>208</v>
      </c>
      <c r="C29" s="165" t="s">
        <v>209</v>
      </c>
      <c r="D29" s="165" t="s">
        <v>157</v>
      </c>
      <c r="E29" s="166" t="s">
        <v>157</v>
      </c>
    </row>
    <row r="30" spans="1:11" ht="15.6" x14ac:dyDescent="0.3">
      <c r="A30" s="167" t="s">
        <v>157</v>
      </c>
      <c r="B30" s="168" t="s">
        <v>157</v>
      </c>
      <c r="C30" s="168" t="s">
        <v>157</v>
      </c>
      <c r="D30" s="168" t="s">
        <v>157</v>
      </c>
      <c r="E30" s="169" t="s">
        <v>157</v>
      </c>
    </row>
    <row r="31" spans="1:11" ht="15.6" x14ac:dyDescent="0.3">
      <c r="A31" s="164" t="s">
        <v>189</v>
      </c>
      <c r="B31" s="165" t="s">
        <v>157</v>
      </c>
      <c r="C31" s="165" t="s">
        <v>157</v>
      </c>
      <c r="D31" s="165" t="s">
        <v>157</v>
      </c>
      <c r="E31" s="166" t="s">
        <v>157</v>
      </c>
    </row>
    <row r="32" spans="1:11" ht="15.6" x14ac:dyDescent="0.3">
      <c r="A32" s="164" t="s">
        <v>210</v>
      </c>
      <c r="B32" s="165" t="s">
        <v>157</v>
      </c>
      <c r="C32" s="165" t="s">
        <v>157</v>
      </c>
      <c r="D32" s="165" t="s">
        <v>157</v>
      </c>
      <c r="E32" s="166" t="s">
        <v>157</v>
      </c>
    </row>
    <row r="33" spans="1:5" ht="15.6" x14ac:dyDescent="0.3">
      <c r="A33" s="164" t="s">
        <v>191</v>
      </c>
      <c r="B33" s="165" t="s">
        <v>157</v>
      </c>
      <c r="C33" s="165" t="s">
        <v>157</v>
      </c>
      <c r="D33" s="165" t="s">
        <v>157</v>
      </c>
      <c r="E33" s="166" t="s">
        <v>157</v>
      </c>
    </row>
    <row r="34" spans="1:5" ht="15.6" x14ac:dyDescent="0.3">
      <c r="A34" s="170" t="s">
        <v>193</v>
      </c>
      <c r="B34" s="171" t="s">
        <v>157</v>
      </c>
      <c r="C34" s="171" t="s">
        <v>157</v>
      </c>
      <c r="D34" s="171" t="s">
        <v>157</v>
      </c>
      <c r="E34" s="172" t="s">
        <v>157</v>
      </c>
    </row>
    <row r="36" spans="1:5" x14ac:dyDescent="0.3">
      <c r="A36" s="177" t="s">
        <v>211</v>
      </c>
    </row>
    <row r="37" spans="1:5" ht="15.6" x14ac:dyDescent="0.3">
      <c r="A37" s="151" t="s">
        <v>157</v>
      </c>
      <c r="B37" s="153" t="s">
        <v>169</v>
      </c>
    </row>
    <row r="38" spans="1:5" ht="15.6" x14ac:dyDescent="0.3">
      <c r="A38" s="164" t="s">
        <v>212</v>
      </c>
      <c r="B38" s="166" t="s">
        <v>157</v>
      </c>
    </row>
    <row r="39" spans="1:5" ht="15.6" x14ac:dyDescent="0.3">
      <c r="A39" s="162" t="s">
        <v>213</v>
      </c>
      <c r="B39" s="157" t="s">
        <v>157</v>
      </c>
    </row>
    <row r="40" spans="1:5" ht="15.6" x14ac:dyDescent="0.3">
      <c r="A40" s="163" t="s">
        <v>214</v>
      </c>
      <c r="B40" s="161"/>
    </row>
    <row r="41" spans="1:5" ht="15.6" x14ac:dyDescent="0.3">
      <c r="A41" s="162" t="s">
        <v>215</v>
      </c>
      <c r="B41" s="157" t="s">
        <v>157</v>
      </c>
    </row>
    <row r="42" spans="1:5" ht="15.6" x14ac:dyDescent="0.3">
      <c r="A42" s="163" t="s">
        <v>216</v>
      </c>
      <c r="B42" s="161"/>
    </row>
    <row r="43" spans="1:5" ht="15.6" x14ac:dyDescent="0.3">
      <c r="A43" s="167" t="s">
        <v>157</v>
      </c>
      <c r="B43" s="169" t="s">
        <v>157</v>
      </c>
    </row>
    <row r="44" spans="1:5" ht="15.6" x14ac:dyDescent="0.3">
      <c r="A44" s="164" t="s">
        <v>217</v>
      </c>
      <c r="B44" s="166" t="s">
        <v>157</v>
      </c>
    </row>
    <row r="45" spans="1:5" ht="15.6" x14ac:dyDescent="0.3">
      <c r="A45" s="164" t="s">
        <v>218</v>
      </c>
      <c r="B45" s="166" t="s">
        <v>157</v>
      </c>
    </row>
    <row r="46" spans="1:5" ht="15.6" x14ac:dyDescent="0.3">
      <c r="A46" s="164" t="s">
        <v>219</v>
      </c>
      <c r="B46" s="166" t="s">
        <v>157</v>
      </c>
    </row>
    <row r="47" spans="1:5" ht="15.6" x14ac:dyDescent="0.3">
      <c r="A47" s="170" t="s">
        <v>220</v>
      </c>
      <c r="B47" s="172" t="s">
        <v>157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F41"/>
  <sheetViews>
    <sheetView topLeftCell="A15" workbookViewId="0">
      <selection activeCell="H27" sqref="H27"/>
    </sheetView>
  </sheetViews>
  <sheetFormatPr defaultRowHeight="14.4" x14ac:dyDescent="0.3"/>
  <cols>
    <col min="1" max="1" width="13.109375" customWidth="1"/>
    <col min="2" max="2" width="11.44140625" customWidth="1"/>
  </cols>
  <sheetData>
    <row r="1" spans="1:6" x14ac:dyDescent="0.3">
      <c r="B1" s="399" t="s">
        <v>221</v>
      </c>
      <c r="C1" s="400"/>
      <c r="D1" s="126"/>
      <c r="E1" s="401" t="s">
        <v>222</v>
      </c>
      <c r="F1" s="402"/>
    </row>
    <row r="2" spans="1:6" ht="27" x14ac:dyDescent="0.3">
      <c r="A2" s="30" t="s">
        <v>223</v>
      </c>
      <c r="B2" s="127" t="s">
        <v>55</v>
      </c>
      <c r="C2" s="128" t="s">
        <v>50</v>
      </c>
      <c r="D2" s="126"/>
      <c r="E2" s="128" t="s">
        <v>55</v>
      </c>
      <c r="F2" s="128" t="s">
        <v>50</v>
      </c>
    </row>
    <row r="3" spans="1:6" x14ac:dyDescent="0.3">
      <c r="A3">
        <v>1</v>
      </c>
      <c r="B3" s="121">
        <v>4.2056074766355138E-2</v>
      </c>
      <c r="C3" s="121">
        <v>3.6253776435045321E-2</v>
      </c>
      <c r="E3" s="121">
        <v>0.25267149258876248</v>
      </c>
      <c r="F3" s="129">
        <v>0.1146691263421787</v>
      </c>
    </row>
    <row r="4" spans="1:6" x14ac:dyDescent="0.3">
      <c r="A4">
        <v>2</v>
      </c>
      <c r="B4" s="121">
        <v>6.0747663551401869E-2</v>
      </c>
      <c r="C4" s="121">
        <v>7.2507552870090641E-2</v>
      </c>
      <c r="E4" s="121">
        <v>0.3160978972768011</v>
      </c>
      <c r="F4" s="129">
        <v>0.20747552149851001</v>
      </c>
    </row>
    <row r="5" spans="1:6" x14ac:dyDescent="0.3">
      <c r="A5">
        <v>3</v>
      </c>
      <c r="B5" s="121">
        <v>0.10981308411214953</v>
      </c>
      <c r="C5" s="121">
        <v>8.7613293051359523E-2</v>
      </c>
      <c r="E5" s="121">
        <v>0.39296794208893487</v>
      </c>
      <c r="F5" s="129">
        <v>0.28482900525046118</v>
      </c>
    </row>
    <row r="6" spans="1:6" x14ac:dyDescent="0.3">
      <c r="A6" s="30">
        <v>4</v>
      </c>
      <c r="B6" s="121">
        <v>0.12850467289719625</v>
      </c>
      <c r="C6" s="121">
        <v>0.12386706948640483</v>
      </c>
      <c r="E6" s="130">
        <v>0.47604274388142021</v>
      </c>
      <c r="F6" s="129">
        <v>0.36527647698784355</v>
      </c>
    </row>
    <row r="7" spans="1:6" x14ac:dyDescent="0.3">
      <c r="A7" s="28">
        <v>5</v>
      </c>
      <c r="B7" s="121">
        <v>0.16355140186915887</v>
      </c>
      <c r="C7" s="121">
        <v>0.20845921450151059</v>
      </c>
      <c r="D7" s="129"/>
      <c r="E7" s="121">
        <v>0.5701482247500862</v>
      </c>
      <c r="F7" s="131">
        <v>0.45014616148715764</v>
      </c>
    </row>
    <row r="8" spans="1:6" x14ac:dyDescent="0.3">
      <c r="A8" s="28">
        <v>6</v>
      </c>
      <c r="B8" s="121">
        <v>0.22663551401869159</v>
      </c>
      <c r="C8" s="121">
        <v>0.22960725075528701</v>
      </c>
      <c r="E8" s="121">
        <v>0.72147535332643897</v>
      </c>
      <c r="F8" s="129">
        <v>0.64007095217823196</v>
      </c>
    </row>
    <row r="9" spans="1:6" x14ac:dyDescent="0.3">
      <c r="A9" s="28">
        <v>7</v>
      </c>
      <c r="B9" s="121">
        <v>0.30140186915887851</v>
      </c>
      <c r="C9" s="121">
        <v>0.27794561933534745</v>
      </c>
      <c r="E9" s="132">
        <v>0.90486039296794207</v>
      </c>
      <c r="F9" s="129">
        <v>0.79481765290194417</v>
      </c>
    </row>
    <row r="10" spans="1:6" x14ac:dyDescent="0.3">
      <c r="A10" s="28">
        <v>8</v>
      </c>
      <c r="B10" s="121">
        <v>0.35046728971962615</v>
      </c>
      <c r="C10" s="121">
        <v>0.31117824773413899</v>
      </c>
      <c r="E10" s="121">
        <v>0.93864184763874525</v>
      </c>
      <c r="F10" s="133">
        <v>0.88854264225911739</v>
      </c>
    </row>
    <row r="11" spans="1:6" x14ac:dyDescent="0.3">
      <c r="A11" s="28">
        <v>9</v>
      </c>
      <c r="B11" s="121">
        <v>0.39485981308411217</v>
      </c>
      <c r="C11" s="121">
        <v>0.38670694864048338</v>
      </c>
      <c r="E11" s="121">
        <v>0.95001723543605654</v>
      </c>
      <c r="F11" s="129">
        <v>0.9422827680809801</v>
      </c>
    </row>
    <row r="12" spans="1:6" x14ac:dyDescent="0.3">
      <c r="A12" s="28">
        <v>10</v>
      </c>
      <c r="B12" s="121">
        <v>0.43691588785046731</v>
      </c>
      <c r="C12" s="121">
        <v>0.42900302114803623</v>
      </c>
      <c r="E12" s="121">
        <v>0.96242674939675976</v>
      </c>
      <c r="F12" s="129">
        <v>0.95465872002270469</v>
      </c>
    </row>
    <row r="13" spans="1:6" x14ac:dyDescent="0.3">
      <c r="A13" s="28">
        <v>11</v>
      </c>
      <c r="B13" s="130">
        <v>0.46962616822429909</v>
      </c>
      <c r="C13" s="130">
        <v>0.48036253776435045</v>
      </c>
      <c r="E13" s="121">
        <v>0.96552912788693557</v>
      </c>
      <c r="F13" s="129">
        <v>0.96530296580105013</v>
      </c>
    </row>
    <row r="14" spans="1:6" x14ac:dyDescent="0.3">
      <c r="A14" s="28">
        <v>12</v>
      </c>
      <c r="B14" s="121">
        <v>0.5070093457943925</v>
      </c>
      <c r="C14" s="121">
        <v>0.57401812688821752</v>
      </c>
      <c r="E14" s="121">
        <v>0.96863150637711137</v>
      </c>
      <c r="F14" s="129">
        <v>0.97390662693344687</v>
      </c>
    </row>
    <row r="15" spans="1:6" x14ac:dyDescent="0.3">
      <c r="A15" s="31" t="s">
        <v>145</v>
      </c>
      <c r="B15" s="121">
        <v>1</v>
      </c>
      <c r="C15" s="121">
        <v>1</v>
      </c>
      <c r="E15" s="121">
        <v>1</v>
      </c>
      <c r="F15" s="129">
        <v>1</v>
      </c>
    </row>
    <row r="21" spans="1:5" x14ac:dyDescent="0.3">
      <c r="B21" s="403" t="s">
        <v>15</v>
      </c>
      <c r="C21" s="404"/>
      <c r="D21" s="404"/>
      <c r="E21" s="405"/>
    </row>
    <row r="22" spans="1:5" ht="27" x14ac:dyDescent="0.3">
      <c r="A22" s="30" t="s">
        <v>224</v>
      </c>
      <c r="B22" s="29" t="s">
        <v>55</v>
      </c>
      <c r="C22" s="134" t="s">
        <v>50</v>
      </c>
      <c r="D22" s="29" t="s">
        <v>45</v>
      </c>
      <c r="E22" s="127" t="s">
        <v>225</v>
      </c>
    </row>
    <row r="23" spans="1:5" x14ac:dyDescent="0.3">
      <c r="A23" s="30">
        <v>0</v>
      </c>
      <c r="B23" s="135">
        <v>1</v>
      </c>
      <c r="C23" s="135">
        <v>1</v>
      </c>
      <c r="D23" s="135">
        <v>1</v>
      </c>
      <c r="E23" s="135">
        <v>1</v>
      </c>
    </row>
    <row r="24" spans="1:5" x14ac:dyDescent="0.3">
      <c r="A24">
        <v>1</v>
      </c>
      <c r="B24" s="135">
        <v>0.59</v>
      </c>
      <c r="C24" s="135">
        <v>0.59</v>
      </c>
      <c r="D24" s="135">
        <v>0.59</v>
      </c>
      <c r="E24" s="135">
        <v>0.59</v>
      </c>
    </row>
    <row r="25" spans="1:5" x14ac:dyDescent="0.3">
      <c r="A25">
        <v>2</v>
      </c>
      <c r="B25" s="136">
        <v>0.46</v>
      </c>
      <c r="C25" s="136">
        <v>0.46</v>
      </c>
      <c r="D25" s="136">
        <v>0.46</v>
      </c>
      <c r="E25" s="136">
        <v>0.46</v>
      </c>
    </row>
    <row r="26" spans="1:5" x14ac:dyDescent="0.3">
      <c r="A26">
        <v>3</v>
      </c>
      <c r="B26" s="135">
        <v>0.39</v>
      </c>
      <c r="C26" s="135">
        <v>0.39</v>
      </c>
      <c r="D26" s="135">
        <v>0.39</v>
      </c>
      <c r="E26" s="135">
        <v>0.39</v>
      </c>
    </row>
    <row r="27" spans="1:5" x14ac:dyDescent="0.3">
      <c r="A27" s="30">
        <v>4</v>
      </c>
      <c r="B27" s="137">
        <v>0.33</v>
      </c>
      <c r="C27" s="137">
        <v>0.33</v>
      </c>
      <c r="D27" s="137">
        <v>0.33</v>
      </c>
      <c r="E27" s="137">
        <v>0.33</v>
      </c>
    </row>
    <row r="28" spans="1:5" x14ac:dyDescent="0.3">
      <c r="A28" s="28">
        <v>5</v>
      </c>
      <c r="B28" s="137">
        <v>0.3</v>
      </c>
      <c r="C28" s="137">
        <v>0.3</v>
      </c>
      <c r="D28" s="137">
        <v>0.3</v>
      </c>
      <c r="E28" s="137">
        <v>0.3</v>
      </c>
    </row>
    <row r="29" spans="1:5" x14ac:dyDescent="0.3">
      <c r="A29" s="28">
        <v>6</v>
      </c>
      <c r="B29" s="137">
        <v>0.27</v>
      </c>
      <c r="C29" s="137">
        <v>0.27</v>
      </c>
      <c r="D29" s="137">
        <v>0.27</v>
      </c>
      <c r="E29" s="137">
        <v>0.27</v>
      </c>
    </row>
    <row r="30" spans="1:5" x14ac:dyDescent="0.3">
      <c r="A30" s="28">
        <v>7</v>
      </c>
    </row>
    <row r="31" spans="1:5" x14ac:dyDescent="0.3">
      <c r="A31" s="28">
        <v>8</v>
      </c>
    </row>
    <row r="32" spans="1:5" x14ac:dyDescent="0.3">
      <c r="A32" s="28">
        <v>9</v>
      </c>
    </row>
    <row r="33" spans="1:1" x14ac:dyDescent="0.3">
      <c r="A33" s="28">
        <v>10</v>
      </c>
    </row>
    <row r="34" spans="1:1" x14ac:dyDescent="0.3">
      <c r="A34" s="28">
        <v>11</v>
      </c>
    </row>
    <row r="35" spans="1:1" x14ac:dyDescent="0.3">
      <c r="A35" s="28">
        <v>12</v>
      </c>
    </row>
    <row r="36" spans="1:1" x14ac:dyDescent="0.3">
      <c r="A36" s="31" t="s">
        <v>145</v>
      </c>
    </row>
    <row r="38" spans="1:1" x14ac:dyDescent="0.3">
      <c r="A38" s="26" t="s">
        <v>109</v>
      </c>
    </row>
    <row r="39" spans="1:1" x14ac:dyDescent="0.3">
      <c r="A39" s="28" t="s">
        <v>226</v>
      </c>
    </row>
    <row r="40" spans="1:1" x14ac:dyDescent="0.3">
      <c r="A40" s="28" t="s">
        <v>227</v>
      </c>
    </row>
    <row r="41" spans="1:1" x14ac:dyDescent="0.3">
      <c r="A41" s="28" t="s">
        <v>228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defaultRowHeight="14.4" x14ac:dyDescent="0.3"/>
  <cols>
    <col min="6" max="6" width="13.6640625" customWidth="1"/>
    <col min="7" max="8" width="10.33203125" bestFit="1" customWidth="1"/>
    <col min="10" max="11" width="14" bestFit="1" customWidth="1"/>
  </cols>
  <sheetData>
    <row r="2" spans="2:12" ht="62.4" x14ac:dyDescent="0.45">
      <c r="B2" s="28" t="s">
        <v>229</v>
      </c>
      <c r="G2" s="13" t="s">
        <v>230</v>
      </c>
      <c r="H2" s="14" t="s">
        <v>231</v>
      </c>
      <c r="I2" s="14" t="s">
        <v>232</v>
      </c>
      <c r="J2" s="139" t="s">
        <v>141</v>
      </c>
      <c r="K2" s="140" t="s">
        <v>36</v>
      </c>
      <c r="L2" s="139" t="s">
        <v>233</v>
      </c>
    </row>
    <row r="3" spans="2:12" s="65" customFormat="1" ht="12.75" customHeight="1" x14ac:dyDescent="0.3">
      <c r="B3" s="66" t="s">
        <v>108</v>
      </c>
      <c r="C3" s="67"/>
      <c r="D3" s="67"/>
      <c r="E3" s="67"/>
      <c r="F3" s="67"/>
      <c r="G3" s="68">
        <f>'Performances by Week'!I126</f>
        <v>0</v>
      </c>
      <c r="H3" s="68">
        <f>'Performances by Week'!J126</f>
        <v>0</v>
      </c>
      <c r="I3" s="68">
        <f>'Performances by Week'!K126</f>
        <v>0</v>
      </c>
      <c r="J3" s="68">
        <f>'Performances by Week'!L126</f>
        <v>0</v>
      </c>
      <c r="K3" s="68">
        <f>'Performances by Week'!M126</f>
        <v>6268640</v>
      </c>
      <c r="L3" s="68" t="str">
        <f>'Performances by Week'!O126</f>
        <v/>
      </c>
    </row>
    <row r="5" spans="2:12" ht="56.25" customHeight="1" x14ac:dyDescent="0.45">
      <c r="B5" s="28" t="s">
        <v>234</v>
      </c>
      <c r="G5" s="13" t="s">
        <v>230</v>
      </c>
      <c r="H5" s="14" t="s">
        <v>231</v>
      </c>
      <c r="I5" s="14"/>
      <c r="J5" s="139" t="s">
        <v>141</v>
      </c>
      <c r="K5" s="140" t="s">
        <v>36</v>
      </c>
      <c r="L5" s="139" t="s">
        <v>233</v>
      </c>
    </row>
    <row r="6" spans="2:12" x14ac:dyDescent="0.3">
      <c r="B6" s="28" t="s">
        <v>235</v>
      </c>
      <c r="G6" s="141">
        <f>'Performances by Week'!V126</f>
        <v>0</v>
      </c>
      <c r="H6" s="141"/>
      <c r="I6" s="142"/>
      <c r="J6" s="143">
        <f>'Performances by Week'!W126</f>
        <v>0</v>
      </c>
      <c r="K6" s="143">
        <f>'Performances by Week'!X126</f>
        <v>2169893</v>
      </c>
      <c r="L6" s="143" t="str">
        <f>'Performances by Week'!Y126</f>
        <v/>
      </c>
    </row>
    <row r="7" spans="2:12" x14ac:dyDescent="0.3">
      <c r="B7" s="28" t="s">
        <v>236</v>
      </c>
      <c r="G7" s="141">
        <f>'Performances by Week'!P126</f>
        <v>0</v>
      </c>
      <c r="H7" s="141">
        <f>'Performances by Week'!Q126</f>
        <v>0</v>
      </c>
      <c r="I7" s="142"/>
      <c r="J7" s="143">
        <f>'Performances by Week'!R126</f>
        <v>0</v>
      </c>
      <c r="K7" s="143">
        <f>'Performances by Week'!S126</f>
        <v>3973690</v>
      </c>
      <c r="L7" s="143" t="str">
        <f>'Performances by Week'!U126</f>
        <v/>
      </c>
    </row>
    <row r="9" spans="2:12" ht="62.4" x14ac:dyDescent="0.45">
      <c r="B9" s="28" t="s">
        <v>237</v>
      </c>
      <c r="G9" s="13" t="s">
        <v>230</v>
      </c>
      <c r="H9" s="14" t="s">
        <v>231</v>
      </c>
      <c r="I9" s="14" t="s">
        <v>232</v>
      </c>
      <c r="J9" s="139" t="s">
        <v>141</v>
      </c>
      <c r="K9" s="140" t="s">
        <v>36</v>
      </c>
      <c r="L9" s="139" t="s">
        <v>233</v>
      </c>
    </row>
    <row r="10" spans="2:12" s="1" customFormat="1" ht="13.8" x14ac:dyDescent="0.3">
      <c r="B10" s="41" t="s">
        <v>238</v>
      </c>
      <c r="C10" s="42"/>
      <c r="D10" s="42"/>
      <c r="E10" s="42"/>
      <c r="F10" s="42"/>
      <c r="G10" s="43">
        <f>'Performances by Week'!I119</f>
        <v>0</v>
      </c>
      <c r="H10" s="43">
        <f>'Performances by Week'!J119</f>
        <v>0</v>
      </c>
      <c r="I10" s="43">
        <f>'Performances by Week'!K119</f>
        <v>0</v>
      </c>
      <c r="J10" s="43">
        <f>'Performances by Week'!L119</f>
        <v>0</v>
      </c>
      <c r="K10" s="43">
        <f>'Performances by Week'!M119</f>
        <v>2139000</v>
      </c>
      <c r="L10" s="43" t="str">
        <f>'Performances by Week'!O119</f>
        <v/>
      </c>
    </row>
    <row r="11" spans="2:12" s="1" customFormat="1" ht="13.8" x14ac:dyDescent="0.3">
      <c r="B11" s="41" t="s">
        <v>239</v>
      </c>
      <c r="C11" s="42"/>
      <c r="D11" s="42"/>
      <c r="E11" s="42"/>
      <c r="F11" s="42"/>
      <c r="G11" s="43">
        <f>'Performances by Week'!I120</f>
        <v>0</v>
      </c>
      <c r="H11" s="43">
        <f>'Performances by Week'!J120</f>
        <v>0</v>
      </c>
      <c r="I11" s="43">
        <f>'Performances by Week'!K120</f>
        <v>0</v>
      </c>
      <c r="J11" s="43">
        <f>'Performances by Week'!L120</f>
        <v>0</v>
      </c>
      <c r="K11" s="43">
        <f>'Performances by Week'!M120</f>
        <v>363000</v>
      </c>
      <c r="L11" s="43" t="str">
        <f>'Performances by Week'!O120</f>
        <v/>
      </c>
    </row>
    <row r="12" spans="2:12" s="1" customFormat="1" ht="13.8" x14ac:dyDescent="0.3">
      <c r="B12" s="41" t="s">
        <v>240</v>
      </c>
      <c r="C12" s="42"/>
      <c r="D12" s="42"/>
      <c r="E12" s="42"/>
      <c r="F12" s="42"/>
      <c r="G12" s="43">
        <f>'Performances by Week'!I121</f>
        <v>0</v>
      </c>
      <c r="H12" s="43">
        <f>'Performances by Week'!J121</f>
        <v>0</v>
      </c>
      <c r="I12" s="43">
        <f>'Performances by Week'!K121</f>
        <v>0</v>
      </c>
      <c r="J12" s="43">
        <f>'Performances by Week'!L121</f>
        <v>0</v>
      </c>
      <c r="K12" s="43">
        <f>'Performances by Week'!M121</f>
        <v>1457000</v>
      </c>
      <c r="L12" s="43" t="str">
        <f>'Performances by Week'!O121</f>
        <v/>
      </c>
    </row>
    <row r="13" spans="2:12" s="1" customFormat="1" ht="13.8" x14ac:dyDescent="0.3">
      <c r="B13" s="41" t="s">
        <v>241</v>
      </c>
      <c r="C13" s="42"/>
      <c r="D13" s="42"/>
      <c r="E13" s="42"/>
      <c r="F13" s="42"/>
      <c r="G13" s="43">
        <f>'Performances by Week'!I122</f>
        <v>0</v>
      </c>
      <c r="H13" s="43">
        <f>'Performances by Week'!J122</f>
        <v>0</v>
      </c>
      <c r="I13" s="43">
        <f>'Performances by Week'!K122</f>
        <v>0</v>
      </c>
      <c r="J13" s="43">
        <f>'Performances by Week'!L122</f>
        <v>0</v>
      </c>
      <c r="K13" s="43">
        <f>'Performances by Week'!M122</f>
        <v>525950</v>
      </c>
      <c r="L13" s="43" t="str">
        <f>'Performances by Week'!O122</f>
        <v/>
      </c>
    </row>
    <row r="14" spans="2:12" s="1" customFormat="1" ht="13.8" x14ac:dyDescent="0.3">
      <c r="B14" s="55" t="s">
        <v>242</v>
      </c>
      <c r="C14" s="56"/>
      <c r="D14" s="56"/>
      <c r="E14" s="56"/>
      <c r="F14" s="56"/>
      <c r="G14" s="43">
        <f>'Performances by Week'!I123</f>
        <v>0</v>
      </c>
      <c r="H14" s="43">
        <f>'Performances by Week'!J123</f>
        <v>0</v>
      </c>
      <c r="I14" s="43">
        <f>'Performances by Week'!K123</f>
        <v>0</v>
      </c>
      <c r="J14" s="43">
        <f>'Performances by Week'!L123</f>
        <v>0</v>
      </c>
      <c r="K14" s="43">
        <f>'Performances by Week'!M123</f>
        <v>1745490</v>
      </c>
      <c r="L14" s="43" t="str">
        <f>'Performances by Week'!O123</f>
        <v/>
      </c>
    </row>
    <row r="15" spans="2:12" s="1" customFormat="1" ht="13.8" x14ac:dyDescent="0.3">
      <c r="B15" s="55" t="s">
        <v>243</v>
      </c>
      <c r="C15" s="56"/>
      <c r="D15" s="56"/>
      <c r="E15" s="56"/>
      <c r="F15" s="56"/>
      <c r="G15" s="43">
        <f>'Performances by Week'!I124</f>
        <v>0</v>
      </c>
      <c r="H15" s="43">
        <f>'Performances by Week'!J124</f>
        <v>0</v>
      </c>
      <c r="I15" s="43">
        <f>'Performances by Week'!K124</f>
        <v>0</v>
      </c>
      <c r="J15" s="43">
        <f>'Performances by Week'!L124</f>
        <v>0</v>
      </c>
      <c r="K15" s="43">
        <f>'Performances by Week'!M124</f>
        <v>38200</v>
      </c>
      <c r="L15" s="43" t="str">
        <f>'Performances by Week'!O124</f>
        <v/>
      </c>
    </row>
    <row r="16" spans="2:12" s="1" customFormat="1" ht="12.75" customHeight="1" x14ac:dyDescent="0.3">
      <c r="B16" s="41" t="s">
        <v>244</v>
      </c>
      <c r="C16" s="63"/>
      <c r="D16" s="63"/>
      <c r="E16" s="63"/>
      <c r="F16" s="63"/>
      <c r="G16" s="43">
        <f>'Performances by Week'!I125</f>
        <v>0</v>
      </c>
      <c r="H16" s="43">
        <f>'Performances by Week'!J125</f>
        <v>0</v>
      </c>
      <c r="I16" s="43">
        <f>'Performances by Week'!K125</f>
        <v>0</v>
      </c>
      <c r="J16" s="43">
        <f>'Performances by Week'!L125</f>
        <v>0</v>
      </c>
      <c r="K16" s="43">
        <f>'Performances by Week'!M125</f>
        <v>0</v>
      </c>
      <c r="L16" s="43" t="str">
        <f>'Performances by Week'!O125</f>
        <v/>
      </c>
    </row>
  </sheetData>
  <conditionalFormatting sqref="I3">
    <cfRule type="cellIs" dxfId="15" priority="21" operator="equal">
      <formula>""</formula>
    </cfRule>
    <cfRule type="cellIs" dxfId="14" priority="22" operator="lessThanOrEqual">
      <formula>0.6</formula>
    </cfRule>
    <cfRule type="cellIs" dxfId="13" priority="23" operator="between">
      <formula>0.8</formula>
      <formula>0.6</formula>
    </cfRule>
    <cfRule type="cellIs" dxfId="12" priority="24" operator="greaterThanOrEqual">
      <formula>0.8</formula>
    </cfRule>
  </conditionalFormatting>
  <conditionalFormatting sqref="I11:I16">
    <cfRule type="cellIs" dxfId="11" priority="13" operator="equal">
      <formula>""</formula>
    </cfRule>
    <cfRule type="cellIs" dxfId="10" priority="14" operator="lessThanOrEqual">
      <formula>0.6</formula>
    </cfRule>
    <cfRule type="cellIs" dxfId="9" priority="15" operator="between">
      <formula>0.8</formula>
      <formula>0.6</formula>
    </cfRule>
    <cfRule type="cellIs" dxfId="8" priority="16" operator="greaterThanOrEqual">
      <formula>0.8</formula>
    </cfRule>
  </conditionalFormatting>
  <conditionalFormatting sqref="L7">
    <cfRule type="cellIs" dxfId="7" priority="5" operator="equal">
      <formula>""</formula>
    </cfRule>
    <cfRule type="cellIs" dxfId="6" priority="6" operator="lessThanOrEqual">
      <formula>0.8</formula>
    </cfRule>
    <cfRule type="cellIs" dxfId="5" priority="7" operator="between">
      <formula>0.95</formula>
      <formula>0.8</formula>
    </cfRule>
    <cfRule type="cellIs" dxfId="4" priority="8" operator="greaterThanOrEqual">
      <formula>0.95</formula>
    </cfRule>
  </conditionalFormatting>
  <conditionalFormatting sqref="L11:L16">
    <cfRule type="cellIs" dxfId="3" priority="9" operator="equal">
      <formula>""</formula>
    </cfRule>
    <cfRule type="cellIs" dxfId="2" priority="10" operator="lessThanOrEqual">
      <formula>0.8</formula>
    </cfRule>
    <cfRule type="cellIs" dxfId="1" priority="11" operator="between">
      <formula>0.95</formula>
      <formula>0.8</formula>
    </cfRule>
    <cfRule type="cellIs" dxfId="0" priority="12" operator="greaterThanOrEqual">
      <formula>0.95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50"/>
  <sheetViews>
    <sheetView topLeftCell="A2" workbookViewId="0">
      <selection activeCell="G21" sqref="G21"/>
    </sheetView>
  </sheetViews>
  <sheetFormatPr defaultRowHeight="14.4" x14ac:dyDescent="0.3"/>
  <cols>
    <col min="1" max="1" width="11.5546875" customWidth="1"/>
    <col min="2" max="2" width="35" customWidth="1"/>
    <col min="3" max="3" width="22" customWidth="1"/>
    <col min="4" max="4" width="70" customWidth="1"/>
    <col min="5" max="6" width="9.109375" bestFit="1" customWidth="1"/>
    <col min="7" max="7" width="29.33203125" customWidth="1"/>
  </cols>
  <sheetData>
    <row r="1" spans="1:7" ht="15" customHeight="1" x14ac:dyDescent="0.3">
      <c r="A1" s="281" t="s">
        <v>245</v>
      </c>
      <c r="B1" s="281" t="s">
        <v>246</v>
      </c>
      <c r="C1" s="281" t="s">
        <v>247</v>
      </c>
      <c r="D1" s="289" t="s">
        <v>248</v>
      </c>
      <c r="G1" s="267"/>
    </row>
    <row r="2" spans="1:7" ht="15" customHeight="1" x14ac:dyDescent="0.3">
      <c r="A2" s="268">
        <v>45891</v>
      </c>
      <c r="B2" s="269" t="s">
        <v>249</v>
      </c>
      <c r="C2" s="275">
        <v>1625</v>
      </c>
      <c r="D2" t="s">
        <v>250</v>
      </c>
    </row>
    <row r="3" spans="1:7" ht="15" customHeight="1" x14ac:dyDescent="0.3">
      <c r="A3" s="268">
        <v>45891</v>
      </c>
      <c r="B3" s="269" t="s">
        <v>251</v>
      </c>
      <c r="C3" s="275">
        <v>2570</v>
      </c>
      <c r="D3" t="s">
        <v>252</v>
      </c>
    </row>
    <row r="4" spans="1:7" ht="15" customHeight="1" x14ac:dyDescent="0.3">
      <c r="A4" s="268">
        <v>45890</v>
      </c>
      <c r="B4" s="269" t="s">
        <v>253</v>
      </c>
      <c r="C4" s="275">
        <v>1005</v>
      </c>
      <c r="D4" t="s">
        <v>254</v>
      </c>
    </row>
    <row r="5" spans="1:7" ht="15" customHeight="1" x14ac:dyDescent="0.3">
      <c r="A5" s="268">
        <v>45890</v>
      </c>
      <c r="B5" s="269" t="s">
        <v>255</v>
      </c>
      <c r="C5" s="275">
        <v>813</v>
      </c>
      <c r="D5" t="s">
        <v>256</v>
      </c>
    </row>
    <row r="6" spans="1:7" ht="15" customHeight="1" x14ac:dyDescent="0.3">
      <c r="A6" s="268">
        <v>45883</v>
      </c>
      <c r="B6" s="269" t="s">
        <v>257</v>
      </c>
      <c r="C6" s="275">
        <v>966</v>
      </c>
      <c r="D6" t="s">
        <v>258</v>
      </c>
    </row>
    <row r="7" spans="1:7" ht="15" customHeight="1" x14ac:dyDescent="0.3">
      <c r="A7" s="268">
        <v>45883</v>
      </c>
      <c r="B7" s="269" t="s">
        <v>259</v>
      </c>
      <c r="C7" s="275">
        <v>1895</v>
      </c>
      <c r="D7" t="s">
        <v>260</v>
      </c>
    </row>
    <row r="8" spans="1:7" ht="15" customHeight="1" x14ac:dyDescent="0.3">
      <c r="A8" s="268">
        <v>45881</v>
      </c>
      <c r="B8" s="269" t="s">
        <v>261</v>
      </c>
      <c r="C8" s="275">
        <v>3290</v>
      </c>
      <c r="D8" t="s">
        <v>262</v>
      </c>
    </row>
    <row r="9" spans="1:7" ht="15" customHeight="1" x14ac:dyDescent="0.3">
      <c r="A9" s="268">
        <v>45881</v>
      </c>
      <c r="B9" s="269" t="s">
        <v>263</v>
      </c>
      <c r="C9" s="275">
        <v>1785</v>
      </c>
      <c r="D9" t="s">
        <v>262</v>
      </c>
    </row>
    <row r="10" spans="1:7" ht="15" customHeight="1" x14ac:dyDescent="0.3">
      <c r="A10" s="268">
        <v>45876</v>
      </c>
      <c r="B10" s="269" t="s">
        <v>264</v>
      </c>
      <c r="C10" s="275">
        <v>2394</v>
      </c>
      <c r="D10" t="s">
        <v>265</v>
      </c>
    </row>
    <row r="11" spans="1:7" ht="15" customHeight="1" x14ac:dyDescent="0.3">
      <c r="A11" s="268">
        <v>45876</v>
      </c>
      <c r="B11" s="269" t="s">
        <v>266</v>
      </c>
      <c r="C11" s="275">
        <v>1879</v>
      </c>
      <c r="D11" t="s">
        <v>267</v>
      </c>
    </row>
    <row r="12" spans="1:7" ht="15" customHeight="1" x14ac:dyDescent="0.3">
      <c r="A12" s="268">
        <v>45876</v>
      </c>
      <c r="B12" s="269" t="s">
        <v>268</v>
      </c>
      <c r="C12" s="275">
        <v>2731</v>
      </c>
      <c r="D12" t="s">
        <v>269</v>
      </c>
    </row>
    <row r="13" spans="1:7" ht="15" customHeight="1" x14ac:dyDescent="0.3">
      <c r="A13" s="268">
        <v>45875</v>
      </c>
      <c r="B13" s="269" t="s">
        <v>270</v>
      </c>
      <c r="C13" s="275">
        <v>3331</v>
      </c>
      <c r="D13" t="s">
        <v>271</v>
      </c>
    </row>
    <row r="14" spans="1:7" ht="15" customHeight="1" x14ac:dyDescent="0.3">
      <c r="A14" s="268">
        <v>45875</v>
      </c>
      <c r="B14" s="269" t="s">
        <v>272</v>
      </c>
      <c r="C14" s="275">
        <v>1564</v>
      </c>
      <c r="D14" t="s">
        <v>273</v>
      </c>
    </row>
    <row r="15" spans="1:7" ht="15" customHeight="1" x14ac:dyDescent="0.3">
      <c r="A15" s="268">
        <v>45874</v>
      </c>
      <c r="B15" s="269" t="s">
        <v>274</v>
      </c>
      <c r="C15" s="275">
        <v>1589</v>
      </c>
      <c r="D15" t="s">
        <v>275</v>
      </c>
    </row>
    <row r="16" spans="1:7" ht="15" customHeight="1" x14ac:dyDescent="0.3">
      <c r="A16" s="268">
        <v>45874</v>
      </c>
      <c r="B16" s="269" t="s">
        <v>276</v>
      </c>
      <c r="C16" s="275">
        <v>4997</v>
      </c>
      <c r="D16" t="s">
        <v>277</v>
      </c>
    </row>
    <row r="17" spans="1:4" ht="15" customHeight="1" x14ac:dyDescent="0.3">
      <c r="A17" s="268"/>
      <c r="B17" s="269"/>
      <c r="C17" s="275"/>
    </row>
    <row r="18" spans="1:4" ht="15" customHeight="1" x14ac:dyDescent="0.3">
      <c r="A18" s="268"/>
      <c r="B18" s="345" t="s">
        <v>278</v>
      </c>
      <c r="C18" s="275"/>
    </row>
    <row r="19" spans="1:4" ht="15" customHeight="1" x14ac:dyDescent="0.3">
      <c r="A19" s="268" t="s">
        <v>279</v>
      </c>
      <c r="B19" s="269" t="s">
        <v>280</v>
      </c>
      <c r="C19" s="275" t="s">
        <v>281</v>
      </c>
      <c r="D19" t="s">
        <v>282</v>
      </c>
    </row>
    <row r="20" spans="1:4" ht="17.25" customHeight="1" x14ac:dyDescent="0.3">
      <c r="A20" s="268" t="s">
        <v>283</v>
      </c>
      <c r="B20" s="269" t="s">
        <v>284</v>
      </c>
      <c r="C20" s="275" t="s">
        <v>285</v>
      </c>
      <c r="D20" s="275" t="s">
        <v>286</v>
      </c>
    </row>
    <row r="21" spans="1:4" ht="17.25" customHeight="1" x14ac:dyDescent="0.3">
      <c r="A21" s="268"/>
      <c r="B21" s="270"/>
      <c r="C21" s="275"/>
    </row>
    <row r="22" spans="1:4" ht="19.5" customHeight="1" x14ac:dyDescent="0.3">
      <c r="A22" s="315"/>
      <c r="C22" s="275"/>
    </row>
    <row r="23" spans="1:4" ht="19.5" customHeight="1" x14ac:dyDescent="0.3">
      <c r="A23" s="315"/>
      <c r="C23" s="275"/>
    </row>
    <row r="24" spans="1:4" ht="19.5" customHeight="1" x14ac:dyDescent="0.3">
      <c r="A24" s="268">
        <v>45870</v>
      </c>
      <c r="B24" s="269" t="s">
        <v>287</v>
      </c>
      <c r="C24" s="275">
        <v>953</v>
      </c>
      <c r="D24" t="s">
        <v>288</v>
      </c>
    </row>
    <row r="25" spans="1:4" ht="19.5" customHeight="1" x14ac:dyDescent="0.3">
      <c r="A25" s="268">
        <v>45870</v>
      </c>
      <c r="B25" s="269" t="s">
        <v>289</v>
      </c>
      <c r="C25" s="275">
        <v>1105</v>
      </c>
      <c r="D25" t="s">
        <v>290</v>
      </c>
    </row>
    <row r="26" spans="1:4" x14ac:dyDescent="0.3">
      <c r="A26" s="268">
        <v>45860</v>
      </c>
      <c r="B26" s="269" t="s">
        <v>291</v>
      </c>
      <c r="C26" s="275">
        <v>3465</v>
      </c>
      <c r="D26" t="s">
        <v>292</v>
      </c>
    </row>
    <row r="27" spans="1:4" x14ac:dyDescent="0.3">
      <c r="A27" s="268">
        <v>45860</v>
      </c>
      <c r="B27" s="269" t="s">
        <v>293</v>
      </c>
      <c r="C27" s="275">
        <v>1537</v>
      </c>
      <c r="D27" t="s">
        <v>294</v>
      </c>
    </row>
    <row r="28" spans="1:4" x14ac:dyDescent="0.3">
      <c r="A28" s="268">
        <v>45865</v>
      </c>
      <c r="B28" s="269" t="s">
        <v>295</v>
      </c>
      <c r="C28" s="275">
        <v>563</v>
      </c>
      <c r="D28" t="s">
        <v>296</v>
      </c>
    </row>
    <row r="29" spans="1:4" x14ac:dyDescent="0.3">
      <c r="A29" s="268">
        <v>45865</v>
      </c>
      <c r="B29" s="269" t="s">
        <v>297</v>
      </c>
      <c r="C29" s="275">
        <v>1735</v>
      </c>
      <c r="D29" t="s">
        <v>298</v>
      </c>
    </row>
    <row r="30" spans="1:4" x14ac:dyDescent="0.3">
      <c r="A30" s="268">
        <v>45865</v>
      </c>
      <c r="B30" s="269" t="s">
        <v>299</v>
      </c>
      <c r="C30" s="275">
        <v>256</v>
      </c>
      <c r="D30" t="s">
        <v>254</v>
      </c>
    </row>
    <row r="31" spans="1:4" x14ac:dyDescent="0.3">
      <c r="A31" s="268">
        <v>45853</v>
      </c>
      <c r="B31" s="269" t="s">
        <v>300</v>
      </c>
      <c r="C31" s="275">
        <v>1641</v>
      </c>
      <c r="D31" t="s">
        <v>301</v>
      </c>
    </row>
    <row r="32" spans="1:4" x14ac:dyDescent="0.3">
      <c r="A32" s="268">
        <v>45853</v>
      </c>
      <c r="B32" s="269" t="s">
        <v>302</v>
      </c>
      <c r="C32" s="275">
        <v>4321</v>
      </c>
      <c r="D32" t="s">
        <v>303</v>
      </c>
    </row>
    <row r="33" spans="1:4" x14ac:dyDescent="0.3">
      <c r="A33" s="268">
        <v>45853</v>
      </c>
      <c r="B33" s="269" t="s">
        <v>304</v>
      </c>
      <c r="C33" s="275">
        <v>1013</v>
      </c>
      <c r="D33" t="s">
        <v>305</v>
      </c>
    </row>
    <row r="34" spans="1:4" x14ac:dyDescent="0.3">
      <c r="A34" s="268">
        <v>45853</v>
      </c>
      <c r="B34" s="269" t="s">
        <v>306</v>
      </c>
      <c r="C34" s="275">
        <v>1115</v>
      </c>
      <c r="D34" t="s">
        <v>254</v>
      </c>
    </row>
    <row r="35" spans="1:4" x14ac:dyDescent="0.3">
      <c r="A35" s="268">
        <v>45854</v>
      </c>
      <c r="B35" s="270" t="s">
        <v>307</v>
      </c>
      <c r="C35" s="275">
        <v>3157</v>
      </c>
      <c r="D35" t="s">
        <v>308</v>
      </c>
    </row>
    <row r="36" spans="1:4" x14ac:dyDescent="0.3">
      <c r="A36" s="268">
        <v>45854</v>
      </c>
      <c r="B36" s="270" t="s">
        <v>309</v>
      </c>
      <c r="C36" s="275">
        <v>1489</v>
      </c>
      <c r="D36" t="s">
        <v>310</v>
      </c>
    </row>
    <row r="37" spans="1:4" x14ac:dyDescent="0.3">
      <c r="A37" s="268">
        <v>45854</v>
      </c>
      <c r="B37" s="270" t="s">
        <v>311</v>
      </c>
      <c r="C37" s="275">
        <v>8022</v>
      </c>
      <c r="D37" t="s">
        <v>312</v>
      </c>
    </row>
    <row r="38" spans="1:4" x14ac:dyDescent="0.3">
      <c r="A38" s="315">
        <v>45855</v>
      </c>
      <c r="B38" t="s">
        <v>313</v>
      </c>
      <c r="C38" s="275">
        <v>1203</v>
      </c>
      <c r="D38" t="s">
        <v>301</v>
      </c>
    </row>
    <row r="39" spans="1:4" x14ac:dyDescent="0.3">
      <c r="A39" s="315">
        <v>45855</v>
      </c>
      <c r="B39" t="s">
        <v>314</v>
      </c>
      <c r="C39" s="275">
        <v>1101</v>
      </c>
      <c r="D39" t="s">
        <v>315</v>
      </c>
    </row>
    <row r="40" spans="1:4" x14ac:dyDescent="0.3">
      <c r="A40" s="315">
        <v>45855</v>
      </c>
      <c r="B40" t="s">
        <v>316</v>
      </c>
      <c r="C40" s="316">
        <v>3569</v>
      </c>
      <c r="D40" t="s">
        <v>317</v>
      </c>
    </row>
    <row r="41" spans="1:4" x14ac:dyDescent="0.3">
      <c r="A41" s="315">
        <v>45855</v>
      </c>
      <c r="B41" t="s">
        <v>318</v>
      </c>
      <c r="C41">
        <v>136</v>
      </c>
      <c r="D41" t="s">
        <v>319</v>
      </c>
    </row>
    <row r="42" spans="1:4" x14ac:dyDescent="0.3">
      <c r="A42" s="315">
        <v>45856</v>
      </c>
      <c r="B42" t="s">
        <v>320</v>
      </c>
      <c r="C42" s="275">
        <v>1000</v>
      </c>
      <c r="D42" t="s">
        <v>321</v>
      </c>
    </row>
    <row r="43" spans="1:4" x14ac:dyDescent="0.3">
      <c r="A43" s="315">
        <v>45856</v>
      </c>
      <c r="B43" t="s">
        <v>322</v>
      </c>
      <c r="C43" s="275">
        <v>2072</v>
      </c>
      <c r="D43" t="s">
        <v>323</v>
      </c>
    </row>
    <row r="44" spans="1:4" x14ac:dyDescent="0.3">
      <c r="A44" s="315">
        <v>45856</v>
      </c>
      <c r="B44" t="s">
        <v>324</v>
      </c>
      <c r="C44">
        <v>947</v>
      </c>
      <c r="D44" t="s">
        <v>325</v>
      </c>
    </row>
    <row r="45" spans="1:4" x14ac:dyDescent="0.3">
      <c r="A45" s="315">
        <v>45856</v>
      </c>
      <c r="B45" t="s">
        <v>326</v>
      </c>
      <c r="C45">
        <v>32</v>
      </c>
      <c r="D45" t="s">
        <v>319</v>
      </c>
    </row>
    <row r="46" spans="1:4" x14ac:dyDescent="0.3">
      <c r="A46" s="315"/>
    </row>
    <row r="47" spans="1:4" x14ac:dyDescent="0.3">
      <c r="B47" s="303" t="s">
        <v>278</v>
      </c>
    </row>
    <row r="48" spans="1:4" x14ac:dyDescent="0.3">
      <c r="A48" s="268">
        <v>45832</v>
      </c>
      <c r="B48" s="270" t="s">
        <v>327</v>
      </c>
      <c r="C48" s="275" t="s">
        <v>328</v>
      </c>
      <c r="D48" t="s">
        <v>329</v>
      </c>
    </row>
    <row r="49" spans="1:4" x14ac:dyDescent="0.3">
      <c r="A49" s="268">
        <v>45838</v>
      </c>
      <c r="B49" s="269" t="s">
        <v>280</v>
      </c>
      <c r="C49" t="s">
        <v>330</v>
      </c>
      <c r="D49" t="s">
        <v>331</v>
      </c>
    </row>
    <row r="50" spans="1:4" x14ac:dyDescent="0.3">
      <c r="A50" s="268">
        <v>45841</v>
      </c>
      <c r="B50" s="269" t="s">
        <v>332</v>
      </c>
      <c r="C50" t="s">
        <v>333</v>
      </c>
      <c r="D50" t="s">
        <v>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23"/>
  <sheetViews>
    <sheetView workbookViewId="0">
      <selection activeCell="F7" sqref="F7"/>
    </sheetView>
  </sheetViews>
  <sheetFormatPr defaultRowHeight="14.4" x14ac:dyDescent="0.3"/>
  <cols>
    <col min="1" max="1" width="45.88671875" customWidth="1"/>
    <col min="2" max="2" width="16.109375" customWidth="1"/>
    <col min="3" max="3" width="19.88671875" customWidth="1"/>
    <col min="4" max="4" width="18.33203125" customWidth="1"/>
    <col min="5" max="5" width="64.5546875" customWidth="1"/>
    <col min="6" max="9" width="9.109375" bestFit="1" customWidth="1"/>
    <col min="10" max="10" width="25.109375" customWidth="1"/>
    <col min="11" max="11" width="11.6640625" customWidth="1"/>
  </cols>
  <sheetData>
    <row r="1" spans="1:11" ht="23.25" customHeight="1" x14ac:dyDescent="0.3">
      <c r="A1" s="283" t="s">
        <v>335</v>
      </c>
      <c r="B1" s="298" t="s">
        <v>336</v>
      </c>
      <c r="C1" s="300" t="s">
        <v>337</v>
      </c>
      <c r="D1" s="280" t="s">
        <v>338</v>
      </c>
    </row>
    <row r="2" spans="1:11" ht="72" customHeight="1" x14ac:dyDescent="0.3">
      <c r="A2" s="382" t="s">
        <v>339</v>
      </c>
      <c r="B2" s="262">
        <v>95473</v>
      </c>
      <c r="C2" s="383" t="s">
        <v>340</v>
      </c>
      <c r="D2" s="292" t="s">
        <v>341</v>
      </c>
      <c r="E2" s="378"/>
    </row>
    <row r="3" spans="1:11" ht="72" customHeight="1" x14ac:dyDescent="0.3">
      <c r="A3" s="377" t="s">
        <v>342</v>
      </c>
      <c r="B3" s="344">
        <v>94241</v>
      </c>
      <c r="C3" s="343" t="s">
        <v>343</v>
      </c>
      <c r="D3" s="292" t="s">
        <v>344</v>
      </c>
      <c r="E3" s="378" t="s">
        <v>345</v>
      </c>
    </row>
    <row r="4" spans="1:11" ht="72" customHeight="1" x14ac:dyDescent="0.3">
      <c r="A4" s="272" t="s">
        <v>346</v>
      </c>
      <c r="B4" s="344">
        <v>94322</v>
      </c>
      <c r="C4" s="343" t="s">
        <v>347</v>
      </c>
      <c r="D4" s="292" t="s">
        <v>348</v>
      </c>
      <c r="E4" s="378" t="s">
        <v>349</v>
      </c>
    </row>
    <row r="5" spans="1:11" ht="72" customHeight="1" x14ac:dyDescent="0.3">
      <c r="A5" s="272" t="s">
        <v>350</v>
      </c>
      <c r="B5" s="320">
        <v>95893</v>
      </c>
      <c r="C5" s="321" t="s">
        <v>351</v>
      </c>
      <c r="D5" s="292" t="s">
        <v>352</v>
      </c>
      <c r="E5" s="271"/>
    </row>
    <row r="6" spans="1:11" ht="72" customHeight="1" x14ac:dyDescent="0.3">
      <c r="A6" s="272" t="s">
        <v>353</v>
      </c>
      <c r="B6" s="344">
        <v>96012</v>
      </c>
      <c r="C6" s="343" t="s">
        <v>354</v>
      </c>
      <c r="D6" s="292" t="s">
        <v>355</v>
      </c>
      <c r="E6" s="271"/>
    </row>
    <row r="7" spans="1:11" ht="72" customHeight="1" x14ac:dyDescent="0.3">
      <c r="A7" s="272" t="s">
        <v>356</v>
      </c>
      <c r="B7" s="282">
        <v>95831</v>
      </c>
      <c r="C7" s="314" t="s">
        <v>357</v>
      </c>
      <c r="D7" s="317" t="s">
        <v>358</v>
      </c>
      <c r="E7" s="271"/>
    </row>
    <row r="8" spans="1:11" ht="72" customHeight="1" x14ac:dyDescent="0.3">
      <c r="A8" s="272" t="s">
        <v>359</v>
      </c>
      <c r="B8" s="282">
        <v>94927</v>
      </c>
      <c r="C8" s="314" t="s">
        <v>360</v>
      </c>
      <c r="D8" s="292" t="s">
        <v>361</v>
      </c>
      <c r="E8" s="271"/>
    </row>
    <row r="9" spans="1:11" ht="72" customHeight="1" x14ac:dyDescent="0.3">
      <c r="A9" s="272" t="s">
        <v>362</v>
      </c>
      <c r="B9" s="282">
        <v>95059</v>
      </c>
      <c r="C9" s="290" t="s">
        <v>363</v>
      </c>
      <c r="D9" s="292" t="s">
        <v>364</v>
      </c>
      <c r="E9" s="271" t="s">
        <v>365</v>
      </c>
    </row>
    <row r="10" spans="1:11" ht="72" customHeight="1" x14ac:dyDescent="0.3">
      <c r="A10" s="247" t="s">
        <v>366</v>
      </c>
      <c r="B10" s="273">
        <v>95219</v>
      </c>
      <c r="C10" s="285" t="s">
        <v>367</v>
      </c>
      <c r="D10" s="287" t="s">
        <v>368</v>
      </c>
      <c r="E10" s="271" t="s">
        <v>369</v>
      </c>
    </row>
    <row r="11" spans="1:11" ht="72" customHeight="1" x14ac:dyDescent="0.3">
      <c r="A11" s="272" t="s">
        <v>370</v>
      </c>
      <c r="B11" s="259">
        <v>104371</v>
      </c>
      <c r="C11" s="286" t="s">
        <v>371</v>
      </c>
      <c r="D11" s="288" t="s">
        <v>372</v>
      </c>
      <c r="E11" s="271"/>
    </row>
    <row r="12" spans="1:11" ht="15" customHeight="1" x14ac:dyDescent="0.3">
      <c r="A12" s="272" t="s">
        <v>373</v>
      </c>
      <c r="B12" s="274" t="s">
        <v>374</v>
      </c>
      <c r="C12" s="284" t="s">
        <v>375</v>
      </c>
      <c r="D12" s="246" t="s">
        <v>376</v>
      </c>
    </row>
    <row r="13" spans="1:11" ht="15" customHeight="1" x14ac:dyDescent="0.3">
      <c r="A13" s="247" t="s">
        <v>377</v>
      </c>
      <c r="B13" s="248">
        <v>174</v>
      </c>
      <c r="C13" s="249" t="s">
        <v>378</v>
      </c>
      <c r="D13" s="248">
        <v>0</v>
      </c>
    </row>
    <row r="14" spans="1:11" ht="15" customHeight="1" x14ac:dyDescent="0.3">
      <c r="A14" s="250" t="s">
        <v>377</v>
      </c>
      <c r="B14" s="248">
        <v>174</v>
      </c>
      <c r="C14" s="251" t="s">
        <v>378</v>
      </c>
      <c r="D14" s="252">
        <v>0</v>
      </c>
    </row>
    <row r="15" spans="1:11" ht="15" customHeight="1" x14ac:dyDescent="0.3">
      <c r="A15" s="253" t="s">
        <v>379</v>
      </c>
      <c r="B15" s="254">
        <v>80</v>
      </c>
      <c r="C15" s="255" t="s">
        <v>380</v>
      </c>
      <c r="D15" s="256">
        <v>1</v>
      </c>
      <c r="J15" s="257" t="s">
        <v>381</v>
      </c>
      <c r="K15" s="258">
        <v>0.37</v>
      </c>
    </row>
    <row r="16" spans="1:11" ht="15" customHeight="1" x14ac:dyDescent="0.3">
      <c r="A16" s="253" t="s">
        <v>382</v>
      </c>
      <c r="B16" s="259">
        <v>4954</v>
      </c>
      <c r="C16" s="255" t="s">
        <v>383</v>
      </c>
      <c r="D16" s="260" t="s">
        <v>384</v>
      </c>
    </row>
    <row r="17" spans="1:11" ht="15" customHeight="1" x14ac:dyDescent="0.3">
      <c r="A17" s="253" t="s">
        <v>385</v>
      </c>
      <c r="B17" s="259">
        <v>2185</v>
      </c>
      <c r="C17" s="255" t="s">
        <v>386</v>
      </c>
      <c r="D17" s="261" t="s">
        <v>387</v>
      </c>
      <c r="J17" s="257" t="s">
        <v>388</v>
      </c>
      <c r="K17" s="258">
        <v>0.02</v>
      </c>
    </row>
    <row r="18" spans="1:11" ht="15" customHeight="1" x14ac:dyDescent="0.3">
      <c r="A18" s="247" t="s">
        <v>389</v>
      </c>
      <c r="B18" s="262">
        <v>96846</v>
      </c>
      <c r="C18" s="263" t="s">
        <v>390</v>
      </c>
      <c r="D18" s="291" t="s">
        <v>391</v>
      </c>
    </row>
    <row r="19" spans="1:11" ht="15" customHeight="1" x14ac:dyDescent="0.3">
      <c r="A19" s="264"/>
      <c r="B19" s="265"/>
    </row>
    <row r="20" spans="1:11" ht="15" customHeight="1" x14ac:dyDescent="0.3">
      <c r="A20" s="264"/>
      <c r="B20" s="265"/>
      <c r="C20" s="265"/>
      <c r="D20" s="265"/>
    </row>
    <row r="21" spans="1:11" ht="15" customHeight="1" x14ac:dyDescent="0.3">
      <c r="A21" s="264"/>
      <c r="B21" s="265"/>
      <c r="C21" s="265"/>
      <c r="D21" s="265"/>
    </row>
    <row r="22" spans="1:11" ht="15" customHeight="1" x14ac:dyDescent="0.3">
      <c r="A22" s="264"/>
      <c r="B22" s="265"/>
      <c r="C22" s="265"/>
      <c r="D22" s="265"/>
    </row>
    <row r="23" spans="1:11" ht="15" customHeight="1" x14ac:dyDescent="0.3">
      <c r="A23" s="264"/>
      <c r="B23" s="266"/>
      <c r="C23" s="265"/>
      <c r="D23" s="265"/>
    </row>
  </sheetData>
  <hyperlinks>
    <hyperlink ref="E4" r:id="rId1" xr:uid="{D8C58A6F-2085-4A0B-80FD-48C0F3AB9264}"/>
    <hyperlink ref="E3" r:id="rId2" xr:uid="{4DAFCC56-7E8F-4CAA-A968-07EE21C05B0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F21" sqref="F21"/>
    </sheetView>
  </sheetViews>
  <sheetFormatPr defaultRowHeight="14.4" x14ac:dyDescent="0.3"/>
  <cols>
    <col min="1" max="1" width="35" customWidth="1"/>
    <col min="2" max="2" width="37.109375" customWidth="1"/>
    <col min="3" max="3" width="22" customWidth="1"/>
    <col min="4" max="5" width="9.109375" bestFit="1" customWidth="1"/>
    <col min="6" max="6" width="29.33203125" customWidth="1"/>
  </cols>
  <sheetData>
    <row r="1" spans="1:3" x14ac:dyDescent="0.3">
      <c r="A1" s="408" t="s">
        <v>392</v>
      </c>
      <c r="B1" s="409"/>
      <c r="C1" s="409"/>
    </row>
    <row r="2" spans="1:3" x14ac:dyDescent="0.3">
      <c r="A2" s="294" t="s">
        <v>393</v>
      </c>
      <c r="B2" s="280" t="s">
        <v>394</v>
      </c>
      <c r="C2" s="280" t="s">
        <v>395</v>
      </c>
    </row>
    <row r="3" spans="1:3" x14ac:dyDescent="0.3">
      <c r="A3" t="s">
        <v>396</v>
      </c>
      <c r="B3" s="379">
        <v>18052</v>
      </c>
      <c r="C3">
        <v>164</v>
      </c>
    </row>
    <row r="4" spans="1:3" x14ac:dyDescent="0.3">
      <c r="A4" t="s">
        <v>284</v>
      </c>
      <c r="B4" s="275">
        <v>8322</v>
      </c>
      <c r="C4">
        <v>66</v>
      </c>
    </row>
    <row r="5" spans="1:3" x14ac:dyDescent="0.3">
      <c r="A5" t="s">
        <v>397</v>
      </c>
      <c r="B5" s="275">
        <v>7065</v>
      </c>
      <c r="C5">
        <v>86</v>
      </c>
    </row>
    <row r="6" spans="1:3" x14ac:dyDescent="0.3">
      <c r="A6" t="s">
        <v>398</v>
      </c>
      <c r="B6" s="275">
        <v>4084.5</v>
      </c>
      <c r="C6">
        <v>54</v>
      </c>
    </row>
    <row r="7" spans="1:3" x14ac:dyDescent="0.3">
      <c r="A7" t="s">
        <v>399</v>
      </c>
      <c r="B7" s="275">
        <v>3441</v>
      </c>
      <c r="C7">
        <v>38</v>
      </c>
    </row>
    <row r="8" spans="1:3" x14ac:dyDescent="0.3">
      <c r="A8" t="s">
        <v>400</v>
      </c>
      <c r="B8" s="275">
        <v>2892</v>
      </c>
      <c r="C8">
        <v>44</v>
      </c>
    </row>
    <row r="9" spans="1:3" x14ac:dyDescent="0.3">
      <c r="A9" t="s">
        <v>401</v>
      </c>
      <c r="B9" s="275">
        <v>2521</v>
      </c>
      <c r="C9">
        <v>29</v>
      </c>
    </row>
    <row r="10" spans="1:3" x14ac:dyDescent="0.3">
      <c r="A10" t="s">
        <v>402</v>
      </c>
      <c r="B10" s="275">
        <v>2454</v>
      </c>
      <c r="C10">
        <v>52</v>
      </c>
    </row>
    <row r="11" spans="1:3" x14ac:dyDescent="0.3">
      <c r="B11" s="275"/>
    </row>
    <row r="12" spans="1:3" x14ac:dyDescent="0.3">
      <c r="A12" s="408" t="s">
        <v>403</v>
      </c>
      <c r="B12" s="409"/>
      <c r="C12" s="409"/>
    </row>
    <row r="13" spans="1:3" x14ac:dyDescent="0.3">
      <c r="A13" s="294" t="s">
        <v>404</v>
      </c>
      <c r="B13" s="280" t="s">
        <v>405</v>
      </c>
      <c r="C13" s="280" t="s">
        <v>395</v>
      </c>
    </row>
    <row r="14" spans="1:3" x14ac:dyDescent="0.3">
      <c r="A14" t="s">
        <v>398</v>
      </c>
      <c r="B14" s="275">
        <v>17681</v>
      </c>
      <c r="C14">
        <v>161</v>
      </c>
    </row>
    <row r="15" spans="1:3" x14ac:dyDescent="0.3">
      <c r="A15" t="s">
        <v>396</v>
      </c>
      <c r="B15" s="275">
        <v>7995</v>
      </c>
      <c r="C15">
        <v>64</v>
      </c>
    </row>
    <row r="16" spans="1:3" x14ac:dyDescent="0.3">
      <c r="A16" t="s">
        <v>397</v>
      </c>
      <c r="B16" s="275">
        <v>5293</v>
      </c>
      <c r="C16">
        <v>64</v>
      </c>
    </row>
    <row r="17" spans="1:6" x14ac:dyDescent="0.3">
      <c r="A17" t="s">
        <v>406</v>
      </c>
      <c r="B17" s="275">
        <v>4084</v>
      </c>
      <c r="C17">
        <v>54</v>
      </c>
    </row>
    <row r="18" spans="1:6" x14ac:dyDescent="0.3">
      <c r="A18" t="s">
        <v>402</v>
      </c>
      <c r="B18" s="275">
        <v>2684</v>
      </c>
      <c r="C18">
        <v>31</v>
      </c>
    </row>
    <row r="19" spans="1:6" x14ac:dyDescent="0.3">
      <c r="A19" t="s">
        <v>400</v>
      </c>
      <c r="B19" s="275">
        <v>2343</v>
      </c>
      <c r="C19">
        <v>26</v>
      </c>
    </row>
    <row r="20" spans="1:6" x14ac:dyDescent="0.3">
      <c r="A20" t="s">
        <v>407</v>
      </c>
      <c r="B20" s="275">
        <v>2341</v>
      </c>
      <c r="C20">
        <v>38</v>
      </c>
    </row>
    <row r="21" spans="1:6" x14ac:dyDescent="0.3">
      <c r="A21" t="s">
        <v>408</v>
      </c>
      <c r="B21" s="275">
        <v>2308</v>
      </c>
      <c r="C21">
        <v>49</v>
      </c>
    </row>
    <row r="22" spans="1:6" x14ac:dyDescent="0.3">
      <c r="A22" t="s">
        <v>409</v>
      </c>
      <c r="B22" s="275">
        <v>2030</v>
      </c>
      <c r="C22">
        <v>26</v>
      </c>
    </row>
    <row r="23" spans="1:6" x14ac:dyDescent="0.3">
      <c r="A23" t="s">
        <v>399</v>
      </c>
      <c r="B23" s="293">
        <v>2004</v>
      </c>
      <c r="C23">
        <v>26</v>
      </c>
    </row>
    <row r="27" spans="1:6" x14ac:dyDescent="0.3">
      <c r="A27" s="408" t="s">
        <v>403</v>
      </c>
      <c r="B27" s="409"/>
      <c r="C27" s="409"/>
    </row>
    <row r="28" spans="1:6" x14ac:dyDescent="0.3">
      <c r="A28" s="294" t="s">
        <v>410</v>
      </c>
      <c r="B28" s="280" t="s">
        <v>411</v>
      </c>
      <c r="C28" s="280" t="s">
        <v>395</v>
      </c>
      <c r="F28" s="267"/>
    </row>
    <row r="29" spans="1:6" x14ac:dyDescent="0.3">
      <c r="A29" t="s">
        <v>396</v>
      </c>
      <c r="B29" s="293">
        <v>27675</v>
      </c>
      <c r="C29">
        <v>215</v>
      </c>
    </row>
    <row r="30" spans="1:6" x14ac:dyDescent="0.3">
      <c r="A30" t="s">
        <v>397</v>
      </c>
      <c r="B30" s="293">
        <v>9650</v>
      </c>
      <c r="C30">
        <v>116</v>
      </c>
    </row>
    <row r="31" spans="1:6" x14ac:dyDescent="0.3">
      <c r="A31" t="s">
        <v>402</v>
      </c>
      <c r="B31" s="293">
        <v>8677</v>
      </c>
      <c r="C31">
        <v>104</v>
      </c>
    </row>
    <row r="32" spans="1:6" x14ac:dyDescent="0.3">
      <c r="A32" t="s">
        <v>398</v>
      </c>
      <c r="B32" s="293">
        <v>9110</v>
      </c>
      <c r="C32">
        <v>84</v>
      </c>
    </row>
    <row r="33" spans="1:6" x14ac:dyDescent="0.3">
      <c r="A33" t="s">
        <v>400</v>
      </c>
      <c r="B33" s="275">
        <v>5110</v>
      </c>
      <c r="C33">
        <v>80</v>
      </c>
    </row>
    <row r="34" spans="1:6" x14ac:dyDescent="0.3">
      <c r="A34" t="s">
        <v>406</v>
      </c>
      <c r="B34" s="293">
        <v>5435</v>
      </c>
      <c r="C34">
        <v>73</v>
      </c>
    </row>
    <row r="35" spans="1:6" x14ac:dyDescent="0.3">
      <c r="A35" t="s">
        <v>409</v>
      </c>
      <c r="B35" s="293">
        <v>5145</v>
      </c>
      <c r="C35">
        <v>61</v>
      </c>
    </row>
    <row r="36" spans="1:6" x14ac:dyDescent="0.3">
      <c r="A36" t="s">
        <v>412</v>
      </c>
      <c r="B36" s="293">
        <v>4200</v>
      </c>
      <c r="C36">
        <v>56</v>
      </c>
    </row>
    <row r="37" spans="1:6" x14ac:dyDescent="0.3">
      <c r="A37" t="s">
        <v>413</v>
      </c>
      <c r="B37" s="293">
        <v>2970</v>
      </c>
      <c r="C37">
        <v>55</v>
      </c>
    </row>
    <row r="43" spans="1:6" x14ac:dyDescent="0.3">
      <c r="A43" s="408" t="s">
        <v>414</v>
      </c>
      <c r="B43" s="409"/>
      <c r="C43" s="409"/>
    </row>
    <row r="44" spans="1:6" ht="15" customHeight="1" x14ac:dyDescent="0.3">
      <c r="A44" s="294" t="s">
        <v>415</v>
      </c>
      <c r="B44" s="280" t="s">
        <v>416</v>
      </c>
      <c r="C44" s="280" t="s">
        <v>395</v>
      </c>
      <c r="F44" s="267"/>
    </row>
    <row r="45" spans="1:6" ht="15" customHeight="1" x14ac:dyDescent="0.3">
      <c r="A45" s="269" t="s">
        <v>397</v>
      </c>
      <c r="B45" s="293">
        <v>19205</v>
      </c>
      <c r="C45">
        <v>234</v>
      </c>
    </row>
    <row r="46" spans="1:6" ht="15" customHeight="1" x14ac:dyDescent="0.3">
      <c r="A46" s="269" t="s">
        <v>396</v>
      </c>
      <c r="B46" s="293">
        <v>16175</v>
      </c>
      <c r="C46">
        <v>130</v>
      </c>
    </row>
    <row r="47" spans="1:6" ht="15" customHeight="1" x14ac:dyDescent="0.3">
      <c r="A47" s="270" t="s">
        <v>398</v>
      </c>
      <c r="B47" s="293">
        <v>14107</v>
      </c>
      <c r="C47">
        <v>139</v>
      </c>
    </row>
    <row r="48" spans="1:6" ht="17.25" customHeight="1" x14ac:dyDescent="0.3">
      <c r="A48" t="s">
        <v>399</v>
      </c>
      <c r="B48" s="293">
        <v>12729</v>
      </c>
      <c r="C48">
        <v>186</v>
      </c>
    </row>
    <row r="49" spans="1:3" ht="17.25" customHeight="1" x14ac:dyDescent="0.3">
      <c r="A49" t="s">
        <v>417</v>
      </c>
      <c r="B49" s="293">
        <v>11391</v>
      </c>
      <c r="C49">
        <v>149</v>
      </c>
    </row>
    <row r="50" spans="1:3" ht="17.25" customHeight="1" x14ac:dyDescent="0.3">
      <c r="A50" t="s">
        <v>418</v>
      </c>
      <c r="B50" s="293">
        <v>11075</v>
      </c>
      <c r="C50">
        <v>168</v>
      </c>
    </row>
    <row r="51" spans="1:3" ht="19.5" customHeight="1" x14ac:dyDescent="0.3">
      <c r="A51" t="s">
        <v>401</v>
      </c>
      <c r="B51" s="293">
        <v>10715</v>
      </c>
      <c r="C51">
        <v>155</v>
      </c>
    </row>
    <row r="52" spans="1:3" x14ac:dyDescent="0.3">
      <c r="A52" t="s">
        <v>402</v>
      </c>
      <c r="B52" s="293">
        <v>9126</v>
      </c>
      <c r="C52">
        <v>129</v>
      </c>
    </row>
    <row r="53" spans="1:3" x14ac:dyDescent="0.3">
      <c r="A53" t="s">
        <v>284</v>
      </c>
      <c r="B53" s="293">
        <v>6150</v>
      </c>
      <c r="C53">
        <v>91</v>
      </c>
    </row>
    <row r="54" spans="1:3" x14ac:dyDescent="0.3">
      <c r="A54" t="s">
        <v>93</v>
      </c>
      <c r="B54" s="293">
        <v>6140</v>
      </c>
      <c r="C54">
        <v>60</v>
      </c>
    </row>
    <row r="56" spans="1:3" x14ac:dyDescent="0.3">
      <c r="A56" s="406" t="s">
        <v>419</v>
      </c>
      <c r="B56" s="407"/>
      <c r="C56" s="304"/>
    </row>
    <row r="57" spans="1:3" x14ac:dyDescent="0.3">
      <c r="A57" s="305" t="s">
        <v>420</v>
      </c>
      <c r="B57" s="306" t="s">
        <v>421</v>
      </c>
      <c r="C57" s="304"/>
    </row>
    <row r="58" spans="1:3" x14ac:dyDescent="0.3">
      <c r="A58" s="304" t="s">
        <v>422</v>
      </c>
      <c r="B58" s="307"/>
      <c r="C58" s="304"/>
    </row>
    <row r="59" spans="1:3" x14ac:dyDescent="0.3">
      <c r="A59" s="304" t="s">
        <v>423</v>
      </c>
      <c r="B59" s="307"/>
      <c r="C59" s="304"/>
    </row>
    <row r="60" spans="1:3" x14ac:dyDescent="0.3">
      <c r="A60" s="304" t="s">
        <v>424</v>
      </c>
      <c r="B60" s="307"/>
      <c r="C60" s="304"/>
    </row>
    <row r="61" spans="1:3" x14ac:dyDescent="0.3">
      <c r="A61" s="304" t="s">
        <v>425</v>
      </c>
      <c r="B61" s="304"/>
      <c r="C61" s="304"/>
    </row>
    <row r="62" spans="1:3" x14ac:dyDescent="0.3">
      <c r="A62" s="304" t="s">
        <v>426</v>
      </c>
      <c r="B62" s="304"/>
      <c r="C62" s="304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Performances by Week</vt:lpstr>
      <vt:lpstr>Subscriptions</vt:lpstr>
      <vt:lpstr>Channels (Draft)</vt:lpstr>
      <vt:lpstr>Sales Pacing</vt:lpstr>
      <vt:lpstr>Summary (Draft)</vt:lpstr>
      <vt:lpstr>Social Reporting</vt:lpstr>
      <vt:lpstr>Email Reporting</vt:lpstr>
      <vt:lpstr>Website Reporting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>Rupal Gor</cp:lastModifiedBy>
  <cp:revision/>
  <dcterms:created xsi:type="dcterms:W3CDTF">2025-06-06T18:30:38Z</dcterms:created>
  <dcterms:modified xsi:type="dcterms:W3CDTF">2025-08-27T19:37:38Z</dcterms:modified>
  <cp:category/>
  <cp:contentStatus/>
</cp:coreProperties>
</file>