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13_ncr:1_{A34EBEBF-301B-4FC6-BB6A-CF24A2888E3D}" xr6:coauthVersionLast="47" xr6:coauthVersionMax="47" xr10:uidLastSave="{00000000-0000-0000-0000-000000000000}"/>
  <bookViews>
    <workbookView xWindow="-108" yWindow="-108" windowWidth="23256" windowHeight="12456" xr2:uid="{6F13B11E-A781-40B0-8A47-BC27C9B0E25C}"/>
  </bookViews>
  <sheets>
    <sheet name="Performances by Week" sheetId="1" r:id="rId1"/>
    <sheet name="PS1 Journey" sheetId="12" r:id="rId2"/>
    <sheet name="CS1 Appalachian" sheetId="13" r:id="rId3"/>
    <sheet name="PS2 90s Mixtape" sheetId="14" r:id="rId4"/>
    <sheet name="MFSB" sheetId="15" state="hidden" r:id="rId5"/>
    <sheet name="CS2 Rachmaninoff" sheetId="16" r:id="rId6"/>
    <sheet name="CS3 Mahler" sheetId="17" r:id="rId7"/>
    <sheet name="Elf" sheetId="18" r:id="rId8"/>
    <sheet name="Messiah" sheetId="19" r:id="rId9"/>
    <sheet name="XMas Festival" sheetId="20" r:id="rId10"/>
    <sheet name="Subscriptions" sheetId="2" r:id="rId11"/>
    <sheet name="Summary (Draft)" sheetId="4" state="hidden" r:id="rId12"/>
    <sheet name="Sub Graphs" sheetId="21" r:id="rId13"/>
    <sheet name="Channels (Draft)" sheetId="5" r:id="rId14"/>
    <sheet name="Sales Pacing" sheetId="3" r:id="rId15"/>
    <sheet name="Email Reporting" sheetId="7" r:id="rId16"/>
    <sheet name="Social Reporting" sheetId="10" r:id="rId17"/>
    <sheet name="Website Reporting" sheetId="9" r:id="rId18"/>
    <sheet name="Grassroots Flyer Locations" sheetId="11" r:id="rId19"/>
    <sheet name="Board" sheetId="22" r:id="rId20"/>
  </sheets>
  <externalReferences>
    <externalReference r:id="rId21"/>
  </externalReferences>
  <definedNames>
    <definedName name="_xlnm._FilterDatabase" localSheetId="0" hidden="1">'Performances by Week'!$A$5:$AT$5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9" l="1"/>
  <c r="C10" i="19"/>
  <c r="D10" i="19"/>
  <c r="E10" i="19"/>
  <c r="F10" i="19"/>
  <c r="G10" i="19"/>
  <c r="H10" i="19"/>
  <c r="I10" i="19"/>
  <c r="J10" i="19"/>
  <c r="K10" i="19"/>
  <c r="L10" i="19"/>
  <c r="C46" i="2"/>
  <c r="B46" i="2"/>
  <c r="C24" i="2"/>
  <c r="B24" i="2"/>
  <c r="O70" i="22"/>
  <c r="H70" i="22"/>
  <c r="N70" i="22" s="1"/>
  <c r="P70" i="22" s="1"/>
  <c r="F70" i="22"/>
  <c r="E70" i="22"/>
  <c r="L70" i="22" s="1"/>
  <c r="O69" i="22"/>
  <c r="H69" i="22"/>
  <c r="N69" i="22" s="1"/>
  <c r="P69" i="22" s="1"/>
  <c r="F69" i="22"/>
  <c r="E69" i="22"/>
  <c r="L69" i="22" s="1"/>
  <c r="O68" i="22"/>
  <c r="H68" i="22"/>
  <c r="N68" i="22" s="1"/>
  <c r="P68" i="22" s="1"/>
  <c r="F68" i="22"/>
  <c r="E68" i="22"/>
  <c r="L68" i="22" s="1"/>
  <c r="O67" i="22"/>
  <c r="H67" i="22"/>
  <c r="N67" i="22" s="1"/>
  <c r="P67" i="22" s="1"/>
  <c r="F67" i="22"/>
  <c r="E67" i="22"/>
  <c r="L67" i="22" s="1"/>
  <c r="O66" i="22"/>
  <c r="H66" i="22"/>
  <c r="N66" i="22" s="1"/>
  <c r="P66" i="22" s="1"/>
  <c r="F66" i="22"/>
  <c r="E66" i="22"/>
  <c r="L66" i="22" s="1"/>
  <c r="O65" i="22"/>
  <c r="H65" i="22"/>
  <c r="N65" i="22" s="1"/>
  <c r="P65" i="22" s="1"/>
  <c r="F65" i="22"/>
  <c r="E65" i="22"/>
  <c r="L65" i="22" s="1"/>
  <c r="O64" i="22"/>
  <c r="O71" i="22" s="1"/>
  <c r="H64" i="22"/>
  <c r="F64" i="22"/>
  <c r="E64" i="22"/>
  <c r="O60" i="22"/>
  <c r="H60" i="22"/>
  <c r="N60" i="22" s="1"/>
  <c r="P60" i="22" s="1"/>
  <c r="F60" i="22"/>
  <c r="E60" i="22"/>
  <c r="L60" i="22" s="1"/>
  <c r="O59" i="22"/>
  <c r="H59" i="22"/>
  <c r="N59" i="22" s="1"/>
  <c r="P59" i="22" s="1"/>
  <c r="F59" i="22"/>
  <c r="E59" i="22"/>
  <c r="L59" i="22" s="1"/>
  <c r="O58" i="22"/>
  <c r="H58" i="22"/>
  <c r="N58" i="22" s="1"/>
  <c r="P58" i="22" s="1"/>
  <c r="F58" i="22"/>
  <c r="E58" i="22"/>
  <c r="L58" i="22" s="1"/>
  <c r="O57" i="22"/>
  <c r="O61" i="22" s="1"/>
  <c r="H57" i="22"/>
  <c r="F57" i="22"/>
  <c r="E57" i="22"/>
  <c r="O53" i="22"/>
  <c r="H53" i="22"/>
  <c r="N53" i="22" s="1"/>
  <c r="P53" i="22" s="1"/>
  <c r="F53" i="22"/>
  <c r="E53" i="22"/>
  <c r="L53" i="22" s="1"/>
  <c r="O52" i="22"/>
  <c r="H52" i="22"/>
  <c r="N52" i="22" s="1"/>
  <c r="P52" i="22" s="1"/>
  <c r="F52" i="22"/>
  <c r="E52" i="22"/>
  <c r="L52" i="22" s="1"/>
  <c r="O51" i="22"/>
  <c r="H51" i="22"/>
  <c r="N51" i="22" s="1"/>
  <c r="P51" i="22" s="1"/>
  <c r="F51" i="22"/>
  <c r="E51" i="22"/>
  <c r="L51" i="22" s="1"/>
  <c r="O50" i="22"/>
  <c r="H50" i="22"/>
  <c r="N50" i="22" s="1"/>
  <c r="P50" i="22" s="1"/>
  <c r="F50" i="22"/>
  <c r="E50" i="22"/>
  <c r="L50" i="22" s="1"/>
  <c r="O49" i="22"/>
  <c r="H49" i="22"/>
  <c r="N49" i="22" s="1"/>
  <c r="P49" i="22" s="1"/>
  <c r="F49" i="22"/>
  <c r="E49" i="22"/>
  <c r="L49" i="22" s="1"/>
  <c r="O48" i="22"/>
  <c r="O54" i="22" s="1"/>
  <c r="H48" i="22"/>
  <c r="F48" i="22"/>
  <c r="E48" i="22"/>
  <c r="O44" i="22"/>
  <c r="K44" i="22"/>
  <c r="J44" i="22"/>
  <c r="I44" i="22"/>
  <c r="H44" i="22"/>
  <c r="N44" i="22" s="1"/>
  <c r="P44" i="22" s="1"/>
  <c r="F44" i="22"/>
  <c r="E44" i="22"/>
  <c r="L44" i="22" s="1"/>
  <c r="O43" i="22"/>
  <c r="K43" i="22"/>
  <c r="J43" i="22"/>
  <c r="I43" i="22"/>
  <c r="H43" i="22"/>
  <c r="N43" i="22" s="1"/>
  <c r="P43" i="22" s="1"/>
  <c r="F43" i="22"/>
  <c r="E43" i="22"/>
  <c r="L43" i="22" s="1"/>
  <c r="O42" i="22"/>
  <c r="K42" i="22"/>
  <c r="J42" i="22"/>
  <c r="I42" i="22"/>
  <c r="H42" i="22"/>
  <c r="N42" i="22" s="1"/>
  <c r="P42" i="22" s="1"/>
  <c r="F42" i="22"/>
  <c r="E42" i="22"/>
  <c r="L42" i="22" s="1"/>
  <c r="O41" i="22"/>
  <c r="O45" i="22" s="1"/>
  <c r="K41" i="22"/>
  <c r="K45" i="22" s="1"/>
  <c r="J41" i="22"/>
  <c r="J45" i="22" s="1"/>
  <c r="I41" i="22"/>
  <c r="I45" i="22" s="1"/>
  <c r="H41" i="22"/>
  <c r="F41" i="22"/>
  <c r="E41" i="22"/>
  <c r="O37" i="22"/>
  <c r="K37" i="22"/>
  <c r="J37" i="22"/>
  <c r="I37" i="22"/>
  <c r="H37" i="22"/>
  <c r="N37" i="22" s="1"/>
  <c r="P37" i="22" s="1"/>
  <c r="F37" i="22"/>
  <c r="E37" i="22"/>
  <c r="L37" i="22" s="1"/>
  <c r="O36" i="22"/>
  <c r="K36" i="22"/>
  <c r="J36" i="22"/>
  <c r="I36" i="22"/>
  <c r="H36" i="22"/>
  <c r="N36" i="22" s="1"/>
  <c r="P36" i="22" s="1"/>
  <c r="F36" i="22"/>
  <c r="E36" i="22"/>
  <c r="L36" i="22" s="1"/>
  <c r="O35" i="22"/>
  <c r="K35" i="22"/>
  <c r="J35" i="22"/>
  <c r="I35" i="22"/>
  <c r="H35" i="22"/>
  <c r="N35" i="22" s="1"/>
  <c r="P35" i="22" s="1"/>
  <c r="F35" i="22"/>
  <c r="E35" i="22"/>
  <c r="L35" i="22" s="1"/>
  <c r="O34" i="22"/>
  <c r="K34" i="22"/>
  <c r="J34" i="22"/>
  <c r="I34" i="22"/>
  <c r="H34" i="22"/>
  <c r="N34" i="22" s="1"/>
  <c r="P34" i="22" s="1"/>
  <c r="F34" i="22"/>
  <c r="E34" i="22"/>
  <c r="L34" i="22" s="1"/>
  <c r="O33" i="22"/>
  <c r="O38" i="22" s="1"/>
  <c r="K33" i="22"/>
  <c r="K38" i="22" s="1"/>
  <c r="J33" i="22"/>
  <c r="J38" i="22" s="1"/>
  <c r="I33" i="22"/>
  <c r="I38" i="22" s="1"/>
  <c r="H33" i="22"/>
  <c r="F33" i="22"/>
  <c r="E33" i="22"/>
  <c r="O29" i="22"/>
  <c r="K29" i="22"/>
  <c r="J29" i="22"/>
  <c r="I29" i="22"/>
  <c r="H29" i="22"/>
  <c r="N29" i="22" s="1"/>
  <c r="P29" i="22" s="1"/>
  <c r="F29" i="22"/>
  <c r="E29" i="22"/>
  <c r="L29" i="22" s="1"/>
  <c r="B29" i="22"/>
  <c r="O28" i="22"/>
  <c r="K28" i="22"/>
  <c r="J28" i="22"/>
  <c r="I28" i="22"/>
  <c r="H28" i="22"/>
  <c r="N28" i="22" s="1"/>
  <c r="P28" i="22" s="1"/>
  <c r="F28" i="22"/>
  <c r="E28" i="22"/>
  <c r="L28" i="22" s="1"/>
  <c r="B28" i="22"/>
  <c r="O27" i="22"/>
  <c r="K27" i="22"/>
  <c r="J27" i="22"/>
  <c r="I27" i="22"/>
  <c r="H27" i="22"/>
  <c r="N27" i="22" s="1"/>
  <c r="P27" i="22" s="1"/>
  <c r="F27" i="22"/>
  <c r="E27" i="22"/>
  <c r="L27" i="22" s="1"/>
  <c r="B27" i="22"/>
  <c r="O26" i="22"/>
  <c r="K26" i="22"/>
  <c r="J26" i="22"/>
  <c r="I26" i="22"/>
  <c r="H26" i="22"/>
  <c r="N26" i="22" s="1"/>
  <c r="P26" i="22" s="1"/>
  <c r="F26" i="22"/>
  <c r="E26" i="22"/>
  <c r="L26" i="22" s="1"/>
  <c r="B26" i="22"/>
  <c r="O25" i="22"/>
  <c r="K25" i="22"/>
  <c r="J25" i="22"/>
  <c r="I25" i="22"/>
  <c r="H25" i="22"/>
  <c r="N25" i="22" s="1"/>
  <c r="P25" i="22" s="1"/>
  <c r="F25" i="22"/>
  <c r="E25" i="22"/>
  <c r="L25" i="22" s="1"/>
  <c r="B25" i="22"/>
  <c r="O24" i="22"/>
  <c r="K24" i="22"/>
  <c r="J24" i="22"/>
  <c r="I24" i="22"/>
  <c r="H24" i="22"/>
  <c r="N24" i="22" s="1"/>
  <c r="P24" i="22" s="1"/>
  <c r="F24" i="22"/>
  <c r="E24" i="22"/>
  <c r="L24" i="22" s="1"/>
  <c r="B24" i="22"/>
  <c r="O23" i="22"/>
  <c r="O30" i="22" s="1"/>
  <c r="K23" i="22"/>
  <c r="K30" i="22" s="1"/>
  <c r="J23" i="22"/>
  <c r="J30" i="22" s="1"/>
  <c r="I23" i="22"/>
  <c r="I30" i="22" s="1"/>
  <c r="H23" i="22"/>
  <c r="F23" i="22"/>
  <c r="E23" i="22"/>
  <c r="B23" i="22"/>
  <c r="O19" i="22"/>
  <c r="K19" i="22"/>
  <c r="J19" i="22"/>
  <c r="I19" i="22"/>
  <c r="H19" i="22"/>
  <c r="N19" i="22" s="1"/>
  <c r="P19" i="22" s="1"/>
  <c r="F19" i="22"/>
  <c r="E19" i="22"/>
  <c r="L19" i="22" s="1"/>
  <c r="O18" i="22"/>
  <c r="K18" i="22"/>
  <c r="J18" i="22"/>
  <c r="I18" i="22"/>
  <c r="H18" i="22"/>
  <c r="N18" i="22" s="1"/>
  <c r="P18" i="22" s="1"/>
  <c r="F18" i="22"/>
  <c r="E18" i="22"/>
  <c r="L18" i="22" s="1"/>
  <c r="O17" i="22"/>
  <c r="K17" i="22"/>
  <c r="J17" i="22"/>
  <c r="I17" i="22"/>
  <c r="H17" i="22"/>
  <c r="N17" i="22" s="1"/>
  <c r="P17" i="22" s="1"/>
  <c r="F17" i="22"/>
  <c r="E17" i="22"/>
  <c r="L17" i="22" s="1"/>
  <c r="O16" i="22"/>
  <c r="K16" i="22"/>
  <c r="J16" i="22"/>
  <c r="I16" i="22"/>
  <c r="H16" i="22"/>
  <c r="N16" i="22" s="1"/>
  <c r="P16" i="22" s="1"/>
  <c r="F16" i="22"/>
  <c r="E16" i="22"/>
  <c r="L16" i="22" s="1"/>
  <c r="O15" i="22"/>
  <c r="K15" i="22"/>
  <c r="J15" i="22"/>
  <c r="I15" i="22"/>
  <c r="H15" i="22"/>
  <c r="N15" i="22" s="1"/>
  <c r="P15" i="22" s="1"/>
  <c r="F15" i="22"/>
  <c r="E15" i="22"/>
  <c r="L15" i="22" s="1"/>
  <c r="O14" i="22"/>
  <c r="K14" i="22"/>
  <c r="J14" i="22"/>
  <c r="I14" i="22"/>
  <c r="H14" i="22"/>
  <c r="N14" i="22" s="1"/>
  <c r="P14" i="22" s="1"/>
  <c r="F14" i="22"/>
  <c r="E14" i="22"/>
  <c r="L14" i="22" s="1"/>
  <c r="O13" i="22"/>
  <c r="K13" i="22"/>
  <c r="J13" i="22"/>
  <c r="I13" i="22"/>
  <c r="H13" i="22"/>
  <c r="N13" i="22" s="1"/>
  <c r="P13" i="22" s="1"/>
  <c r="F13" i="22"/>
  <c r="E13" i="22"/>
  <c r="L13" i="22" s="1"/>
  <c r="O12" i="22"/>
  <c r="K12" i="22"/>
  <c r="J12" i="22"/>
  <c r="I12" i="22"/>
  <c r="H12" i="22"/>
  <c r="N12" i="22" s="1"/>
  <c r="P12" i="22" s="1"/>
  <c r="F12" i="22"/>
  <c r="E12" i="22"/>
  <c r="L12" i="22" s="1"/>
  <c r="O11" i="22"/>
  <c r="K11" i="22"/>
  <c r="J11" i="22"/>
  <c r="I11" i="22"/>
  <c r="H11" i="22"/>
  <c r="N11" i="22" s="1"/>
  <c r="P11" i="22" s="1"/>
  <c r="F11" i="22"/>
  <c r="E11" i="22"/>
  <c r="L11" i="22" s="1"/>
  <c r="O10" i="22"/>
  <c r="K10" i="22"/>
  <c r="J10" i="22"/>
  <c r="I10" i="22"/>
  <c r="H10" i="22"/>
  <c r="N10" i="22" s="1"/>
  <c r="P10" i="22" s="1"/>
  <c r="F10" i="22"/>
  <c r="E10" i="22"/>
  <c r="L10" i="22" s="1"/>
  <c r="O9" i="22"/>
  <c r="K9" i="22"/>
  <c r="J9" i="22"/>
  <c r="I9" i="22"/>
  <c r="H9" i="22"/>
  <c r="N9" i="22" s="1"/>
  <c r="P9" i="22" s="1"/>
  <c r="F9" i="22"/>
  <c r="E9" i="22"/>
  <c r="L9" i="22" s="1"/>
  <c r="O8" i="22"/>
  <c r="K8" i="22"/>
  <c r="J8" i="22"/>
  <c r="I8" i="22"/>
  <c r="H8" i="22"/>
  <c r="N8" i="22" s="1"/>
  <c r="P8" i="22" s="1"/>
  <c r="F8" i="22"/>
  <c r="E8" i="22"/>
  <c r="L8" i="22" s="1"/>
  <c r="O7" i="22"/>
  <c r="K7" i="22"/>
  <c r="J7" i="22"/>
  <c r="I7" i="22"/>
  <c r="H7" i="22"/>
  <c r="N7" i="22" s="1"/>
  <c r="P7" i="22" s="1"/>
  <c r="F7" i="22"/>
  <c r="E7" i="22"/>
  <c r="L7" i="22" s="1"/>
  <c r="O6" i="22"/>
  <c r="O20" i="22" s="1"/>
  <c r="K6" i="22"/>
  <c r="K20" i="22" s="1"/>
  <c r="J6" i="22"/>
  <c r="J20" i="22" s="1"/>
  <c r="I6" i="22"/>
  <c r="I20" i="22" s="1"/>
  <c r="H6" i="22"/>
  <c r="F6" i="22"/>
  <c r="E6" i="22"/>
  <c r="M17" i="1"/>
  <c r="M16" i="1"/>
  <c r="M15" i="1"/>
  <c r="L11" i="18"/>
  <c r="K11" i="18"/>
  <c r="J11" i="18"/>
  <c r="I11" i="18"/>
  <c r="H11" i="18"/>
  <c r="G11" i="18"/>
  <c r="F11" i="18"/>
  <c r="E11" i="18"/>
  <c r="D11" i="18"/>
  <c r="C11" i="18"/>
  <c r="B11" i="18"/>
  <c r="L12" i="20"/>
  <c r="K12" i="20"/>
  <c r="J12" i="20"/>
  <c r="I12" i="20"/>
  <c r="H12" i="20"/>
  <c r="G12" i="20"/>
  <c r="F12" i="20"/>
  <c r="E12" i="20"/>
  <c r="D12" i="20"/>
  <c r="C12" i="20"/>
  <c r="L11" i="20"/>
  <c r="K11" i="20"/>
  <c r="J11" i="20"/>
  <c r="I11" i="20"/>
  <c r="H11" i="20"/>
  <c r="G11" i="20"/>
  <c r="F11" i="20"/>
  <c r="E11" i="20"/>
  <c r="D11" i="20"/>
  <c r="C11" i="20"/>
  <c r="B12" i="20"/>
  <c r="B11" i="20"/>
  <c r="M9" i="20"/>
  <c r="M8" i="20"/>
  <c r="M7" i="20"/>
  <c r="M6" i="20"/>
  <c r="M5" i="20"/>
  <c r="M4" i="20"/>
  <c r="L13" i="20"/>
  <c r="K13" i="20"/>
  <c r="J13" i="20"/>
  <c r="I13" i="20"/>
  <c r="H13" i="20"/>
  <c r="G13" i="20"/>
  <c r="F13" i="20"/>
  <c r="E13" i="20"/>
  <c r="D13" i="20"/>
  <c r="C13" i="20"/>
  <c r="M10" i="20"/>
  <c r="L9" i="19"/>
  <c r="K9" i="19"/>
  <c r="J9" i="19"/>
  <c r="I9" i="19"/>
  <c r="H9" i="19"/>
  <c r="G9" i="19"/>
  <c r="F9" i="19"/>
  <c r="E9" i="19"/>
  <c r="D9" i="19"/>
  <c r="C9" i="19"/>
  <c r="B9" i="19"/>
  <c r="B8" i="19"/>
  <c r="M6" i="19"/>
  <c r="M5" i="19"/>
  <c r="M4" i="19"/>
  <c r="L8" i="19"/>
  <c r="K8" i="19"/>
  <c r="J8" i="19"/>
  <c r="I8" i="19"/>
  <c r="H8" i="19"/>
  <c r="G8" i="19"/>
  <c r="F8" i="19"/>
  <c r="E8" i="19"/>
  <c r="D8" i="19"/>
  <c r="C8" i="19"/>
  <c r="M7" i="19"/>
  <c r="L10" i="18"/>
  <c r="K10" i="18"/>
  <c r="J10" i="18"/>
  <c r="I10" i="18"/>
  <c r="H10" i="18"/>
  <c r="G10" i="18"/>
  <c r="F10" i="18"/>
  <c r="E10" i="18"/>
  <c r="D10" i="18"/>
  <c r="C10" i="18"/>
  <c r="B10" i="18"/>
  <c r="L9" i="18"/>
  <c r="K9" i="18"/>
  <c r="J9" i="18"/>
  <c r="I9" i="18"/>
  <c r="H9" i="18"/>
  <c r="G9" i="18"/>
  <c r="F9" i="18"/>
  <c r="E9" i="18"/>
  <c r="D9" i="18"/>
  <c r="C9" i="18"/>
  <c r="B9" i="18"/>
  <c r="M7" i="18"/>
  <c r="M6" i="18"/>
  <c r="M5" i="18"/>
  <c r="M4" i="18"/>
  <c r="M8" i="18"/>
  <c r="H4" i="12"/>
  <c r="M6" i="17"/>
  <c r="M5" i="17"/>
  <c r="M4" i="17"/>
  <c r="L8" i="17"/>
  <c r="K8" i="17"/>
  <c r="J8" i="17"/>
  <c r="I8" i="17"/>
  <c r="H8" i="17"/>
  <c r="G8" i="17"/>
  <c r="F8" i="17"/>
  <c r="M7" i="17"/>
  <c r="J8" i="13"/>
  <c r="I8" i="13"/>
  <c r="H8" i="13"/>
  <c r="G8" i="13"/>
  <c r="L8" i="16"/>
  <c r="K8" i="16"/>
  <c r="J8" i="16"/>
  <c r="I8" i="16"/>
  <c r="H8" i="16"/>
  <c r="L8" i="14"/>
  <c r="K8" i="14"/>
  <c r="J8" i="14"/>
  <c r="I8" i="14"/>
  <c r="H8" i="14"/>
  <c r="M6" i="14"/>
  <c r="M5" i="14"/>
  <c r="M4" i="14"/>
  <c r="M7" i="14" s="1"/>
  <c r="H6" i="12"/>
  <c r="H5" i="12"/>
  <c r="M6" i="16"/>
  <c r="M5" i="16"/>
  <c r="M4" i="16"/>
  <c r="M7" i="16" s="1"/>
  <c r="L7" i="16"/>
  <c r="K7" i="16"/>
  <c r="J7" i="16"/>
  <c r="I7" i="16"/>
  <c r="H7" i="16"/>
  <c r="G7" i="16"/>
  <c r="G8" i="16" s="1"/>
  <c r="F7" i="16"/>
  <c r="F8" i="16" s="1"/>
  <c r="E7" i="16"/>
  <c r="E8" i="16" s="1"/>
  <c r="D7" i="16"/>
  <c r="D8" i="16" s="1"/>
  <c r="E5" i="15"/>
  <c r="D5" i="15"/>
  <c r="C5" i="15"/>
  <c r="B5" i="15"/>
  <c r="G4" i="15"/>
  <c r="G3" i="15"/>
  <c r="I7" i="13"/>
  <c r="H7" i="13"/>
  <c r="G7" i="13"/>
  <c r="F7" i="13"/>
  <c r="F8" i="13" s="1"/>
  <c r="E7" i="13"/>
  <c r="E8" i="13" s="1"/>
  <c r="D7" i="13"/>
  <c r="D8" i="13" s="1"/>
  <c r="C7" i="13"/>
  <c r="C8" i="13" s="1"/>
  <c r="B7" i="13"/>
  <c r="B8" i="13" s="1"/>
  <c r="J7" i="13"/>
  <c r="E7" i="14"/>
  <c r="E8" i="14" s="1"/>
  <c r="D7" i="14"/>
  <c r="D8" i="14" s="1"/>
  <c r="C7" i="14"/>
  <c r="C8" i="14" s="1"/>
  <c r="B7" i="14"/>
  <c r="B8" i="14" s="1"/>
  <c r="K7" i="14"/>
  <c r="J7" i="14"/>
  <c r="I7" i="14"/>
  <c r="H7" i="14"/>
  <c r="G7" i="14"/>
  <c r="G8" i="14" s="1"/>
  <c r="F7" i="14"/>
  <c r="F8" i="14" s="1"/>
  <c r="L7" i="14"/>
  <c r="Q117" i="1"/>
  <c r="Q116" i="1"/>
  <c r="Q115" i="1"/>
  <c r="Q113" i="1"/>
  <c r="Q112" i="1"/>
  <c r="Q111" i="1"/>
  <c r="Q110" i="1"/>
  <c r="Q109" i="1"/>
  <c r="Q108" i="1"/>
  <c r="Q107" i="1"/>
  <c r="Q106" i="1"/>
  <c r="Q105" i="1"/>
  <c r="Q104" i="1"/>
  <c r="Q102" i="1"/>
  <c r="Q101" i="1"/>
  <c r="Q100" i="1"/>
  <c r="Q99" i="1"/>
  <c r="Q98" i="1"/>
  <c r="Q97" i="1"/>
  <c r="Q94" i="1"/>
  <c r="Q93" i="1"/>
  <c r="Q92" i="1"/>
  <c r="Q91" i="1"/>
  <c r="Q90" i="1"/>
  <c r="Q89" i="1"/>
  <c r="Q87" i="1"/>
  <c r="Q86" i="1"/>
  <c r="Q85" i="1"/>
  <c r="Q84" i="1"/>
  <c r="Q83" i="1"/>
  <c r="Q81" i="1"/>
  <c r="Q80" i="1"/>
  <c r="Q79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8" i="1"/>
  <c r="Q7" i="1"/>
  <c r="Q6" i="1"/>
  <c r="K6" i="13"/>
  <c r="K5" i="13"/>
  <c r="K4" i="13"/>
  <c r="I6" i="1"/>
  <c r="AC6" i="1" s="1"/>
  <c r="I7" i="1"/>
  <c r="L6" i="1"/>
  <c r="AI6" i="1" s="1"/>
  <c r="L7" i="1"/>
  <c r="AI7" i="1" s="1"/>
  <c r="I8" i="1"/>
  <c r="AC8" i="1" s="1"/>
  <c r="L8" i="1"/>
  <c r="B106" i="1"/>
  <c r="R106" i="1"/>
  <c r="S106" i="1" s="1"/>
  <c r="K43" i="2"/>
  <c r="K44" i="2"/>
  <c r="D43" i="2"/>
  <c r="G43" i="2"/>
  <c r="J43" i="2"/>
  <c r="J44" i="2"/>
  <c r="K21" i="2"/>
  <c r="K22" i="2"/>
  <c r="D21" i="2"/>
  <c r="L104" i="1"/>
  <c r="AI104" i="1"/>
  <c r="AI8" i="1"/>
  <c r="L10" i="1"/>
  <c r="AI10" i="1"/>
  <c r="L11" i="1"/>
  <c r="AI11" i="1"/>
  <c r="L12" i="1"/>
  <c r="AI12" i="1"/>
  <c r="L13" i="1"/>
  <c r="AI13" i="1"/>
  <c r="L14" i="1"/>
  <c r="AI14" i="1"/>
  <c r="L15" i="1"/>
  <c r="AI15" i="1"/>
  <c r="L16" i="1"/>
  <c r="AI16" i="1"/>
  <c r="L17" i="1"/>
  <c r="AI17" i="1"/>
  <c r="L18" i="1"/>
  <c r="AI18" i="1"/>
  <c r="L19" i="1"/>
  <c r="AI19" i="1"/>
  <c r="L20" i="1"/>
  <c r="AI20" i="1"/>
  <c r="L21" i="1"/>
  <c r="AI21" i="1"/>
  <c r="L22" i="1"/>
  <c r="AI22" i="1"/>
  <c r="L23" i="1"/>
  <c r="AI23" i="1"/>
  <c r="L24" i="1"/>
  <c r="AI24" i="1"/>
  <c r="L25" i="1"/>
  <c r="AI25" i="1"/>
  <c r="L26" i="1"/>
  <c r="AI26" i="1"/>
  <c r="L27" i="1"/>
  <c r="AI27" i="1"/>
  <c r="L28" i="1"/>
  <c r="AI28" i="1"/>
  <c r="L29" i="1"/>
  <c r="AI29" i="1"/>
  <c r="L31" i="1"/>
  <c r="AI31" i="1"/>
  <c r="L32" i="1"/>
  <c r="AI32" i="1"/>
  <c r="L33" i="1"/>
  <c r="AI33" i="1"/>
  <c r="L34" i="1"/>
  <c r="AI34" i="1"/>
  <c r="L35" i="1"/>
  <c r="AI35" i="1"/>
  <c r="L36" i="1"/>
  <c r="AI36" i="1"/>
  <c r="L37" i="1"/>
  <c r="AI37" i="1"/>
  <c r="L38" i="1"/>
  <c r="AI38" i="1"/>
  <c r="L39" i="1"/>
  <c r="AI39" i="1"/>
  <c r="L40" i="1"/>
  <c r="AI40" i="1"/>
  <c r="L41" i="1"/>
  <c r="AI41" i="1"/>
  <c r="L42" i="1"/>
  <c r="AI42" i="1"/>
  <c r="L43" i="1"/>
  <c r="AI43" i="1"/>
  <c r="L44" i="1"/>
  <c r="AI44" i="1"/>
  <c r="L45" i="1"/>
  <c r="AI45" i="1"/>
  <c r="L46" i="1"/>
  <c r="AI46" i="1"/>
  <c r="L47" i="1"/>
  <c r="AI47" i="1"/>
  <c r="L48" i="1"/>
  <c r="AI48" i="1"/>
  <c r="L49" i="1"/>
  <c r="AI49" i="1"/>
  <c r="L50" i="1"/>
  <c r="AI50" i="1"/>
  <c r="L52" i="1"/>
  <c r="AI52" i="1"/>
  <c r="L53" i="1"/>
  <c r="AI53" i="1"/>
  <c r="L54" i="1"/>
  <c r="AI54" i="1"/>
  <c r="L55" i="1"/>
  <c r="AI55" i="1"/>
  <c r="L56" i="1"/>
  <c r="AI56" i="1"/>
  <c r="L57" i="1"/>
  <c r="AI57" i="1"/>
  <c r="L58" i="1"/>
  <c r="AI58" i="1"/>
  <c r="L59" i="1"/>
  <c r="AI59" i="1"/>
  <c r="L60" i="1"/>
  <c r="AI60" i="1"/>
  <c r="L61" i="1"/>
  <c r="AI61" i="1"/>
  <c r="L62" i="1"/>
  <c r="AI62" i="1"/>
  <c r="L63" i="1"/>
  <c r="AI63" i="1"/>
  <c r="L64" i="1"/>
  <c r="AI64" i="1"/>
  <c r="L65" i="1"/>
  <c r="AI65" i="1"/>
  <c r="L66" i="1"/>
  <c r="AI66" i="1"/>
  <c r="L67" i="1"/>
  <c r="AI67" i="1"/>
  <c r="L68" i="1"/>
  <c r="AI68" i="1"/>
  <c r="L69" i="1"/>
  <c r="AI69" i="1"/>
  <c r="L70" i="1"/>
  <c r="AI70" i="1"/>
  <c r="L71" i="1"/>
  <c r="AI71" i="1"/>
  <c r="L72" i="1"/>
  <c r="AI72" i="1"/>
  <c r="L73" i="1"/>
  <c r="AI73" i="1"/>
  <c r="L74" i="1"/>
  <c r="AI74" i="1"/>
  <c r="L75" i="1"/>
  <c r="AI75" i="1"/>
  <c r="L76" i="1"/>
  <c r="AI76" i="1"/>
  <c r="L77" i="1"/>
  <c r="AI77" i="1"/>
  <c r="L79" i="1"/>
  <c r="AI79" i="1"/>
  <c r="L80" i="1"/>
  <c r="AI80" i="1"/>
  <c r="L81" i="1"/>
  <c r="AI81" i="1"/>
  <c r="L83" i="1"/>
  <c r="AI83" i="1"/>
  <c r="L84" i="1"/>
  <c r="AI84" i="1"/>
  <c r="L85" i="1"/>
  <c r="AI85" i="1"/>
  <c r="L86" i="1"/>
  <c r="AI86" i="1"/>
  <c r="L87" i="1"/>
  <c r="AI87" i="1"/>
  <c r="L89" i="1"/>
  <c r="AI89" i="1"/>
  <c r="L90" i="1"/>
  <c r="AI90" i="1"/>
  <c r="L91" i="1"/>
  <c r="AI91" i="1"/>
  <c r="L92" i="1"/>
  <c r="AI92" i="1"/>
  <c r="L93" i="1"/>
  <c r="AI93" i="1"/>
  <c r="L94" i="1"/>
  <c r="AI94" i="1"/>
  <c r="L97" i="1"/>
  <c r="AI97" i="1"/>
  <c r="L98" i="1"/>
  <c r="AI98" i="1"/>
  <c r="L99" i="1"/>
  <c r="AI99" i="1"/>
  <c r="L100" i="1"/>
  <c r="AI100" i="1"/>
  <c r="L101" i="1"/>
  <c r="AI101" i="1"/>
  <c r="L102" i="1"/>
  <c r="AI102" i="1"/>
  <c r="L105" i="1"/>
  <c r="AI105" i="1"/>
  <c r="L106" i="1"/>
  <c r="AI106" i="1"/>
  <c r="L107" i="1"/>
  <c r="AI107" i="1"/>
  <c r="L108" i="1"/>
  <c r="AI108" i="1"/>
  <c r="L109" i="1"/>
  <c r="AI109" i="1"/>
  <c r="L111" i="1"/>
  <c r="AI111" i="1"/>
  <c r="L112" i="1"/>
  <c r="AI112" i="1"/>
  <c r="L113" i="1"/>
  <c r="AI113" i="1"/>
  <c r="L115" i="1"/>
  <c r="AI115" i="1"/>
  <c r="L116" i="1"/>
  <c r="AI116" i="1"/>
  <c r="L117" i="1"/>
  <c r="AI117" i="1"/>
  <c r="I10" i="1"/>
  <c r="AC10" i="1" s="1"/>
  <c r="B25" i="1"/>
  <c r="R25" i="1"/>
  <c r="S25" i="1" s="1"/>
  <c r="AA106" i="1"/>
  <c r="AA105" i="1"/>
  <c r="AA104" i="1"/>
  <c r="R104" i="1"/>
  <c r="S104" i="1" s="1"/>
  <c r="W104" i="1"/>
  <c r="R105" i="1"/>
  <c r="S105" i="1" s="1"/>
  <c r="W105" i="1"/>
  <c r="M105" i="1"/>
  <c r="M104" i="1"/>
  <c r="M84" i="1"/>
  <c r="M83" i="1"/>
  <c r="J105" i="1"/>
  <c r="J104" i="1"/>
  <c r="V105" i="1"/>
  <c r="V104" i="1"/>
  <c r="N105" i="1"/>
  <c r="N104" i="1"/>
  <c r="I105" i="1"/>
  <c r="AC105" i="1" s="1"/>
  <c r="AD105" i="1"/>
  <c r="I104" i="1"/>
  <c r="AC104" i="1" s="1"/>
  <c r="AD104" i="1"/>
  <c r="V84" i="1"/>
  <c r="V83" i="1"/>
  <c r="N84" i="1"/>
  <c r="N83" i="1"/>
  <c r="I84" i="1"/>
  <c r="AC84" i="1" s="1"/>
  <c r="I83" i="1"/>
  <c r="AC83" i="1" s="1"/>
  <c r="V8" i="1"/>
  <c r="B83" i="1"/>
  <c r="R83" i="1"/>
  <c r="S83" i="1" s="1"/>
  <c r="W83" i="1"/>
  <c r="B84" i="1"/>
  <c r="R84" i="1"/>
  <c r="S84" i="1" s="1"/>
  <c r="W84" i="1"/>
  <c r="AA14" i="1"/>
  <c r="U126" i="1"/>
  <c r="G21" i="2"/>
  <c r="J21" i="2" s="1"/>
  <c r="J22" i="2" s="1"/>
  <c r="L43" i="2"/>
  <c r="I43" i="2"/>
  <c r="J42" i="2"/>
  <c r="L21" i="2"/>
  <c r="I21" i="2"/>
  <c r="AA10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7" i="1"/>
  <c r="V6" i="1"/>
  <c r="N9" i="1"/>
  <c r="D20" i="2"/>
  <c r="AA117" i="1"/>
  <c r="AA116" i="1"/>
  <c r="AA115" i="1"/>
  <c r="AA113" i="1"/>
  <c r="AA112" i="1"/>
  <c r="AA111" i="1"/>
  <c r="AA110" i="1"/>
  <c r="AA109" i="1"/>
  <c r="AA108" i="1"/>
  <c r="AA107" i="1"/>
  <c r="AA102" i="1"/>
  <c r="AA101" i="1"/>
  <c r="AA100" i="1"/>
  <c r="AA99" i="1"/>
  <c r="AA98" i="1"/>
  <c r="AA97" i="1"/>
  <c r="AA94" i="1"/>
  <c r="AA93" i="1"/>
  <c r="AA92" i="1"/>
  <c r="AA91" i="1"/>
  <c r="AA90" i="1"/>
  <c r="AA89" i="1"/>
  <c r="AA87" i="1"/>
  <c r="AA86" i="1"/>
  <c r="AA85" i="1"/>
  <c r="AA81" i="1"/>
  <c r="AA80" i="1"/>
  <c r="AA79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3" i="1"/>
  <c r="AA12" i="1"/>
  <c r="AA11" i="1"/>
  <c r="AA8" i="1"/>
  <c r="AA7" i="1"/>
  <c r="AA6" i="1"/>
  <c r="M117" i="1"/>
  <c r="N117" i="1"/>
  <c r="I117" i="1"/>
  <c r="AC117" i="1" s="1"/>
  <c r="M116" i="1"/>
  <c r="I116" i="1"/>
  <c r="AC116" i="1" s="1"/>
  <c r="M115" i="1"/>
  <c r="N115" i="1"/>
  <c r="I115" i="1"/>
  <c r="AC115" i="1" s="1"/>
  <c r="M114" i="1"/>
  <c r="L114" i="1"/>
  <c r="N114" i="1"/>
  <c r="I114" i="1"/>
  <c r="AC114" i="1"/>
  <c r="M113" i="1"/>
  <c r="N113" i="1"/>
  <c r="I113" i="1"/>
  <c r="AC113" i="1" s="1"/>
  <c r="M112" i="1"/>
  <c r="I112" i="1"/>
  <c r="AC112" i="1" s="1"/>
  <c r="M111" i="1"/>
  <c r="N111" i="1"/>
  <c r="I111" i="1"/>
  <c r="AC111" i="1" s="1"/>
  <c r="L110" i="1"/>
  <c r="AI110" i="1" s="1"/>
  <c r="AI118" i="1" s="1"/>
  <c r="N110" i="1"/>
  <c r="I110" i="1"/>
  <c r="AC110" i="1" s="1"/>
  <c r="M109" i="1"/>
  <c r="I109" i="1"/>
  <c r="AC109" i="1" s="1"/>
  <c r="M108" i="1"/>
  <c r="I108" i="1"/>
  <c r="AC108" i="1" s="1"/>
  <c r="M107" i="1"/>
  <c r="I107" i="1"/>
  <c r="AC107" i="1" s="1"/>
  <c r="N106" i="1"/>
  <c r="I106" i="1"/>
  <c r="AC106" i="1" s="1"/>
  <c r="M103" i="1"/>
  <c r="L103" i="1"/>
  <c r="N103" i="1"/>
  <c r="I103" i="1"/>
  <c r="AC103" i="1"/>
  <c r="M102" i="1"/>
  <c r="I102" i="1"/>
  <c r="AC102" i="1" s="1"/>
  <c r="M101" i="1"/>
  <c r="I101" i="1"/>
  <c r="AC101" i="1" s="1"/>
  <c r="M100" i="1"/>
  <c r="I100" i="1"/>
  <c r="AC100" i="1" s="1"/>
  <c r="M99" i="1"/>
  <c r="I99" i="1"/>
  <c r="AC99" i="1" s="1"/>
  <c r="M98" i="1"/>
  <c r="I98" i="1"/>
  <c r="AC98" i="1" s="1"/>
  <c r="M97" i="1"/>
  <c r="I97" i="1"/>
  <c r="AC97" i="1" s="1"/>
  <c r="M96" i="1"/>
  <c r="L96" i="1"/>
  <c r="N96" i="1"/>
  <c r="I96" i="1"/>
  <c r="AC96" i="1"/>
  <c r="M95" i="1"/>
  <c r="L95" i="1"/>
  <c r="N95" i="1"/>
  <c r="I95" i="1"/>
  <c r="AC95" i="1"/>
  <c r="M94" i="1"/>
  <c r="N94" i="1"/>
  <c r="I94" i="1"/>
  <c r="AC94" i="1" s="1"/>
  <c r="M93" i="1"/>
  <c r="N93" i="1"/>
  <c r="I93" i="1"/>
  <c r="AC93" i="1" s="1"/>
  <c r="M92" i="1"/>
  <c r="N92" i="1"/>
  <c r="I92" i="1"/>
  <c r="AC92" i="1" s="1"/>
  <c r="M91" i="1"/>
  <c r="I91" i="1"/>
  <c r="AC91" i="1" s="1"/>
  <c r="M90" i="1"/>
  <c r="I90" i="1"/>
  <c r="AC90" i="1" s="1"/>
  <c r="M89" i="1"/>
  <c r="I89" i="1"/>
  <c r="AC89" i="1" s="1"/>
  <c r="M88" i="1"/>
  <c r="L88" i="1"/>
  <c r="N88" i="1"/>
  <c r="I88" i="1"/>
  <c r="AC88" i="1"/>
  <c r="M87" i="1"/>
  <c r="N87" i="1"/>
  <c r="I87" i="1"/>
  <c r="AC87" i="1" s="1"/>
  <c r="M86" i="1"/>
  <c r="N86" i="1"/>
  <c r="I86" i="1"/>
  <c r="AC86" i="1" s="1"/>
  <c r="M85" i="1"/>
  <c r="N85" i="1"/>
  <c r="I85" i="1"/>
  <c r="AC85" i="1" s="1"/>
  <c r="M82" i="1"/>
  <c r="L82" i="1"/>
  <c r="N82" i="1"/>
  <c r="I82" i="1"/>
  <c r="AC82" i="1"/>
  <c r="M81" i="1"/>
  <c r="I81" i="1"/>
  <c r="AC81" i="1" s="1"/>
  <c r="M80" i="1"/>
  <c r="I80" i="1"/>
  <c r="AC80" i="1" s="1"/>
  <c r="M79" i="1"/>
  <c r="I79" i="1"/>
  <c r="AC79" i="1" s="1"/>
  <c r="M78" i="1"/>
  <c r="L78" i="1"/>
  <c r="N78" i="1"/>
  <c r="I78" i="1"/>
  <c r="AC78" i="1"/>
  <c r="M77" i="1"/>
  <c r="N77" i="1"/>
  <c r="I77" i="1"/>
  <c r="AC77" i="1" s="1"/>
  <c r="M76" i="1"/>
  <c r="N76" i="1"/>
  <c r="I76" i="1"/>
  <c r="AC76" i="1" s="1"/>
  <c r="M75" i="1"/>
  <c r="N75" i="1"/>
  <c r="I75" i="1"/>
  <c r="AC75" i="1" s="1"/>
  <c r="M74" i="1"/>
  <c r="N74" i="1"/>
  <c r="I74" i="1"/>
  <c r="AC74" i="1" s="1"/>
  <c r="M73" i="1"/>
  <c r="N73" i="1"/>
  <c r="I73" i="1"/>
  <c r="AC73" i="1" s="1"/>
  <c r="M72" i="1"/>
  <c r="N72" i="1"/>
  <c r="I72" i="1"/>
  <c r="AC72" i="1" s="1"/>
  <c r="M71" i="1"/>
  <c r="N71" i="1"/>
  <c r="I71" i="1"/>
  <c r="AC71" i="1" s="1"/>
  <c r="M70" i="1"/>
  <c r="N70" i="1"/>
  <c r="I70" i="1"/>
  <c r="AC70" i="1" s="1"/>
  <c r="M69" i="1"/>
  <c r="N69" i="1"/>
  <c r="I69" i="1"/>
  <c r="AC69" i="1" s="1"/>
  <c r="M68" i="1"/>
  <c r="N68" i="1"/>
  <c r="I68" i="1"/>
  <c r="AC68" i="1" s="1"/>
  <c r="M67" i="1"/>
  <c r="N67" i="1"/>
  <c r="I67" i="1"/>
  <c r="AC67" i="1" s="1"/>
  <c r="M66" i="1"/>
  <c r="N66" i="1"/>
  <c r="I66" i="1"/>
  <c r="AC66" i="1" s="1"/>
  <c r="N65" i="1"/>
  <c r="I65" i="1"/>
  <c r="AC65" i="1" s="1"/>
  <c r="M64" i="1"/>
  <c r="I64" i="1"/>
  <c r="AC64" i="1" s="1"/>
  <c r="M63" i="1"/>
  <c r="I63" i="1"/>
  <c r="AC63" i="1" s="1"/>
  <c r="M62" i="1"/>
  <c r="I62" i="1"/>
  <c r="AC62" i="1" s="1"/>
  <c r="M61" i="1"/>
  <c r="I61" i="1"/>
  <c r="AC61" i="1" s="1"/>
  <c r="M60" i="1"/>
  <c r="N60" i="1"/>
  <c r="I60" i="1"/>
  <c r="AC60" i="1" s="1"/>
  <c r="M59" i="1"/>
  <c r="N59" i="1"/>
  <c r="I59" i="1"/>
  <c r="AC59" i="1" s="1"/>
  <c r="M58" i="1"/>
  <c r="N58" i="1"/>
  <c r="I58" i="1"/>
  <c r="AC58" i="1" s="1"/>
  <c r="M57" i="1"/>
  <c r="I57" i="1"/>
  <c r="AC57" i="1" s="1"/>
  <c r="M56" i="1"/>
  <c r="I56" i="1"/>
  <c r="AC56" i="1" s="1"/>
  <c r="M55" i="1"/>
  <c r="I55" i="1"/>
  <c r="AC55" i="1" s="1"/>
  <c r="M54" i="1"/>
  <c r="I54" i="1"/>
  <c r="AC54" i="1" s="1"/>
  <c r="M53" i="1"/>
  <c r="I53" i="1"/>
  <c r="AC53" i="1" s="1"/>
  <c r="M52" i="1"/>
  <c r="I52" i="1"/>
  <c r="AC52" i="1" s="1"/>
  <c r="M51" i="1"/>
  <c r="L51" i="1"/>
  <c r="N51" i="1"/>
  <c r="I51" i="1"/>
  <c r="AC51" i="1"/>
  <c r="M50" i="1"/>
  <c r="N50" i="1"/>
  <c r="I50" i="1"/>
  <c r="AC50" i="1" s="1"/>
  <c r="M49" i="1"/>
  <c r="N49" i="1"/>
  <c r="I49" i="1"/>
  <c r="AC49" i="1" s="1"/>
  <c r="M48" i="1"/>
  <c r="N48" i="1"/>
  <c r="I48" i="1"/>
  <c r="AC48" i="1" s="1"/>
  <c r="M47" i="1"/>
  <c r="N47" i="1"/>
  <c r="I47" i="1"/>
  <c r="AC47" i="1" s="1"/>
  <c r="M46" i="1"/>
  <c r="N46" i="1"/>
  <c r="I46" i="1"/>
  <c r="AC46" i="1" s="1"/>
  <c r="M45" i="1"/>
  <c r="N45" i="1"/>
  <c r="I45" i="1"/>
  <c r="AC45" i="1" s="1"/>
  <c r="M44" i="1"/>
  <c r="N44" i="1"/>
  <c r="I44" i="1"/>
  <c r="AC44" i="1" s="1"/>
  <c r="M43" i="1"/>
  <c r="N43" i="1"/>
  <c r="I43" i="1"/>
  <c r="AC43" i="1" s="1"/>
  <c r="M42" i="1"/>
  <c r="N42" i="1"/>
  <c r="I42" i="1"/>
  <c r="AC42" i="1" s="1"/>
  <c r="M41" i="1"/>
  <c r="N41" i="1"/>
  <c r="I41" i="1"/>
  <c r="AC41" i="1" s="1"/>
  <c r="M40" i="1"/>
  <c r="N40" i="1"/>
  <c r="I40" i="1"/>
  <c r="AC40" i="1" s="1"/>
  <c r="M39" i="1"/>
  <c r="N39" i="1"/>
  <c r="I39" i="1"/>
  <c r="AC39" i="1" s="1"/>
  <c r="M38" i="1"/>
  <c r="N38" i="1"/>
  <c r="I38" i="1"/>
  <c r="AC38" i="1" s="1"/>
  <c r="M37" i="1"/>
  <c r="N37" i="1"/>
  <c r="I37" i="1"/>
  <c r="AC37" i="1" s="1"/>
  <c r="M36" i="1"/>
  <c r="N36" i="1"/>
  <c r="I36" i="1"/>
  <c r="AC36" i="1" s="1"/>
  <c r="M35" i="1"/>
  <c r="N35" i="1"/>
  <c r="I35" i="1"/>
  <c r="AC35" i="1" s="1"/>
  <c r="M34" i="1"/>
  <c r="N34" i="1"/>
  <c r="I34" i="1"/>
  <c r="AC34" i="1" s="1"/>
  <c r="M33" i="1"/>
  <c r="I33" i="1"/>
  <c r="AC33" i="1" s="1"/>
  <c r="M32" i="1"/>
  <c r="I32" i="1"/>
  <c r="AC32" i="1" s="1"/>
  <c r="M31" i="1"/>
  <c r="I31" i="1"/>
  <c r="AC31" i="1" s="1"/>
  <c r="M30" i="1"/>
  <c r="L30" i="1"/>
  <c r="N30" i="1"/>
  <c r="I30" i="1"/>
  <c r="AC30" i="1"/>
  <c r="M29" i="1"/>
  <c r="N29" i="1"/>
  <c r="I29" i="1"/>
  <c r="AC29" i="1" s="1"/>
  <c r="M28" i="1"/>
  <c r="N28" i="1"/>
  <c r="I28" i="1"/>
  <c r="AC28" i="1" s="1"/>
  <c r="M27" i="1"/>
  <c r="N27" i="1"/>
  <c r="I27" i="1"/>
  <c r="AC27" i="1" s="1"/>
  <c r="M26" i="1"/>
  <c r="N26" i="1"/>
  <c r="I26" i="1"/>
  <c r="AC26" i="1" s="1"/>
  <c r="N25" i="1"/>
  <c r="I25" i="1"/>
  <c r="AC25" i="1" s="1"/>
  <c r="M24" i="1"/>
  <c r="I24" i="1"/>
  <c r="AC24" i="1" s="1"/>
  <c r="M23" i="1"/>
  <c r="I23" i="1"/>
  <c r="AC23" i="1" s="1"/>
  <c r="M22" i="1"/>
  <c r="I22" i="1"/>
  <c r="AC22" i="1" s="1"/>
  <c r="M21" i="1"/>
  <c r="N21" i="1"/>
  <c r="I21" i="1"/>
  <c r="AC21" i="1" s="1"/>
  <c r="M20" i="1"/>
  <c r="N20" i="1"/>
  <c r="I20" i="1"/>
  <c r="AC20" i="1" s="1"/>
  <c r="M19" i="1"/>
  <c r="N19" i="1"/>
  <c r="I19" i="1"/>
  <c r="AC19" i="1" s="1"/>
  <c r="M18" i="1"/>
  <c r="N18" i="1"/>
  <c r="I18" i="1"/>
  <c r="AC18" i="1" s="1"/>
  <c r="N17" i="1"/>
  <c r="I17" i="1"/>
  <c r="AC17" i="1" s="1"/>
  <c r="N16" i="1"/>
  <c r="I16" i="1"/>
  <c r="AC16" i="1" s="1"/>
  <c r="N15" i="1"/>
  <c r="I15" i="1"/>
  <c r="AC15" i="1" s="1"/>
  <c r="M14" i="1"/>
  <c r="N14" i="1"/>
  <c r="I14" i="1"/>
  <c r="AC14" i="1" s="1"/>
  <c r="M13" i="1"/>
  <c r="N13" i="1"/>
  <c r="I13" i="1"/>
  <c r="AC13" i="1" s="1"/>
  <c r="M12" i="1"/>
  <c r="N12" i="1"/>
  <c r="I12" i="1"/>
  <c r="AC12" i="1" s="1"/>
  <c r="M11" i="1"/>
  <c r="N11" i="1"/>
  <c r="I11" i="1"/>
  <c r="AC11" i="1" s="1"/>
  <c r="M10" i="1"/>
  <c r="N10" i="1"/>
  <c r="I9" i="1"/>
  <c r="AC9" i="1"/>
  <c r="M8" i="1"/>
  <c r="N8" i="1"/>
  <c r="M7" i="1"/>
  <c r="N7" i="1"/>
  <c r="AC7" i="1"/>
  <c r="M6" i="1"/>
  <c r="N6" i="1"/>
  <c r="B117" i="1"/>
  <c r="R117" i="1"/>
  <c r="S117" i="1" s="1"/>
  <c r="W117" i="1"/>
  <c r="B116" i="1"/>
  <c r="R116" i="1"/>
  <c r="S116" i="1" s="1"/>
  <c r="W116" i="1"/>
  <c r="B115" i="1"/>
  <c r="R115" i="1"/>
  <c r="S115" i="1" s="1"/>
  <c r="W115" i="1"/>
  <c r="B114" i="1"/>
  <c r="R114" i="1"/>
  <c r="B113" i="1"/>
  <c r="R113" i="1"/>
  <c r="S113" i="1" s="1"/>
  <c r="W113" i="1"/>
  <c r="B112" i="1"/>
  <c r="R112" i="1"/>
  <c r="S112" i="1" s="1"/>
  <c r="W112" i="1"/>
  <c r="B111" i="1"/>
  <c r="R111" i="1"/>
  <c r="S111" i="1" s="1"/>
  <c r="W111" i="1"/>
  <c r="B110" i="1"/>
  <c r="R110" i="1"/>
  <c r="S110" i="1" s="1"/>
  <c r="W110" i="1"/>
  <c r="B109" i="1"/>
  <c r="R109" i="1"/>
  <c r="S109" i="1" s="1"/>
  <c r="W109" i="1"/>
  <c r="B108" i="1"/>
  <c r="R108" i="1"/>
  <c r="S108" i="1" s="1"/>
  <c r="W108" i="1"/>
  <c r="B107" i="1"/>
  <c r="R107" i="1"/>
  <c r="S107" i="1" s="1"/>
  <c r="W107" i="1"/>
  <c r="W106" i="1"/>
  <c r="B103" i="1"/>
  <c r="R103" i="1"/>
  <c r="B102" i="1"/>
  <c r="R102" i="1"/>
  <c r="S102" i="1" s="1"/>
  <c r="W102" i="1"/>
  <c r="B101" i="1"/>
  <c r="R101" i="1"/>
  <c r="S101" i="1" s="1"/>
  <c r="W101" i="1"/>
  <c r="B100" i="1"/>
  <c r="R100" i="1"/>
  <c r="S100" i="1" s="1"/>
  <c r="W100" i="1"/>
  <c r="B99" i="1"/>
  <c r="R99" i="1"/>
  <c r="S99" i="1" s="1"/>
  <c r="W99" i="1"/>
  <c r="B98" i="1"/>
  <c r="R98" i="1"/>
  <c r="S98" i="1" s="1"/>
  <c r="W98" i="1"/>
  <c r="B97" i="1"/>
  <c r="R97" i="1"/>
  <c r="S97" i="1" s="1"/>
  <c r="W97" i="1"/>
  <c r="B96" i="1"/>
  <c r="R96" i="1"/>
  <c r="B95" i="1"/>
  <c r="R95" i="1"/>
  <c r="B94" i="1"/>
  <c r="R94" i="1"/>
  <c r="S94" i="1" s="1"/>
  <c r="W94" i="1"/>
  <c r="B93" i="1"/>
  <c r="R93" i="1"/>
  <c r="S93" i="1" s="1"/>
  <c r="W93" i="1"/>
  <c r="B92" i="1"/>
  <c r="R92" i="1"/>
  <c r="S92" i="1" s="1"/>
  <c r="W92" i="1"/>
  <c r="B91" i="1"/>
  <c r="R91" i="1"/>
  <c r="S91" i="1" s="1"/>
  <c r="W91" i="1"/>
  <c r="B90" i="1"/>
  <c r="R90" i="1"/>
  <c r="S90" i="1" s="1"/>
  <c r="W90" i="1"/>
  <c r="B89" i="1"/>
  <c r="R89" i="1"/>
  <c r="S89" i="1" s="1"/>
  <c r="W89" i="1"/>
  <c r="B88" i="1"/>
  <c r="R88" i="1"/>
  <c r="B87" i="1"/>
  <c r="R87" i="1"/>
  <c r="S87" i="1" s="1"/>
  <c r="W87" i="1"/>
  <c r="B86" i="1"/>
  <c r="R86" i="1"/>
  <c r="S86" i="1" s="1"/>
  <c r="W86" i="1"/>
  <c r="B85" i="1"/>
  <c r="R85" i="1"/>
  <c r="S85" i="1" s="1"/>
  <c r="W85" i="1"/>
  <c r="B82" i="1"/>
  <c r="R82" i="1"/>
  <c r="B81" i="1"/>
  <c r="R81" i="1"/>
  <c r="S81" i="1" s="1"/>
  <c r="W81" i="1"/>
  <c r="B80" i="1"/>
  <c r="R80" i="1"/>
  <c r="S80" i="1" s="1"/>
  <c r="W80" i="1"/>
  <c r="B79" i="1"/>
  <c r="R79" i="1"/>
  <c r="S79" i="1" s="1"/>
  <c r="W79" i="1"/>
  <c r="B78" i="1"/>
  <c r="R78" i="1"/>
  <c r="B77" i="1"/>
  <c r="R77" i="1"/>
  <c r="S77" i="1" s="1"/>
  <c r="W77" i="1"/>
  <c r="B76" i="1"/>
  <c r="R76" i="1"/>
  <c r="S76" i="1" s="1"/>
  <c r="W76" i="1"/>
  <c r="B75" i="1"/>
  <c r="R75" i="1"/>
  <c r="S75" i="1" s="1"/>
  <c r="W75" i="1"/>
  <c r="B74" i="1"/>
  <c r="R74" i="1"/>
  <c r="S74" i="1" s="1"/>
  <c r="W74" i="1"/>
  <c r="B73" i="1"/>
  <c r="R73" i="1"/>
  <c r="S73" i="1" s="1"/>
  <c r="W73" i="1"/>
  <c r="B72" i="1"/>
  <c r="R72" i="1"/>
  <c r="S72" i="1" s="1"/>
  <c r="W72" i="1"/>
  <c r="B71" i="1"/>
  <c r="R71" i="1"/>
  <c r="S71" i="1" s="1"/>
  <c r="W71" i="1"/>
  <c r="B70" i="1"/>
  <c r="R70" i="1"/>
  <c r="S70" i="1" s="1"/>
  <c r="W70" i="1"/>
  <c r="B69" i="1"/>
  <c r="R69" i="1"/>
  <c r="S69" i="1" s="1"/>
  <c r="W69" i="1"/>
  <c r="B68" i="1"/>
  <c r="R68" i="1"/>
  <c r="S68" i="1" s="1"/>
  <c r="W68" i="1"/>
  <c r="B67" i="1"/>
  <c r="R67" i="1"/>
  <c r="S67" i="1" s="1"/>
  <c r="W67" i="1"/>
  <c r="B66" i="1"/>
  <c r="R66" i="1"/>
  <c r="S66" i="1" s="1"/>
  <c r="W66" i="1"/>
  <c r="B65" i="1"/>
  <c r="R65" i="1"/>
  <c r="S65" i="1" s="1"/>
  <c r="W65" i="1"/>
  <c r="B64" i="1"/>
  <c r="R64" i="1"/>
  <c r="S64" i="1" s="1"/>
  <c r="W64" i="1"/>
  <c r="B63" i="1"/>
  <c r="R63" i="1"/>
  <c r="S63" i="1" s="1"/>
  <c r="W63" i="1"/>
  <c r="B62" i="1"/>
  <c r="R62" i="1"/>
  <c r="S62" i="1" s="1"/>
  <c r="W62" i="1"/>
  <c r="B61" i="1"/>
  <c r="R61" i="1"/>
  <c r="S61" i="1" s="1"/>
  <c r="W61" i="1"/>
  <c r="B60" i="1"/>
  <c r="R60" i="1"/>
  <c r="S60" i="1" s="1"/>
  <c r="W60" i="1"/>
  <c r="B59" i="1"/>
  <c r="R59" i="1"/>
  <c r="S59" i="1" s="1"/>
  <c r="W59" i="1"/>
  <c r="B58" i="1"/>
  <c r="R58" i="1"/>
  <c r="S58" i="1" s="1"/>
  <c r="W58" i="1"/>
  <c r="B57" i="1"/>
  <c r="R57" i="1"/>
  <c r="S57" i="1" s="1"/>
  <c r="W57" i="1"/>
  <c r="B56" i="1"/>
  <c r="R56" i="1"/>
  <c r="S56" i="1" s="1"/>
  <c r="W56" i="1"/>
  <c r="B55" i="1"/>
  <c r="R55" i="1"/>
  <c r="S55" i="1" s="1"/>
  <c r="W55" i="1"/>
  <c r="B54" i="1"/>
  <c r="R54" i="1"/>
  <c r="S54" i="1" s="1"/>
  <c r="W54" i="1"/>
  <c r="B53" i="1"/>
  <c r="R53" i="1"/>
  <c r="S53" i="1" s="1"/>
  <c r="W53" i="1"/>
  <c r="B52" i="1"/>
  <c r="R52" i="1"/>
  <c r="S52" i="1" s="1"/>
  <c r="W52" i="1"/>
  <c r="B51" i="1"/>
  <c r="R51" i="1"/>
  <c r="B50" i="1"/>
  <c r="R50" i="1"/>
  <c r="S50" i="1" s="1"/>
  <c r="W50" i="1"/>
  <c r="B49" i="1"/>
  <c r="R49" i="1"/>
  <c r="S49" i="1" s="1"/>
  <c r="W49" i="1"/>
  <c r="B48" i="1"/>
  <c r="R48" i="1"/>
  <c r="S48" i="1" s="1"/>
  <c r="W48" i="1"/>
  <c r="B47" i="1"/>
  <c r="R47" i="1"/>
  <c r="S47" i="1" s="1"/>
  <c r="W47" i="1"/>
  <c r="B46" i="1"/>
  <c r="R46" i="1"/>
  <c r="S46" i="1" s="1"/>
  <c r="W46" i="1"/>
  <c r="B45" i="1"/>
  <c r="R45" i="1"/>
  <c r="S45" i="1" s="1"/>
  <c r="W45" i="1"/>
  <c r="B44" i="1"/>
  <c r="R44" i="1"/>
  <c r="S44" i="1" s="1"/>
  <c r="W44" i="1"/>
  <c r="B43" i="1"/>
  <c r="R43" i="1"/>
  <c r="S43" i="1" s="1"/>
  <c r="W43" i="1"/>
  <c r="B42" i="1"/>
  <c r="R42" i="1"/>
  <c r="S42" i="1" s="1"/>
  <c r="W42" i="1"/>
  <c r="B41" i="1"/>
  <c r="R41" i="1"/>
  <c r="S41" i="1" s="1"/>
  <c r="W41" i="1"/>
  <c r="B40" i="1"/>
  <c r="R40" i="1"/>
  <c r="S40" i="1" s="1"/>
  <c r="W40" i="1"/>
  <c r="B39" i="1"/>
  <c r="R39" i="1"/>
  <c r="S39" i="1" s="1"/>
  <c r="W39" i="1"/>
  <c r="B38" i="1"/>
  <c r="R38" i="1"/>
  <c r="S38" i="1" s="1"/>
  <c r="W38" i="1"/>
  <c r="B37" i="1"/>
  <c r="R37" i="1"/>
  <c r="S37" i="1" s="1"/>
  <c r="W37" i="1"/>
  <c r="B36" i="1"/>
  <c r="R36" i="1"/>
  <c r="S36" i="1" s="1"/>
  <c r="W36" i="1"/>
  <c r="B35" i="1"/>
  <c r="R35" i="1"/>
  <c r="S35" i="1" s="1"/>
  <c r="W35" i="1"/>
  <c r="B34" i="1"/>
  <c r="R34" i="1"/>
  <c r="S34" i="1" s="1"/>
  <c r="W34" i="1"/>
  <c r="B33" i="1"/>
  <c r="R33" i="1"/>
  <c r="S33" i="1" s="1"/>
  <c r="W33" i="1"/>
  <c r="B32" i="1"/>
  <c r="R32" i="1"/>
  <c r="S32" i="1" s="1"/>
  <c r="W32" i="1"/>
  <c r="B31" i="1"/>
  <c r="R31" i="1"/>
  <c r="S31" i="1" s="1"/>
  <c r="W31" i="1"/>
  <c r="B30" i="1"/>
  <c r="R30" i="1"/>
  <c r="B29" i="1"/>
  <c r="R29" i="1"/>
  <c r="S29" i="1" s="1"/>
  <c r="B28" i="1"/>
  <c r="R28" i="1" s="1"/>
  <c r="S28" i="1"/>
  <c r="B27" i="1"/>
  <c r="R27" i="1" s="1"/>
  <c r="S27" i="1"/>
  <c r="B26" i="1"/>
  <c r="R26" i="1" s="1"/>
  <c r="S26" i="1"/>
  <c r="B24" i="1"/>
  <c r="R24" i="1"/>
  <c r="S24" i="1" s="1"/>
  <c r="B23" i="1"/>
  <c r="R23" i="1"/>
  <c r="S23" i="1" s="1"/>
  <c r="B22" i="1"/>
  <c r="R22" i="1"/>
  <c r="S22" i="1" s="1"/>
  <c r="B21" i="1"/>
  <c r="R21" i="1"/>
  <c r="S21" i="1" s="1"/>
  <c r="B20" i="1"/>
  <c r="R20" i="1"/>
  <c r="S20" i="1" s="1"/>
  <c r="B19" i="1"/>
  <c r="R19" i="1"/>
  <c r="S19" i="1" s="1"/>
  <c r="B18" i="1"/>
  <c r="R18" i="1"/>
  <c r="S18" i="1" s="1"/>
  <c r="B17" i="1"/>
  <c r="R17" i="1"/>
  <c r="S17" i="1" s="1"/>
  <c r="B16" i="1"/>
  <c r="R16" i="1"/>
  <c r="S16" i="1" s="1"/>
  <c r="B15" i="1"/>
  <c r="R15" i="1"/>
  <c r="S15" i="1" s="1"/>
  <c r="B14" i="1"/>
  <c r="R14" i="1"/>
  <c r="S14" i="1" s="1"/>
  <c r="B13" i="1"/>
  <c r="R13" i="1"/>
  <c r="S13" i="1" s="1"/>
  <c r="AD13" i="1"/>
  <c r="W13" i="1"/>
  <c r="B12" i="1"/>
  <c r="R12" i="1"/>
  <c r="S12" i="1" s="1"/>
  <c r="AD12" i="1"/>
  <c r="W12" i="1"/>
  <c r="B11" i="1"/>
  <c r="R11" i="1"/>
  <c r="S11" i="1" s="1"/>
  <c r="AD11" i="1"/>
  <c r="W11" i="1"/>
  <c r="B10" i="1"/>
  <c r="R10" i="1"/>
  <c r="S10" i="1" s="1"/>
  <c r="AD10" i="1"/>
  <c r="W10" i="1"/>
  <c r="B9" i="1"/>
  <c r="B8" i="1"/>
  <c r="R8" i="1" s="1"/>
  <c r="S8" i="1"/>
  <c r="B7" i="1"/>
  <c r="R7" i="1" s="1"/>
  <c r="S7" i="1"/>
  <c r="B6" i="1"/>
  <c r="R6" i="1"/>
  <c r="S6" i="1" s="1"/>
  <c r="K16" i="4"/>
  <c r="K15" i="4"/>
  <c r="K14" i="4"/>
  <c r="K13" i="4"/>
  <c r="K12" i="4"/>
  <c r="K11" i="4"/>
  <c r="K10" i="4"/>
  <c r="K6" i="4"/>
  <c r="G42" i="2"/>
  <c r="G41" i="2"/>
  <c r="G40" i="2"/>
  <c r="G39" i="2"/>
  <c r="G38" i="2"/>
  <c r="G37" i="2"/>
  <c r="G36" i="2"/>
  <c r="G35" i="2"/>
  <c r="G34" i="2"/>
  <c r="G33" i="2"/>
  <c r="G32" i="2"/>
  <c r="G31" i="2"/>
  <c r="D42" i="2"/>
  <c r="D41" i="2"/>
  <c r="D40" i="2"/>
  <c r="D39" i="2"/>
  <c r="D38" i="2"/>
  <c r="D37" i="2"/>
  <c r="D36" i="2"/>
  <c r="D35" i="2"/>
  <c r="D34" i="2"/>
  <c r="D33" i="2"/>
  <c r="D32" i="2"/>
  <c r="D31" i="2"/>
  <c r="G20" i="2"/>
  <c r="G19" i="2"/>
  <c r="G18" i="2"/>
  <c r="G17" i="2"/>
  <c r="G16" i="2"/>
  <c r="G15" i="2"/>
  <c r="G14" i="2"/>
  <c r="G13" i="2"/>
  <c r="G12" i="2"/>
  <c r="G11" i="2"/>
  <c r="G10" i="2"/>
  <c r="G9" i="2"/>
  <c r="D19" i="2"/>
  <c r="D18" i="2"/>
  <c r="D17" i="2"/>
  <c r="D16" i="2"/>
  <c r="D15" i="2"/>
  <c r="D14" i="2"/>
  <c r="D13" i="2"/>
  <c r="D12" i="2"/>
  <c r="D11" i="2"/>
  <c r="D10" i="2"/>
  <c r="D9" i="2"/>
  <c r="T43" i="2"/>
  <c r="S43" i="2"/>
  <c r="T42" i="2"/>
  <c r="S42" i="2"/>
  <c r="K42" i="2"/>
  <c r="I42" i="2"/>
  <c r="T41" i="2"/>
  <c r="S41" i="2"/>
  <c r="K41" i="2"/>
  <c r="L41" i="2"/>
  <c r="I41" i="2"/>
  <c r="J41" i="2"/>
  <c r="T40" i="2"/>
  <c r="S40" i="2"/>
  <c r="K40" i="2"/>
  <c r="I40" i="2"/>
  <c r="J40" i="2"/>
  <c r="T39" i="2"/>
  <c r="S39" i="2"/>
  <c r="K39" i="2"/>
  <c r="I39" i="2"/>
  <c r="J39" i="2"/>
  <c r="T38" i="2"/>
  <c r="S38" i="2"/>
  <c r="K38" i="2"/>
  <c r="I38" i="2"/>
  <c r="J38" i="2"/>
  <c r="T37" i="2"/>
  <c r="S37" i="2"/>
  <c r="K37" i="2"/>
  <c r="I37" i="2"/>
  <c r="J37" i="2"/>
  <c r="T36" i="2"/>
  <c r="S36" i="2"/>
  <c r="K36" i="2"/>
  <c r="I36" i="2"/>
  <c r="J36" i="2"/>
  <c r="T35" i="2"/>
  <c r="S35" i="2"/>
  <c r="K35" i="2"/>
  <c r="I35" i="2"/>
  <c r="J35" i="2"/>
  <c r="B35" i="2"/>
  <c r="B36" i="2"/>
  <c r="B37" i="2"/>
  <c r="B38" i="2"/>
  <c r="B39" i="2"/>
  <c r="B40" i="2"/>
  <c r="B41" i="2"/>
  <c r="B42" i="2"/>
  <c r="T34" i="2"/>
  <c r="S34" i="2"/>
  <c r="K34" i="2"/>
  <c r="I34" i="2"/>
  <c r="J34" i="2"/>
  <c r="T33" i="2"/>
  <c r="S33" i="2"/>
  <c r="K33" i="2"/>
  <c r="I33" i="2"/>
  <c r="J33" i="2"/>
  <c r="T32" i="2"/>
  <c r="S32" i="2"/>
  <c r="N32" i="2"/>
  <c r="N33" i="2"/>
  <c r="N34" i="2"/>
  <c r="N35" i="2"/>
  <c r="N36" i="2"/>
  <c r="N37" i="2"/>
  <c r="N38" i="2"/>
  <c r="N39" i="2"/>
  <c r="N40" i="2"/>
  <c r="N41" i="2"/>
  <c r="N42" i="2"/>
  <c r="K32" i="2"/>
  <c r="I32" i="2"/>
  <c r="J32" i="2"/>
  <c r="T31" i="2"/>
  <c r="S31" i="2"/>
  <c r="K31" i="2"/>
  <c r="I31" i="2"/>
  <c r="J31" i="2"/>
  <c r="T30" i="2"/>
  <c r="S30" i="2"/>
  <c r="R30" i="2"/>
  <c r="Q30" i="2"/>
  <c r="P30" i="2"/>
  <c r="O30" i="2"/>
  <c r="K30" i="2"/>
  <c r="I30" i="2"/>
  <c r="T27" i="2"/>
  <c r="S27" i="2"/>
  <c r="Q27" i="2"/>
  <c r="R27" i="2"/>
  <c r="O27" i="2"/>
  <c r="P27" i="2"/>
  <c r="S26" i="2"/>
  <c r="Q26" i="2"/>
  <c r="R26" i="2"/>
  <c r="O26" i="2"/>
  <c r="P26" i="2"/>
  <c r="T21" i="2"/>
  <c r="S21" i="2"/>
  <c r="T20" i="2"/>
  <c r="S20" i="2"/>
  <c r="K20" i="2"/>
  <c r="L20" i="2"/>
  <c r="I20" i="2"/>
  <c r="J20" i="2"/>
  <c r="T19" i="2"/>
  <c r="S19" i="2"/>
  <c r="K19" i="2"/>
  <c r="L19" i="2"/>
  <c r="I19" i="2"/>
  <c r="J19" i="2"/>
  <c r="T18" i="2"/>
  <c r="S18" i="2"/>
  <c r="K18" i="2"/>
  <c r="I18" i="2"/>
  <c r="J18" i="2"/>
  <c r="T17" i="2"/>
  <c r="S17" i="2"/>
  <c r="K17" i="2"/>
  <c r="I17" i="2"/>
  <c r="J17" i="2"/>
  <c r="T16" i="2"/>
  <c r="S16" i="2"/>
  <c r="K16" i="2"/>
  <c r="I16" i="2"/>
  <c r="J16" i="2"/>
  <c r="T15" i="2"/>
  <c r="S15" i="2"/>
  <c r="K15" i="2"/>
  <c r="I15" i="2"/>
  <c r="J15" i="2"/>
  <c r="T14" i="2"/>
  <c r="S14" i="2"/>
  <c r="K14" i="2"/>
  <c r="I14" i="2"/>
  <c r="J14" i="2"/>
  <c r="T13" i="2"/>
  <c r="S13" i="2"/>
  <c r="K13" i="2"/>
  <c r="I13" i="2"/>
  <c r="J13" i="2"/>
  <c r="B13" i="2"/>
  <c r="B14" i="2"/>
  <c r="B15" i="2"/>
  <c r="B16" i="2"/>
  <c r="B17" i="2"/>
  <c r="B18" i="2"/>
  <c r="B19" i="2"/>
  <c r="B20" i="2"/>
  <c r="T12" i="2"/>
  <c r="S12" i="2"/>
  <c r="K12" i="2"/>
  <c r="I12" i="2"/>
  <c r="J12" i="2"/>
  <c r="T11" i="2"/>
  <c r="S11" i="2"/>
  <c r="K11" i="2"/>
  <c r="I11" i="2"/>
  <c r="J11" i="2"/>
  <c r="T10" i="2"/>
  <c r="S10" i="2"/>
  <c r="N10" i="2"/>
  <c r="N11" i="2"/>
  <c r="N12" i="2"/>
  <c r="N13" i="2"/>
  <c r="N14" i="2"/>
  <c r="N15" i="2"/>
  <c r="N16" i="2"/>
  <c r="N17" i="2"/>
  <c r="N18" i="2"/>
  <c r="N19" i="2"/>
  <c r="N20" i="2"/>
  <c r="K10" i="2"/>
  <c r="I10" i="2"/>
  <c r="J10" i="2"/>
  <c r="T9" i="2"/>
  <c r="S9" i="2"/>
  <c r="K9" i="2"/>
  <c r="I9" i="2"/>
  <c r="J9" i="2"/>
  <c r="T8" i="2"/>
  <c r="S8" i="2"/>
  <c r="R8" i="2"/>
  <c r="Q8" i="2"/>
  <c r="P8" i="2"/>
  <c r="O8" i="2"/>
  <c r="K8" i="2"/>
  <c r="I8" i="2"/>
  <c r="T5" i="2"/>
  <c r="S5" i="2"/>
  <c r="Q5" i="2"/>
  <c r="R5" i="2"/>
  <c r="O5" i="2"/>
  <c r="P5" i="2"/>
  <c r="S4" i="2"/>
  <c r="Q4" i="2"/>
  <c r="R4" i="2"/>
  <c r="O4" i="2"/>
  <c r="P4" i="2"/>
  <c r="K7" i="4"/>
  <c r="M126" i="1"/>
  <c r="K3" i="4"/>
  <c r="AB125" i="1"/>
  <c r="Y125" i="1"/>
  <c r="AA125" i="1"/>
  <c r="X125" i="1"/>
  <c r="T125" i="1"/>
  <c r="W125" i="1"/>
  <c r="P125" i="1"/>
  <c r="R125" i="1"/>
  <c r="L125" i="1"/>
  <c r="J16" i="4"/>
  <c r="I125" i="1"/>
  <c r="G16" i="4"/>
  <c r="AB124" i="1"/>
  <c r="Y124" i="1"/>
  <c r="AA124" i="1"/>
  <c r="X124" i="1"/>
  <c r="T124" i="1"/>
  <c r="W124" i="1"/>
  <c r="P124" i="1"/>
  <c r="R124" i="1"/>
  <c r="L124" i="1"/>
  <c r="J15" i="4"/>
  <c r="I124" i="1"/>
  <c r="G15" i="4"/>
  <c r="AB123" i="1"/>
  <c r="Y123" i="1"/>
  <c r="AA123" i="1"/>
  <c r="X123" i="1"/>
  <c r="T123" i="1"/>
  <c r="W123" i="1"/>
  <c r="P123" i="1"/>
  <c r="R123" i="1"/>
  <c r="AB122" i="1"/>
  <c r="Y122" i="1"/>
  <c r="AA122" i="1"/>
  <c r="X122" i="1"/>
  <c r="T122" i="1"/>
  <c r="W122" i="1"/>
  <c r="P122" i="1"/>
  <c r="R122" i="1"/>
  <c r="L122" i="1"/>
  <c r="J13" i="4"/>
  <c r="I122" i="1"/>
  <c r="G13" i="4"/>
  <c r="AB121" i="1"/>
  <c r="Y121" i="1"/>
  <c r="AA121" i="1"/>
  <c r="X121" i="1"/>
  <c r="T121" i="1"/>
  <c r="W121" i="1"/>
  <c r="P121" i="1"/>
  <c r="R121" i="1"/>
  <c r="AB120" i="1"/>
  <c r="Y120" i="1"/>
  <c r="AA120" i="1"/>
  <c r="X120" i="1"/>
  <c r="T120" i="1"/>
  <c r="W120" i="1"/>
  <c r="P120" i="1"/>
  <c r="R120" i="1"/>
  <c r="AB119" i="1"/>
  <c r="AB126" i="1"/>
  <c r="Y119" i="1"/>
  <c r="X119" i="1"/>
  <c r="X126" i="1"/>
  <c r="G6" i="4"/>
  <c r="T119" i="1"/>
  <c r="P119" i="1"/>
  <c r="L120" i="1"/>
  <c r="J11" i="4"/>
  <c r="L123" i="1"/>
  <c r="J14" i="4"/>
  <c r="L121" i="1"/>
  <c r="J12" i="4"/>
  <c r="L119" i="1"/>
  <c r="J10" i="4"/>
  <c r="N116" i="1"/>
  <c r="N112" i="1"/>
  <c r="N109" i="1"/>
  <c r="N108" i="1"/>
  <c r="N107" i="1"/>
  <c r="N102" i="1"/>
  <c r="N101" i="1"/>
  <c r="N100" i="1"/>
  <c r="N99" i="1"/>
  <c r="N98" i="1"/>
  <c r="N97" i="1"/>
  <c r="N91" i="1"/>
  <c r="N90" i="1"/>
  <c r="N89" i="1"/>
  <c r="N81" i="1"/>
  <c r="N80" i="1"/>
  <c r="N79" i="1"/>
  <c r="N64" i="1"/>
  <c r="N63" i="1"/>
  <c r="N62" i="1"/>
  <c r="N61" i="1"/>
  <c r="N57" i="1"/>
  <c r="N56" i="1"/>
  <c r="N55" i="1"/>
  <c r="N54" i="1"/>
  <c r="N53" i="1"/>
  <c r="N52" i="1"/>
  <c r="N33" i="1"/>
  <c r="N32" i="1"/>
  <c r="N31" i="1"/>
  <c r="N24" i="1"/>
  <c r="N23" i="1"/>
  <c r="N22" i="1"/>
  <c r="O104" i="1"/>
  <c r="K104" i="1"/>
  <c r="O105" i="1"/>
  <c r="K105" i="1"/>
  <c r="AD83" i="1"/>
  <c r="AD84" i="1"/>
  <c r="J84" i="1"/>
  <c r="J83" i="1"/>
  <c r="J14" i="1"/>
  <c r="AD58" i="1"/>
  <c r="J6" i="1"/>
  <c r="J7" i="1"/>
  <c r="J8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K6" i="1"/>
  <c r="K7" i="1"/>
  <c r="K8" i="1"/>
  <c r="K10" i="1"/>
  <c r="I4" i="12" s="1"/>
  <c r="O10" i="1"/>
  <c r="K11" i="1"/>
  <c r="I5" i="12" s="1"/>
  <c r="O11" i="1"/>
  <c r="K12" i="1"/>
  <c r="I6" i="12" s="1"/>
  <c r="O12" i="1"/>
  <c r="K13" i="1"/>
  <c r="O13" i="1"/>
  <c r="K15" i="1"/>
  <c r="L4" i="13" s="1"/>
  <c r="K16" i="1"/>
  <c r="L5" i="13" s="1"/>
  <c r="K17" i="1"/>
  <c r="L6" i="13" s="1"/>
  <c r="K18" i="1"/>
  <c r="K19" i="1"/>
  <c r="K20" i="1"/>
  <c r="K21" i="1"/>
  <c r="K22" i="1"/>
  <c r="N4" i="14" s="1"/>
  <c r="K23" i="1"/>
  <c r="N5" i="14" s="1"/>
  <c r="K24" i="1"/>
  <c r="N6" i="14" s="1"/>
  <c r="K25" i="1"/>
  <c r="K26" i="1"/>
  <c r="K27" i="1"/>
  <c r="K28" i="1"/>
  <c r="K29" i="1"/>
  <c r="K31" i="1"/>
  <c r="N4" i="17" s="1"/>
  <c r="O31" i="1"/>
  <c r="K32" i="1"/>
  <c r="N5" i="17" s="1"/>
  <c r="O32" i="1"/>
  <c r="K33" i="1"/>
  <c r="N6" i="17" s="1"/>
  <c r="O33" i="1"/>
  <c r="K34" i="1"/>
  <c r="N4" i="18" s="1"/>
  <c r="O34" i="1"/>
  <c r="K35" i="1"/>
  <c r="N5" i="18" s="1"/>
  <c r="O35" i="1"/>
  <c r="K36" i="1"/>
  <c r="N6" i="18" s="1"/>
  <c r="O36" i="1"/>
  <c r="K37" i="1"/>
  <c r="N7" i="18" s="1"/>
  <c r="O37" i="1"/>
  <c r="K38" i="1"/>
  <c r="N4" i="19" s="1"/>
  <c r="O38" i="1"/>
  <c r="K39" i="1"/>
  <c r="N5" i="19" s="1"/>
  <c r="O39" i="1"/>
  <c r="K40" i="1"/>
  <c r="N6" i="19" s="1"/>
  <c r="O40" i="1"/>
  <c r="K41" i="1"/>
  <c r="O41" i="1"/>
  <c r="K42" i="1"/>
  <c r="O42" i="1"/>
  <c r="K43" i="1"/>
  <c r="N4" i="20" s="1"/>
  <c r="O43" i="1"/>
  <c r="K44" i="1"/>
  <c r="N5" i="20" s="1"/>
  <c r="O44" i="1"/>
  <c r="K45" i="1"/>
  <c r="N6" i="20" s="1"/>
  <c r="O45" i="1"/>
  <c r="K46" i="1"/>
  <c r="N7" i="20" s="1"/>
  <c r="O46" i="1"/>
  <c r="K47" i="1"/>
  <c r="N8" i="20" s="1"/>
  <c r="O47" i="1"/>
  <c r="K48" i="1"/>
  <c r="N9" i="20" s="1"/>
  <c r="O48" i="1"/>
  <c r="K49" i="1"/>
  <c r="K50" i="1"/>
  <c r="K52" i="1"/>
  <c r="O52" i="1"/>
  <c r="K53" i="1"/>
  <c r="O53" i="1"/>
  <c r="K54" i="1"/>
  <c r="O54" i="1"/>
  <c r="K55" i="1"/>
  <c r="O55" i="1"/>
  <c r="K56" i="1"/>
  <c r="O56" i="1"/>
  <c r="K57" i="1"/>
  <c r="O57" i="1"/>
  <c r="K58" i="1"/>
  <c r="O58" i="1"/>
  <c r="K59" i="1"/>
  <c r="O59" i="1"/>
  <c r="K60" i="1"/>
  <c r="O60" i="1"/>
  <c r="K61" i="1"/>
  <c r="O61" i="1"/>
  <c r="K62" i="1"/>
  <c r="O62" i="1"/>
  <c r="K63" i="1"/>
  <c r="O63" i="1"/>
  <c r="K64" i="1"/>
  <c r="O64" i="1"/>
  <c r="K65" i="1"/>
  <c r="O65" i="1"/>
  <c r="K66" i="1"/>
  <c r="O66" i="1"/>
  <c r="K67" i="1"/>
  <c r="O67" i="1"/>
  <c r="K68" i="1"/>
  <c r="O68" i="1"/>
  <c r="K69" i="1"/>
  <c r="O69" i="1"/>
  <c r="K70" i="1"/>
  <c r="O70" i="1"/>
  <c r="K71" i="1"/>
  <c r="O71" i="1"/>
  <c r="K72" i="1"/>
  <c r="O72" i="1"/>
  <c r="K73" i="1"/>
  <c r="O73" i="1"/>
  <c r="K74" i="1"/>
  <c r="O74" i="1"/>
  <c r="K75" i="1"/>
  <c r="O75" i="1"/>
  <c r="K76" i="1"/>
  <c r="O76" i="1"/>
  <c r="K77" i="1"/>
  <c r="O77" i="1"/>
  <c r="K79" i="1"/>
  <c r="O79" i="1"/>
  <c r="K80" i="1"/>
  <c r="O80" i="1"/>
  <c r="K81" i="1"/>
  <c r="O81" i="1"/>
  <c r="K85" i="1"/>
  <c r="O85" i="1"/>
  <c r="K86" i="1"/>
  <c r="O86" i="1"/>
  <c r="K87" i="1"/>
  <c r="O87" i="1"/>
  <c r="K89" i="1"/>
  <c r="O89" i="1"/>
  <c r="K90" i="1"/>
  <c r="O90" i="1"/>
  <c r="K91" i="1"/>
  <c r="O91" i="1"/>
  <c r="K92" i="1"/>
  <c r="O92" i="1"/>
  <c r="K93" i="1"/>
  <c r="O93" i="1"/>
  <c r="K94" i="1"/>
  <c r="O94" i="1"/>
  <c r="K97" i="1"/>
  <c r="O97" i="1"/>
  <c r="K98" i="1"/>
  <c r="O98" i="1"/>
  <c r="K99" i="1"/>
  <c r="O99" i="1"/>
  <c r="K100" i="1"/>
  <c r="O100" i="1"/>
  <c r="K101" i="1"/>
  <c r="O101" i="1"/>
  <c r="K102" i="1"/>
  <c r="O102" i="1"/>
  <c r="K106" i="1"/>
  <c r="O106" i="1"/>
  <c r="K107" i="1"/>
  <c r="O107" i="1"/>
  <c r="K108" i="1"/>
  <c r="O108" i="1"/>
  <c r="K109" i="1"/>
  <c r="O109" i="1"/>
  <c r="K110" i="1"/>
  <c r="O110" i="1"/>
  <c r="K111" i="1"/>
  <c r="O111" i="1"/>
  <c r="K112" i="1"/>
  <c r="O112" i="1"/>
  <c r="K113" i="1"/>
  <c r="O113" i="1"/>
  <c r="K115" i="1"/>
  <c r="O115" i="1"/>
  <c r="K116" i="1"/>
  <c r="O116" i="1"/>
  <c r="K117" i="1"/>
  <c r="O117" i="1"/>
  <c r="R9" i="1"/>
  <c r="J9" i="1"/>
  <c r="L42" i="2"/>
  <c r="AD6" i="1"/>
  <c r="AD7" i="1"/>
  <c r="AD8" i="1"/>
  <c r="AD14" i="1"/>
  <c r="W14" i="1" s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O49" i="1"/>
  <c r="AD50" i="1"/>
  <c r="O50" i="1"/>
  <c r="AD51" i="1"/>
  <c r="AD52" i="1"/>
  <c r="AD53" i="1"/>
  <c r="AD54" i="1"/>
  <c r="AD55" i="1"/>
  <c r="AD56" i="1"/>
  <c r="AD57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I119" i="1"/>
  <c r="G10" i="4"/>
  <c r="I121" i="1"/>
  <c r="G12" i="4"/>
  <c r="I123" i="1"/>
  <c r="G14" i="4"/>
  <c r="I120" i="1"/>
  <c r="G11" i="4"/>
  <c r="L10" i="2"/>
  <c r="U10" i="2"/>
  <c r="L11" i="2"/>
  <c r="U11" i="2"/>
  <c r="L12" i="2"/>
  <c r="U12" i="2"/>
  <c r="L13" i="2"/>
  <c r="U13" i="2"/>
  <c r="L14" i="2"/>
  <c r="U14" i="2"/>
  <c r="L15" i="2"/>
  <c r="U15" i="2"/>
  <c r="L16" i="2"/>
  <c r="U16" i="2"/>
  <c r="L17" i="2"/>
  <c r="U17" i="2"/>
  <c r="L18" i="2"/>
  <c r="U18" i="2"/>
  <c r="U19" i="2"/>
  <c r="U20" i="2"/>
  <c r="U21" i="2"/>
  <c r="L32" i="2"/>
  <c r="U32" i="2"/>
  <c r="L33" i="2"/>
  <c r="U33" i="2"/>
  <c r="L34" i="2"/>
  <c r="U34" i="2"/>
  <c r="L35" i="2"/>
  <c r="U35" i="2"/>
  <c r="L36" i="2"/>
  <c r="U36" i="2"/>
  <c r="L37" i="2"/>
  <c r="U37" i="2"/>
  <c r="L38" i="2"/>
  <c r="U38" i="2"/>
  <c r="L39" i="2"/>
  <c r="U39" i="2"/>
  <c r="L40" i="2"/>
  <c r="U40" i="2"/>
  <c r="U41" i="2"/>
  <c r="U42" i="2"/>
  <c r="U43" i="2"/>
  <c r="I126" i="1"/>
  <c r="AC119" i="1"/>
  <c r="J119" i="1"/>
  <c r="H10" i="4"/>
  <c r="L126" i="1"/>
  <c r="J3" i="4"/>
  <c r="AD119" i="1"/>
  <c r="O119" i="1"/>
  <c r="L10" i="4"/>
  <c r="P126" i="1"/>
  <c r="G7" i="4"/>
  <c r="R119" i="1"/>
  <c r="R126" i="1"/>
  <c r="H7" i="4"/>
  <c r="T126" i="1"/>
  <c r="J7" i="4"/>
  <c r="W119" i="1"/>
  <c r="Y126" i="1"/>
  <c r="J6" i="4"/>
  <c r="AA119" i="1"/>
  <c r="AC120" i="1"/>
  <c r="J120" i="1"/>
  <c r="AD120" i="1"/>
  <c r="O120" i="1"/>
  <c r="L11" i="4"/>
  <c r="AC121" i="1"/>
  <c r="J121" i="1"/>
  <c r="AD121" i="1"/>
  <c r="O121" i="1"/>
  <c r="L12" i="4"/>
  <c r="AC122" i="1"/>
  <c r="J122" i="1"/>
  <c r="AD122" i="1"/>
  <c r="O122" i="1"/>
  <c r="L13" i="4"/>
  <c r="AC123" i="1"/>
  <c r="J123" i="1"/>
  <c r="AD123" i="1"/>
  <c r="O123" i="1"/>
  <c r="L14" i="4"/>
  <c r="AC124" i="1"/>
  <c r="J124" i="1"/>
  <c r="AD124" i="1"/>
  <c r="O124" i="1"/>
  <c r="L15" i="4"/>
  <c r="AC125" i="1"/>
  <c r="J125" i="1"/>
  <c r="AD125" i="1"/>
  <c r="O125" i="1"/>
  <c r="L16" i="4"/>
  <c r="O8" i="1"/>
  <c r="W8" i="1"/>
  <c r="O7" i="1"/>
  <c r="W7" i="1"/>
  <c r="O6" i="1"/>
  <c r="W6" i="1"/>
  <c r="O83" i="1"/>
  <c r="K83" i="1"/>
  <c r="O84" i="1"/>
  <c r="K84" i="1"/>
  <c r="O14" i="1"/>
  <c r="K14" i="1"/>
  <c r="I16" i="4"/>
  <c r="H16" i="4"/>
  <c r="I15" i="4"/>
  <c r="H15" i="4"/>
  <c r="I14" i="4"/>
  <c r="H14" i="4"/>
  <c r="I13" i="4"/>
  <c r="H13" i="4"/>
  <c r="I12" i="4"/>
  <c r="H12" i="4"/>
  <c r="I11" i="4"/>
  <c r="H11" i="4"/>
  <c r="AC126" i="1"/>
  <c r="G3" i="4"/>
  <c r="AA127" i="1"/>
  <c r="AA126" i="1"/>
  <c r="L6" i="4"/>
  <c r="W126" i="1"/>
  <c r="L7" i="4"/>
  <c r="AD126" i="1"/>
  <c r="O126" i="1"/>
  <c r="L3" i="4"/>
  <c r="J126" i="1"/>
  <c r="H3" i="4"/>
  <c r="I3" i="4"/>
  <c r="I10" i="4"/>
  <c r="W29" i="1" l="1"/>
  <c r="O29" i="1"/>
  <c r="E20" i="22"/>
  <c r="L6" i="22"/>
  <c r="L20" i="22" s="1"/>
  <c r="F20" i="22"/>
  <c r="M6" i="22"/>
  <c r="G6" i="22"/>
  <c r="H20" i="22"/>
  <c r="N6" i="22"/>
  <c r="M7" i="22"/>
  <c r="Q7" i="22" s="1"/>
  <c r="G7" i="22"/>
  <c r="M8" i="22"/>
  <c r="Q8" i="22" s="1"/>
  <c r="G8" i="22"/>
  <c r="M9" i="22"/>
  <c r="Q9" i="22" s="1"/>
  <c r="G9" i="22"/>
  <c r="M10" i="22"/>
  <c r="Q10" i="22" s="1"/>
  <c r="G10" i="22"/>
  <c r="M11" i="22"/>
  <c r="Q11" i="22" s="1"/>
  <c r="G11" i="22"/>
  <c r="M12" i="22"/>
  <c r="Q12" i="22" s="1"/>
  <c r="G12" i="22"/>
  <c r="M13" i="22"/>
  <c r="Q13" i="22" s="1"/>
  <c r="G13" i="22"/>
  <c r="M14" i="22"/>
  <c r="Q14" i="22" s="1"/>
  <c r="G14" i="22"/>
  <c r="M15" i="22"/>
  <c r="Q15" i="22" s="1"/>
  <c r="G15" i="22"/>
  <c r="M16" i="22"/>
  <c r="Q16" i="22" s="1"/>
  <c r="G16" i="22"/>
  <c r="M17" i="22"/>
  <c r="Q17" i="22" s="1"/>
  <c r="G17" i="22"/>
  <c r="M18" i="22"/>
  <c r="Q18" i="22" s="1"/>
  <c r="G18" i="22"/>
  <c r="M19" i="22"/>
  <c r="Q19" i="22" s="1"/>
  <c r="G19" i="22"/>
  <c r="E30" i="22"/>
  <c r="L23" i="22"/>
  <c r="L30" i="22" s="1"/>
  <c r="F30" i="22"/>
  <c r="M23" i="22"/>
  <c r="G23" i="22"/>
  <c r="H30" i="22"/>
  <c r="N23" i="22"/>
  <c r="M24" i="22"/>
  <c r="Q24" i="22" s="1"/>
  <c r="G24" i="22"/>
  <c r="M25" i="22"/>
  <c r="Q25" i="22" s="1"/>
  <c r="G25" i="22"/>
  <c r="M26" i="22"/>
  <c r="Q26" i="22" s="1"/>
  <c r="G26" i="22"/>
  <c r="M27" i="22"/>
  <c r="Q27" i="22" s="1"/>
  <c r="G27" i="22"/>
  <c r="M28" i="22"/>
  <c r="Q28" i="22" s="1"/>
  <c r="G28" i="22"/>
  <c r="M29" i="22"/>
  <c r="Q29" i="22" s="1"/>
  <c r="G29" i="22"/>
  <c r="E38" i="22"/>
  <c r="L33" i="22"/>
  <c r="L38" i="22" s="1"/>
  <c r="F38" i="22"/>
  <c r="M33" i="22"/>
  <c r="G33" i="22"/>
  <c r="H38" i="22"/>
  <c r="N33" i="22"/>
  <c r="M34" i="22"/>
  <c r="Q34" i="22" s="1"/>
  <c r="G34" i="22"/>
  <c r="M35" i="22"/>
  <c r="Q35" i="22" s="1"/>
  <c r="G35" i="22"/>
  <c r="M36" i="22"/>
  <c r="Q36" i="22" s="1"/>
  <c r="G36" i="22"/>
  <c r="M37" i="22"/>
  <c r="Q37" i="22" s="1"/>
  <c r="G37" i="22"/>
  <c r="E45" i="22"/>
  <c r="L41" i="22"/>
  <c r="L45" i="22" s="1"/>
  <c r="F45" i="22"/>
  <c r="G45" i="22" s="1"/>
  <c r="M41" i="22"/>
  <c r="G41" i="22"/>
  <c r="H45" i="22"/>
  <c r="N41" i="22"/>
  <c r="I72" i="22"/>
  <c r="J72" i="22"/>
  <c r="K72" i="22"/>
  <c r="M42" i="22"/>
  <c r="Q42" i="22" s="1"/>
  <c r="G42" i="22"/>
  <c r="M43" i="22"/>
  <c r="Q43" i="22" s="1"/>
  <c r="G43" i="22"/>
  <c r="M44" i="22"/>
  <c r="Q44" i="22" s="1"/>
  <c r="G44" i="22"/>
  <c r="E54" i="22"/>
  <c r="L48" i="22"/>
  <c r="L54" i="22" s="1"/>
  <c r="F54" i="22"/>
  <c r="M48" i="22"/>
  <c r="G48" i="22"/>
  <c r="H54" i="22"/>
  <c r="N48" i="22"/>
  <c r="M49" i="22"/>
  <c r="Q49" i="22" s="1"/>
  <c r="G49" i="22"/>
  <c r="M50" i="22"/>
  <c r="Q50" i="22" s="1"/>
  <c r="G50" i="22"/>
  <c r="M51" i="22"/>
  <c r="Q51" i="22" s="1"/>
  <c r="G51" i="22"/>
  <c r="M52" i="22"/>
  <c r="Q52" i="22" s="1"/>
  <c r="G52" i="22"/>
  <c r="M53" i="22"/>
  <c r="Q53" i="22" s="1"/>
  <c r="G53" i="22"/>
  <c r="E61" i="22"/>
  <c r="L57" i="22"/>
  <c r="L61" i="22" s="1"/>
  <c r="F61" i="22"/>
  <c r="M57" i="22"/>
  <c r="G57" i="22"/>
  <c r="H61" i="22"/>
  <c r="N57" i="22"/>
  <c r="M58" i="22"/>
  <c r="Q58" i="22" s="1"/>
  <c r="G58" i="22"/>
  <c r="M59" i="22"/>
  <c r="Q59" i="22" s="1"/>
  <c r="G59" i="22"/>
  <c r="M60" i="22"/>
  <c r="Q60" i="22" s="1"/>
  <c r="G60" i="22"/>
  <c r="E71" i="22"/>
  <c r="E72" i="22" s="1"/>
  <c r="L64" i="22"/>
  <c r="L71" i="22" s="1"/>
  <c r="L72" i="22" s="1"/>
  <c r="F71" i="22"/>
  <c r="F72" i="22" s="1"/>
  <c r="M64" i="22"/>
  <c r="G64" i="22"/>
  <c r="H71" i="22"/>
  <c r="H72" i="22" s="1"/>
  <c r="N64" i="22"/>
  <c r="O72" i="22"/>
  <c r="M65" i="22"/>
  <c r="Q65" i="22" s="1"/>
  <c r="G65" i="22"/>
  <c r="M66" i="22"/>
  <c r="Q66" i="22" s="1"/>
  <c r="G66" i="22"/>
  <c r="M67" i="22"/>
  <c r="Q67" i="22" s="1"/>
  <c r="G67" i="22"/>
  <c r="M68" i="22"/>
  <c r="Q68" i="22" s="1"/>
  <c r="G68" i="22"/>
  <c r="M69" i="22"/>
  <c r="Q69" i="22" s="1"/>
  <c r="G69" i="22"/>
  <c r="M70" i="22"/>
  <c r="Q70" i="22" s="1"/>
  <c r="G70" i="22"/>
  <c r="W25" i="1"/>
  <c r="O25" i="1"/>
  <c r="L10" i="20"/>
  <c r="K10" i="20"/>
  <c r="J10" i="20"/>
  <c r="I10" i="20"/>
  <c r="H10" i="20"/>
  <c r="G10" i="20"/>
  <c r="F10" i="20"/>
  <c r="E10" i="20"/>
  <c r="D10" i="20"/>
  <c r="C10" i="20"/>
  <c r="B10" i="20"/>
  <c r="B13" i="20" s="1"/>
  <c r="L7" i="19"/>
  <c r="K7" i="19"/>
  <c r="J7" i="19"/>
  <c r="I7" i="19"/>
  <c r="H7" i="19"/>
  <c r="G7" i="19"/>
  <c r="F7" i="19"/>
  <c r="E7" i="19"/>
  <c r="D7" i="19"/>
  <c r="C7" i="19"/>
  <c r="B7" i="19"/>
  <c r="K8" i="18"/>
  <c r="J8" i="18"/>
  <c r="I8" i="18"/>
  <c r="H8" i="18"/>
  <c r="G8" i="18"/>
  <c r="F8" i="18"/>
  <c r="E8" i="18"/>
  <c r="D8" i="18"/>
  <c r="C8" i="18"/>
  <c r="B8" i="18"/>
  <c r="L8" i="18"/>
  <c r="W28" i="1"/>
  <c r="O28" i="1"/>
  <c r="W27" i="1"/>
  <c r="O27" i="1"/>
  <c r="W26" i="1"/>
  <c r="O26" i="1"/>
  <c r="H7" i="12"/>
  <c r="N6" i="16"/>
  <c r="N5" i="16"/>
  <c r="N4" i="16"/>
  <c r="L7" i="17"/>
  <c r="K7" i="17"/>
  <c r="J7" i="17"/>
  <c r="I7" i="17"/>
  <c r="H7" i="17"/>
  <c r="G7" i="17"/>
  <c r="F7" i="17"/>
  <c r="E7" i="17"/>
  <c r="E8" i="17" s="1"/>
  <c r="D7" i="17"/>
  <c r="D8" i="17" s="1"/>
  <c r="C7" i="17"/>
  <c r="C8" i="17" s="1"/>
  <c r="B7" i="17"/>
  <c r="B8" i="17" s="1"/>
  <c r="C7" i="16"/>
  <c r="C8" i="16" s="1"/>
  <c r="B7" i="16"/>
  <c r="B8" i="16" s="1"/>
  <c r="W24" i="1"/>
  <c r="O24" i="1"/>
  <c r="W23" i="1"/>
  <c r="O23" i="1"/>
  <c r="W22" i="1"/>
  <c r="O22" i="1"/>
  <c r="W21" i="1"/>
  <c r="O21" i="1"/>
  <c r="W20" i="1"/>
  <c r="O20" i="1"/>
  <c r="W19" i="1"/>
  <c r="O19" i="1"/>
  <c r="W18" i="1"/>
  <c r="O18" i="1"/>
  <c r="W17" i="1"/>
  <c r="O17" i="1"/>
  <c r="W16" i="1"/>
  <c r="O16" i="1"/>
  <c r="W15" i="1"/>
  <c r="O15" i="1"/>
  <c r="N71" i="22" l="1"/>
  <c r="P64" i="22"/>
  <c r="G71" i="22"/>
  <c r="M71" i="22"/>
  <c r="Q64" i="22"/>
  <c r="N61" i="22"/>
  <c r="P61" i="22" s="1"/>
  <c r="P57" i="22"/>
  <c r="G61" i="22"/>
  <c r="M61" i="22"/>
  <c r="Q61" i="22" s="1"/>
  <c r="Q57" i="22"/>
  <c r="N54" i="22"/>
  <c r="P54" i="22" s="1"/>
  <c r="P48" i="22"/>
  <c r="G54" i="22"/>
  <c r="M54" i="22"/>
  <c r="Q54" i="22" s="1"/>
  <c r="Q48" i="22"/>
  <c r="N45" i="22"/>
  <c r="P45" i="22" s="1"/>
  <c r="P41" i="22"/>
  <c r="M45" i="22"/>
  <c r="Q45" i="22" s="1"/>
  <c r="Q41" i="22"/>
  <c r="N38" i="22"/>
  <c r="P38" i="22" s="1"/>
  <c r="P33" i="22"/>
  <c r="G38" i="22"/>
  <c r="M38" i="22"/>
  <c r="Q38" i="22" s="1"/>
  <c r="Q33" i="22"/>
  <c r="N30" i="22"/>
  <c r="P30" i="22" s="1"/>
  <c r="P23" i="22"/>
  <c r="G30" i="22"/>
  <c r="M30" i="22"/>
  <c r="Q30" i="22" s="1"/>
  <c r="Q23" i="22"/>
  <c r="N20" i="22"/>
  <c r="P20" i="22" s="1"/>
  <c r="P6" i="22"/>
  <c r="Q6" i="22"/>
  <c r="M20" i="22"/>
  <c r="Q20" i="22" s="1"/>
  <c r="G20" i="22"/>
  <c r="F7" i="12"/>
  <c r="F8" i="12" s="1"/>
  <c r="E7" i="12"/>
  <c r="E8" i="12" s="1"/>
  <c r="D7" i="12"/>
  <c r="D8" i="12" s="1"/>
  <c r="C7" i="12"/>
  <c r="C8" i="12" s="1"/>
  <c r="B7" i="12"/>
  <c r="B8" i="12" s="1"/>
  <c r="G7" i="12"/>
  <c r="G8" i="12" s="1"/>
  <c r="M72" i="22" l="1"/>
  <c r="Q71" i="22"/>
  <c r="G72" i="22"/>
  <c r="N72" i="22"/>
  <c r="P72" i="22" s="1"/>
  <c r="P71" i="22"/>
  <c r="Q72" i="22" l="1"/>
</calcChain>
</file>

<file path=xl/sharedStrings.xml><?xml version="1.0" encoding="utf-8"?>
<sst xmlns="http://schemas.openxmlformats.org/spreadsheetml/2006/main" count="1565" uniqueCount="801">
  <si>
    <t>Status:</t>
  </si>
  <si>
    <t>Updated 9/22</t>
  </si>
  <si>
    <t>Denotes Piazza</t>
  </si>
  <si>
    <t>Update all fields in Blue each week</t>
  </si>
  <si>
    <t>We expect 50% of Single Sales 1 Week Prior</t>
  </si>
  <si>
    <t>85%+ occupancy</t>
  </si>
  <si>
    <t>95%+ of Budget</t>
  </si>
  <si>
    <t>100%+ of Target</t>
  </si>
  <si>
    <t xml:space="preserve"> </t>
  </si>
  <si>
    <t>70-85% occupancy</t>
  </si>
  <si>
    <t>85-95% of Budget</t>
  </si>
  <si>
    <t>90-99% of Target</t>
  </si>
  <si>
    <t>Week #</t>
  </si>
  <si>
    <t>&lt;70% occupancy</t>
  </si>
  <si>
    <t>&lt;85% of Budget</t>
  </si>
  <si>
    <t>&lt;90% of Target</t>
  </si>
  <si>
    <t>TICKET SALES REPORT as of 9/22/2025</t>
  </si>
  <si>
    <t>TOTAL SALES (Singles + Subs)</t>
  </si>
  <si>
    <t>Single Tickets</t>
  </si>
  <si>
    <t>Subscription Tickets</t>
  </si>
  <si>
    <t>Hall Data</t>
  </si>
  <si>
    <t>Audience Data</t>
  </si>
  <si>
    <t>Revenue last week</t>
  </si>
  <si>
    <t>Increase over week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</si>
  <si>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</si>
  <si>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</si>
  <si>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</si>
  <si>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</si>
  <si>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</si>
  <si>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</si>
  <si>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Total Tickets Sold</t>
  </si>
  <si>
    <t>Projected Single Tickets + Actual Subs</t>
  </si>
  <si>
    <t>Projected Total OCC at Performance</t>
  </si>
  <si>
    <t>Total Actual Revenue</t>
  </si>
  <si>
    <t>TOTAL BUDGET</t>
  </si>
  <si>
    <t>Actual/
Budget %</t>
  </si>
  <si>
    <t>Projected/ Budget %</t>
  </si>
  <si>
    <t>Actual Single Tickets Sold</t>
  </si>
  <si>
    <t>Target Single Tickets for 85% OCC</t>
  </si>
  <si>
    <t>Projected Single Tickets</t>
  </si>
  <si>
    <t>Projected Single Tickets vs 85% OCC Target</t>
  </si>
  <si>
    <t>Actual Revenue</t>
  </si>
  <si>
    <t>BUDGET</t>
  </si>
  <si>
    <t>Actual Sub Tickets Sold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</si>
  <si>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</si>
  <si>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</si>
  <si>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</si>
  <si>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</si>
  <si>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</si>
  <si>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</si>
  <si>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</si>
  <si>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</si>
  <si>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</si>
  <si>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>26 La nuit sombre</t>
  </si>
  <si>
    <t>OPEN - Recording Week</t>
  </si>
  <si>
    <t>N/A</t>
  </si>
  <si>
    <t>26 PS1 Music of Journey</t>
  </si>
  <si>
    <t>Pops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</si>
  <si>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</si>
  <si>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</si>
  <si>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</si>
  <si>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</si>
  <si>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</si>
  <si>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</si>
  <si>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</si>
  <si>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</si>
  <si>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90s Mixtape</t>
  </si>
  <si>
    <t>26 On-Stage 1 George Li</t>
  </si>
  <si>
    <t>On Stage</t>
  </si>
  <si>
    <t>26 CS02 Rachmaninoff Cele Pt 1</t>
  </si>
  <si>
    <t>26 FS2 Carnival of the Animals</t>
  </si>
  <si>
    <t>OPEN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</si>
  <si>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</si>
  <si>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</si>
  <si>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</si>
  <si>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</si>
  <si>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</si>
  <si>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</si>
  <si>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</si>
  <si>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</si>
  <si>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</si>
  <si>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</si>
  <si>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</si>
  <si>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</si>
  <si>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</si>
  <si>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 Leila Josefowicz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</si>
  <si>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</si>
  <si>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</si>
  <si>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</si>
  <si>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</si>
  <si>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</si>
  <si>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</si>
  <si>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</si>
  <si>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</si>
  <si>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</si>
  <si>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</si>
  <si>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</si>
  <si>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</si>
  <si>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</si>
  <si>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</si>
  <si>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</si>
  <si>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 Gil Shaham</t>
  </si>
  <si>
    <t>26 CS12 Gil Shaham Plays Brahm's 4th</t>
  </si>
  <si>
    <t>27 CS12 Gil Shaham Plays Brahm's 4th</t>
  </si>
  <si>
    <t>28 CS12 Gil Shaham Plays Brahm's 4th</t>
  </si>
  <si>
    <t>26 On-Stage 4 Yefim Bronfman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</si>
  <si>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</si>
  <si>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</si>
  <si>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</si>
  <si>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</si>
  <si>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</si>
  <si>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</si>
  <si>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</si>
  <si>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</si>
  <si>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</si>
  <si>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</si>
  <si>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</si>
  <si>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</si>
  <si>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</si>
  <si>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</si>
  <si>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</si>
  <si>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# weeks out</t>
  </si>
  <si>
    <t>Estimates Only</t>
  </si>
  <si>
    <t>Historical Data</t>
  </si>
  <si>
    <t>PS1 Journey</t>
  </si>
  <si>
    <t># Single Tickets to sell out 100%</t>
  </si>
  <si>
    <t>Projected OCC%</t>
  </si>
  <si>
    <t># Weeks Until Performance</t>
  </si>
  <si>
    <t>9/19/2025 Sales (Fri)</t>
  </si>
  <si>
    <t>9/20/2025 Sales (Sat)</t>
  </si>
  <si>
    <t>9/21/2025 Sales (Sun)</t>
  </si>
  <si>
    <t>Pace for 85% OCC</t>
  </si>
  <si>
    <t>Other</t>
  </si>
  <si>
    <t>Avg/Show vs Target Pace:</t>
  </si>
  <si>
    <t>OCC Target</t>
  </si>
  <si>
    <t>CS1 Appalachian</t>
  </si>
  <si>
    <t>10/10/2025 Sales (Fri)</t>
  </si>
  <si>
    <t>10/11/2025 Sales (Sat)</t>
  </si>
  <si>
    <t>10/12/2025 Sales (Sun)</t>
  </si>
  <si>
    <t># Weeks Out</t>
  </si>
  <si>
    <t>PS2 90s Mixtape (Name?)</t>
  </si>
  <si>
    <t>10/24/2025 Sales (Fri)</t>
  </si>
  <si>
    <t>10/25/2025 Sales (Sat)</t>
  </si>
  <si>
    <t>10/26/2025 Sales (Sun)</t>
  </si>
  <si>
    <t>MFSB</t>
  </si>
  <si>
    <t>9/2/2025 Sales (Tue)</t>
  </si>
  <si>
    <t>9/3/2025 Sales (Wed)</t>
  </si>
  <si>
    <t>CS2 Rachmaninoff</t>
  </si>
  <si>
    <t>10/31/2025 Sales (Fri, Piazza)</t>
  </si>
  <si>
    <t>11/01/2025 Sales (Sat)</t>
  </si>
  <si>
    <t>11/02/2025 Sales (Sun)</t>
  </si>
  <si>
    <t>CS3 Mahler</t>
  </si>
  <si>
    <t>11/21/2025 Sales (Fri, Piazza)</t>
  </si>
  <si>
    <t>11/22/2025 Sales (Sat)</t>
  </si>
  <si>
    <t>11/23/2025 Sales (Sun)</t>
  </si>
  <si>
    <t>Elf in Concert</t>
  </si>
  <si>
    <t>11/28/2025 (Fri)</t>
  </si>
  <si>
    <t>11/29/2025 (Sat 1)</t>
  </si>
  <si>
    <t>11/29/2025 (Sat 2)</t>
  </si>
  <si>
    <t>11/30/2025 (Sun)</t>
  </si>
  <si>
    <t>Home Alone 2024</t>
  </si>
  <si>
    <t>Muppet XMas 2023</t>
  </si>
  <si>
    <t>Avg/Show vs 2024 Pace:</t>
  </si>
  <si>
    <t>Home Alone</t>
  </si>
  <si>
    <t>Final Occupancy Sold %</t>
  </si>
  <si>
    <t>11/29/2024 Sales (Friday)</t>
  </si>
  <si>
    <t>11/30/2024, 2pm (Saturday)</t>
  </si>
  <si>
    <t>11/30/2024, 8pm (Saturday)</t>
  </si>
  <si>
    <t>12/01/2024 Sales (Sunday)</t>
  </si>
  <si>
    <t>A Muppet Christmas Carol</t>
  </si>
  <si>
    <t>12/08/2023 Sales (Friday)</t>
  </si>
  <si>
    <t>12/09/2023, 1pm Sales (Saturday)</t>
  </si>
  <si>
    <t>Handel's Messiah</t>
  </si>
  <si>
    <t>12/5/2025 (Fri)</t>
  </si>
  <si>
    <t>12/6/2025 (Sat)</t>
  </si>
  <si>
    <t>12/7/2025 (Sun)</t>
  </si>
  <si>
    <t>Messiah 2024</t>
  </si>
  <si>
    <t>Messiah 2023</t>
  </si>
  <si>
    <r>
      <t xml:space="preserve">Handel's </t>
    </r>
    <r>
      <rPr>
        <b/>
        <i/>
        <sz val="11"/>
        <color rgb="FF007BB3"/>
        <rFont val="Verdana"/>
        <family val="2"/>
      </rPr>
      <t>Messiah</t>
    </r>
  </si>
  <si>
    <t>12/06/2024 Sales (Friday)</t>
  </si>
  <si>
    <t>12/07/2024 Sales (Saturday)</t>
  </si>
  <si>
    <t>12/08/2024 Sales (Sunday)</t>
  </si>
  <si>
    <t>12/01/2023 Sales (Friday)</t>
  </si>
  <si>
    <t>12/02/2023 Sales (Saturday)</t>
  </si>
  <si>
    <t>12/03/2023 Sales (Sunday)</t>
  </si>
  <si>
    <t>Christmas Festival</t>
  </si>
  <si>
    <t>12/18/2025 (Thu)</t>
  </si>
  <si>
    <t>12/19/2025 (Fri)</t>
  </si>
  <si>
    <t>12/20/2025 (Sat 1)</t>
  </si>
  <si>
    <t>12/20/2025 (Sat 2)</t>
  </si>
  <si>
    <t>12/21/2025 (Sun 1)</t>
  </si>
  <si>
    <t>12/21/2025 (Sun 2)</t>
  </si>
  <si>
    <t>XMas 2024</t>
  </si>
  <si>
    <t>XMas 2023</t>
  </si>
  <si>
    <t>12/19/2024 Sales (Thursday)</t>
  </si>
  <si>
    <t>12/20/2024 Sales (Friday)</t>
  </si>
  <si>
    <t>12/21/2024, 1pm Sales (Saturday)</t>
  </si>
  <si>
    <t>12/21/2024, 7pm Sales (Saturday)</t>
  </si>
  <si>
    <t>12/22/2024, 2pm Sales (Sunday)</t>
  </si>
  <si>
    <t>12/22/2024, 7pm Sales (Sunday)</t>
  </si>
  <si>
    <t>12/14/2023 Sales (Thursday)</t>
  </si>
  <si>
    <t>12/15/2023 Sales (Friday)</t>
  </si>
  <si>
    <t>12/16/2023, 1pm Sales (Saturday)</t>
  </si>
  <si>
    <t>12/16/2023, 7pm Sales (Saturday)</t>
  </si>
  <si>
    <t>12/17/2023, 2pm Sales (Sunday)</t>
  </si>
  <si>
    <t>12/17/2023, 7pm Sales (Sunday)</t>
  </si>
  <si>
    <t>KANSAS CITY SYMPHONY</t>
  </si>
  <si>
    <t>100%+ of FY26 Goal</t>
  </si>
  <si>
    <t>2025-26 Subscriptions</t>
  </si>
  <si>
    <t>We expect 50% of Total by Week 5</t>
  </si>
  <si>
    <t>90-99% of FY26 Goal</t>
  </si>
  <si>
    <t>FY26 Budget - Classical</t>
  </si>
  <si>
    <t>We expect 90% of Total by Week 10/11</t>
  </si>
  <si>
    <t>&lt;90% of FY26 Goal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</si>
  <si>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</si>
  <si>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</si>
  <si>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</si>
  <si>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</si>
  <si>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</si>
  <si>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</si>
  <si>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</si>
  <si>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</si>
  <si>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</si>
  <si>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</si>
  <si>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</si>
  <si>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</si>
  <si>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</si>
  <si>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</si>
  <si>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</si>
  <si>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</si>
  <si>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</si>
  <si>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</si>
  <si>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</si>
  <si>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</si>
  <si>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</si>
  <si>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</si>
  <si>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</si>
  <si>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</si>
  <si>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</si>
  <si>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vs. FY26 Goal</t>
  </si>
  <si>
    <t>25-26 Churn</t>
  </si>
  <si>
    <t>#</t>
  </si>
  <si>
    <t>3rd Classical mailer drops 22nd/23rd of August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</si>
  <si>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</si>
  <si>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</si>
  <si>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</si>
  <si>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</si>
  <si>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</si>
  <si>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</si>
  <si>
    <t>Overall Season</t>
  </si>
  <si>
    <t># Tickets Sold</t>
  </si>
  <si>
    <t>Projected Tickets Sold</t>
  </si>
  <si>
    <t>Projected Occupancy (% +GYR)</t>
  </si>
  <si>
    <t>Projected Revenue vs Budget (% +GYR)</t>
  </si>
  <si>
    <t>Season Attendance By Ticket Type</t>
  </si>
  <si>
    <t>All Subscriptions</t>
  </si>
  <si>
    <t>All Single Tickets</t>
  </si>
  <si>
    <t>Concert Attendance By Performance Type</t>
  </si>
  <si>
    <t>CLASSICAL TRADITIONAL TOTAL</t>
  </si>
  <si>
    <t>SYMPHONIC PIAZZA TOTAL</t>
  </si>
  <si>
    <t>POPS  TOTAL</t>
  </si>
  <si>
    <t>FAMILY SERIES TOTAL</t>
  </si>
  <si>
    <t>FILM  TOTAL</t>
  </si>
  <si>
    <t>ON STAGE CONCERTS TOTAL</t>
  </si>
  <si>
    <t>OTHER CONCERT TOTAL</t>
  </si>
  <si>
    <t>Notes:</t>
  </si>
  <si>
    <t>FY19 was pre-COVID</t>
  </si>
  <si>
    <t>FY24 was -35% vs FY19, but also Michael Stern's final season so perhaps a one-time boost</t>
  </si>
  <si>
    <t>FY25 was -47% vs FY19 and -19% vs FY24</t>
  </si>
  <si>
    <t>FY26 is -4% vs FY25</t>
  </si>
  <si>
    <t>For FY27, it is important to start sales no later than Week 5 (coordinate with season anouncement) and understand how to boost renewal rate</t>
  </si>
  <si>
    <t>FY24 was -19% vs FY19, but also Michael Stern's final season so perhaps a one-time boost</t>
  </si>
  <si>
    <t>FY25 was -29% vs FY19 and -12% vs FY24</t>
  </si>
  <si>
    <t>FY26 is +7% vs FY25, driven by growth in new subs</t>
  </si>
  <si>
    <t>For FY27, it is important to start sales no later than Week 5 and understand how to continue new sub growth</t>
  </si>
  <si>
    <t>MARKETING CHANNEL PERFORMANCE</t>
  </si>
  <si>
    <t> </t>
  </si>
  <si>
    <t>Owned Marketing Channels </t>
  </si>
  <si>
    <t>Paid Channels </t>
  </si>
  <si>
    <t>To start, let’s pull last 12 months of data. </t>
  </si>
  <si>
    <t>Phone </t>
  </si>
  <si>
    <t>Direct Mail </t>
  </si>
  <si>
    <t>Email </t>
  </si>
  <si>
    <t>Social </t>
  </si>
  <si>
    <t>In-hall </t>
  </si>
  <si>
    <t>SEO </t>
  </si>
  <si>
    <t>SEM </t>
  </si>
  <si>
    <t>Media </t>
  </si>
  <si>
    <t>Total </t>
  </si>
  <si>
    <t>(Box Office) </t>
  </si>
  <si>
    <t>(FB, IG, X, other) </t>
  </si>
  <si>
    <t>(book, posters) </t>
  </si>
  <si>
    <t>(TV, radio, OOH) </t>
  </si>
  <si>
    <t>(Bennett) </t>
  </si>
  <si>
    <t># Impressions: </t>
  </si>
  <si>
    <t>13.7M </t>
  </si>
  <si>
    <t>calls made, e/mails delivered, etc. </t>
  </si>
  <si>
    <t># Engagement: </t>
  </si>
  <si>
    <t>4.7M </t>
  </si>
  <si>
    <t>calls answered, opens, etc. </t>
  </si>
  <si>
    <t>Engagement rate </t>
  </si>
  <si>
    <t>34% </t>
  </si>
  <si>
    <t># Actions (Success): </t>
  </si>
  <si>
    <t>89k </t>
  </si>
  <si>
    <t>conversations, clicks, etc. </t>
  </si>
  <si>
    <t>Action rate </t>
  </si>
  <si>
    <t>0.6% </t>
  </si>
  <si>
    <t>% of total Actions </t>
  </si>
  <si>
    <t>Channel cost ($, time) </t>
  </si>
  <si>
    <t>ROI: $/Action </t>
  </si>
  <si>
    <t>Attributed revenue ($) </t>
  </si>
  <si>
    <t>~$220k </t>
  </si>
  <si>
    <t>ROI: $/channel cost </t>
  </si>
  <si>
    <t>SALES CHANNEL PERFORMANCE</t>
  </si>
  <si>
    <t>Website </t>
  </si>
  <si>
    <t>KCPA </t>
  </si>
  <si>
    <t># Traffic: </t>
  </si>
  <si>
    <t>471,563 </t>
  </si>
  <si>
    <t>calls received, visits </t>
  </si>
  <si>
    <t>% Traffic by Marketing Channel </t>
  </si>
  <si>
    <t>#, $ Conversions (Success): </t>
  </si>
  <si>
    <t>4,547 </t>
  </si>
  <si>
    <t>Conversion rate </t>
  </si>
  <si>
    <t>0.94% </t>
  </si>
  <si>
    <t>% of total Conversions </t>
  </si>
  <si>
    <t>15%? </t>
  </si>
  <si>
    <t>Total Sales Revenue </t>
  </si>
  <si>
    <t>~$6,500k? </t>
  </si>
  <si>
    <t>$877k </t>
  </si>
  <si>
    <t>ROI: $/Conversion </t>
  </si>
  <si>
    <t>EXPERIENCE CHANNEL PERFORMANCE</t>
  </si>
  <si>
    <t># total attendance </t>
  </si>
  <si>
    <t>% Repeat: </t>
  </si>
  <si>
    <t>% returning from prior season </t>
  </si>
  <si>
    <t># Frequency: </t>
  </si>
  <si>
    <t>avg. attendance/customer </t>
  </si>
  <si>
    <t>Total Revenue, ROI? </t>
  </si>
  <si>
    <t>Avg. CSAT, NPS </t>
  </si>
  <si>
    <t>Avg. CLV/attendee </t>
  </si>
  <si>
    <t># high CLV VIPs </t>
  </si>
  <si>
    <t>New Subs</t>
  </si>
  <si>
    <t>Renewal Subs</t>
  </si>
  <si>
    <t># Weeks On Sale</t>
  </si>
  <si>
    <t>Extend data for single ticket sales beyond 6 weeks</t>
  </si>
  <si>
    <t>Differentiate single ticket sales by performance type</t>
  </si>
  <si>
    <t>Improve pacing data (always)</t>
  </si>
  <si>
    <t>EMAILS SENT</t>
  </si>
  <si>
    <t>DELIVERIES</t>
  </si>
  <si>
    <t>OPENS</t>
  </si>
  <si>
    <t>CLICK RATE</t>
  </si>
  <si>
    <t>9/21 Journey KBYG SUN</t>
  </si>
  <si>
    <t>258 (74.1%)</t>
  </si>
  <si>
    <t>103 (29.6%)</t>
  </si>
  <si>
    <t>AVERAGE OPEN RATE:</t>
  </si>
  <si>
    <t>9/20 Journey KBYG SAT</t>
  </si>
  <si>
    <t>287 (72.1%)</t>
  </si>
  <si>
    <t>104 (26.1%)</t>
  </si>
  <si>
    <t>AVERAGE CLICK RATE:</t>
  </si>
  <si>
    <t>9/19 Journey KBYG FRI</t>
  </si>
  <si>
    <t>289 (69.3%)</t>
  </si>
  <si>
    <t>101 (24.2%)</t>
  </si>
  <si>
    <t>9/18 90s Standalone Email</t>
  </si>
  <si>
    <t>33,599 (35.3%)</t>
  </si>
  <si>
    <t>341 (0.4%)</t>
  </si>
  <si>
    <t>9/16 Weekly Concert Promo</t>
  </si>
  <si>
    <t>34,837 (37.2%)</t>
  </si>
  <si>
    <t>729 (0.8%)</t>
  </si>
  <si>
    <t>9/15 CS2 Standalone Email</t>
  </si>
  <si>
    <t>34,769 (37.1%)</t>
  </si>
  <si>
    <t>342 (0.4%)</t>
  </si>
  <si>
    <t>9/10 Journey Giveaway</t>
  </si>
  <si>
    <t>34,249 (35.9%)</t>
  </si>
  <si>
    <t>751 (1%)</t>
  </si>
  <si>
    <t>9/9 Weekly Concert Promo</t>
  </si>
  <si>
    <t>35,513 (37.8%)</t>
  </si>
  <si>
    <t>780 (1%)</t>
  </si>
  <si>
    <t>9/5 CS1 BOGO Pops Buyers</t>
  </si>
  <si>
    <t>2,377 (53%)</t>
  </si>
  <si>
    <t>100 (2.2%) - 33 respond (98 tickets)</t>
  </si>
  <si>
    <t>9/5 CS1 Morgan Freeman Buyers</t>
  </si>
  <si>
    <t>588 (58.3%)</t>
  </si>
  <si>
    <t>33 (3.3%) - 33 respond (98 tickets)</t>
  </si>
  <si>
    <t>9/4 CS1 Matthias Video</t>
  </si>
  <si>
    <t>35,461 (37.1%)</t>
  </si>
  <si>
    <t>1,460 (1.5%)</t>
  </si>
  <si>
    <t>9/4 Journey BOGO Promo</t>
  </si>
  <si>
    <t>1,164 (42.8%)</t>
  </si>
  <si>
    <t>54 (2%) - 15 respond (41 tickets)</t>
  </si>
  <si>
    <t>9/3 Morgan Freeman KBYG</t>
  </si>
  <si>
    <t>306 (81.4%)</t>
  </si>
  <si>
    <t>129 (34.3%)</t>
  </si>
  <si>
    <t>9/2 Morgan Freeman KBYG</t>
  </si>
  <si>
    <t>354 (83.1%)</t>
  </si>
  <si>
    <t>152 (35.7%)</t>
  </si>
  <si>
    <t>8/29 La nuit sombre KBYG</t>
  </si>
  <si>
    <t>207 (82.8%)</t>
  </si>
  <si>
    <t>37 (14.8%)</t>
  </si>
  <si>
    <t>8/27 Chicken Fried Promo</t>
  </si>
  <si>
    <t>35,437 (37.8%)</t>
  </si>
  <si>
    <t>536 (0.6%)</t>
  </si>
  <si>
    <t>8/20 Bi-weekly Merchandise Email</t>
  </si>
  <si>
    <t>35,125 (37%)</t>
  </si>
  <si>
    <t>754 (1%)</t>
  </si>
  <si>
    <t>8/12 Music of Journey Promo</t>
  </si>
  <si>
    <t>35,743 (37.9%)</t>
  </si>
  <si>
    <t xml:space="preserve">577 0.6% </t>
  </si>
  <si>
    <t>https://conta.cc/4mdHLVC</t>
  </si>
  <si>
    <t>8/6 Bi-weekly Merchandise Email</t>
  </si>
  <si>
    <t>36,401 (38.6%)</t>
  </si>
  <si>
    <t>937 (1%)</t>
  </si>
  <si>
    <t>https://conta.cc/3Hoy3k2</t>
  </si>
  <si>
    <t>7/21 La Nuit Sombre Matthias Video</t>
  </si>
  <si>
    <t>35,531 (37.1%)</t>
  </si>
  <si>
    <t>491 (0.5%)</t>
  </si>
  <si>
    <t>7/23 Morgan Freeman Promo</t>
  </si>
  <si>
    <t>35,064 (36.5%)</t>
  </si>
  <si>
    <t>769 (0.8%)</t>
  </si>
  <si>
    <t>7/15 Single Ticket On Sale Announcement</t>
  </si>
  <si>
    <t>35,285 (37.2%)</t>
  </si>
  <si>
    <t>1,708 (2%)</t>
  </si>
  <si>
    <t>7/8 Leslie Odom Jr. Promo</t>
  </si>
  <si>
    <t>35, 660 (37.6%)</t>
  </si>
  <si>
    <t>550 (0.6%)</t>
  </si>
  <si>
    <r>
      <rPr>
        <sz val="10"/>
        <color rgb="FF000000"/>
        <rFont val="Arial"/>
      </rPr>
      <t xml:space="preserve">Tuesday 7/1 </t>
    </r>
    <r>
      <rPr>
        <b/>
        <sz val="10"/>
        <color rgb="FF000000"/>
        <rFont val="Arial"/>
      </rPr>
      <t>Holiday Presentations On Sale</t>
    </r>
  </si>
  <si>
    <t>35039 (36.9%)</t>
  </si>
  <si>
    <t>822 (0.9%)</t>
  </si>
  <si>
    <t>Header: 64, Elf in Concert: 473, Handel's Messiah: 390, LOJ: 110, Christmas Festival: 144, Wonderful Life: 129</t>
  </si>
  <si>
    <r>
      <rPr>
        <sz val="10"/>
        <color rgb="FF000000"/>
        <rFont val="Arial"/>
      </rPr>
      <t xml:space="preserve">Tuesday 6/25 </t>
    </r>
    <r>
      <rPr>
        <b/>
        <sz val="10"/>
        <color rgb="FF000000"/>
        <rFont val="Arial"/>
      </rPr>
      <t>Special Presentations On Sale</t>
    </r>
  </si>
  <si>
    <t>35,617 (37%)</t>
  </si>
  <si>
    <t>1,469 (2%)</t>
  </si>
  <si>
    <t>Full lineup: 248, Morgan Freeman: 438, Chicken Fried: 456, Top Gun: 559, Lodger: 100, Indiana Jones: 204, Chris Thile: 134, Harry Potter: 139, Final Symphony: 74, Ben Rector: 108, On Stage George: 45, On Stage Leila: 53, On Stage Gil: 37, On Stage 38</t>
  </si>
  <si>
    <r>
      <rPr>
        <sz val="10"/>
        <color rgb="FF000000"/>
        <rFont val="Arial"/>
      </rPr>
      <t xml:space="preserve">Tuesday 6/17 </t>
    </r>
    <r>
      <rPr>
        <b/>
        <sz val="10"/>
        <color rgb="FF000000"/>
        <rFont val="Arial"/>
      </rPr>
      <t>Mark Your Calendar</t>
    </r>
  </si>
  <si>
    <t>37,343 (39%)</t>
  </si>
  <si>
    <t>1,999 (2%)</t>
  </si>
  <si>
    <r>
      <rPr>
        <sz val="10"/>
        <color rgb="FF000000"/>
        <rFont val="Arial"/>
      </rPr>
      <t xml:space="preserve">Monday 6/9 </t>
    </r>
    <r>
      <rPr>
        <b/>
        <sz val="10"/>
        <color rgb="FF000000"/>
        <rFont val="Arial"/>
      </rPr>
      <t>Mobile Music Box June Concert</t>
    </r>
  </si>
  <si>
    <t xml:space="preserve">
95,460</t>
  </si>
  <si>
    <t>36,052 (38%)</t>
  </si>
  <si>
    <t>594 (1%)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</si>
  <si>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Rush Promo</t>
    </r>
  </si>
  <si>
    <t>77 (44%)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</si>
  <si>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Student Pass Promo</t>
    </r>
  </si>
  <si>
    <t>38 (47%)</t>
  </si>
  <si>
    <r>
      <rPr>
        <sz val="10"/>
        <color rgb="FF000000"/>
        <rFont val="Arial"/>
      </rPr>
      <t xml:space="preserve">Wednesday 6/4 </t>
    </r>
    <r>
      <rPr>
        <b/>
        <sz val="10"/>
        <color rgb="FF000000"/>
        <rFont val="Arial"/>
      </rPr>
      <t>CS14 BOGO Promo</t>
    </r>
  </si>
  <si>
    <t>2,165 (44%)</t>
  </si>
  <si>
    <t>65 (1%)</t>
  </si>
  <si>
    <r>
      <rPr>
        <sz val="10"/>
        <color rgb="FF000000"/>
        <rFont val="Arial"/>
      </rPr>
      <t>Wednesday</t>
    </r>
    <r>
      <rPr>
        <b/>
        <sz val="10"/>
        <color rgb="FF000000"/>
        <rFont val="Arial"/>
      </rPr>
      <t xml:space="preserve"> </t>
    </r>
    <r>
      <rPr>
        <sz val="10"/>
        <color rgb="FF000000"/>
        <rFont val="Arial"/>
      </rPr>
      <t>6/4</t>
    </r>
    <r>
      <rPr>
        <b/>
        <sz val="10"/>
        <color rgb="FF000000"/>
        <rFont val="Arial"/>
      </rPr>
      <t xml:space="preserve"> Four Larks Subscriber Early Access</t>
    </r>
  </si>
  <si>
    <t>1,452 (66.5%)</t>
  </si>
  <si>
    <t>135 (6.2%)</t>
  </si>
  <si>
    <r>
      <rPr>
        <sz val="10"/>
        <color rgb="FF000000"/>
        <rFont val="Arial"/>
      </rPr>
      <t>Friday 6/6</t>
    </r>
    <r>
      <rPr>
        <b/>
        <sz val="10"/>
        <color rgb="FF000000"/>
        <rFont val="Arial"/>
      </rPr>
      <t xml:space="preserve"> Four Lark Public On-Sale</t>
    </r>
  </si>
  <si>
    <t>35,136 (36%)</t>
  </si>
  <si>
    <t>616 (0.6%)</t>
  </si>
  <si>
    <t>DATE</t>
  </si>
  <si>
    <t>Social Post</t>
  </si>
  <si>
    <t>Views</t>
  </si>
  <si>
    <t>Engagement</t>
  </si>
  <si>
    <t>CS2 Graphic FB</t>
  </si>
  <si>
    <t>1.6K reach</t>
  </si>
  <si>
    <t>13 interactions</t>
  </si>
  <si>
    <t>CS2 Graphic IG</t>
  </si>
  <si>
    <t>682 reach</t>
  </si>
  <si>
    <t>Orchestra Games Reel FB</t>
  </si>
  <si>
    <t>1.2K reach</t>
  </si>
  <si>
    <t>16 interactions</t>
  </si>
  <si>
    <t>Orchestra Games Reel IG</t>
  </si>
  <si>
    <t>707 reach</t>
  </si>
  <si>
    <t>31 interactions</t>
  </si>
  <si>
    <t>CS1 Graphic FB</t>
  </si>
  <si>
    <t>1.7K reach</t>
  </si>
  <si>
    <t>CS1 Graphic IG</t>
  </si>
  <si>
    <t>611 reach</t>
  </si>
  <si>
    <t>22 interactions</t>
  </si>
  <si>
    <t>Journey musician feature IG</t>
  </si>
  <si>
    <t>779 reach</t>
  </si>
  <si>
    <t>17 interactions</t>
  </si>
  <si>
    <t>Journey musician feature FB</t>
  </si>
  <si>
    <t>763 reach</t>
  </si>
  <si>
    <t>12 interactions</t>
  </si>
  <si>
    <t>90s Graphic FB</t>
  </si>
  <si>
    <t>1.5K reach</t>
  </si>
  <si>
    <t>7 interactions</t>
  </si>
  <si>
    <t>90s Graphic IG</t>
  </si>
  <si>
    <t>1.1K reach</t>
  </si>
  <si>
    <t>18 interactions</t>
  </si>
  <si>
    <t>CS1 Mike G reel FB</t>
  </si>
  <si>
    <t>2.7K reach</t>
  </si>
  <si>
    <t>60 interactions</t>
  </si>
  <si>
    <t>CS1 Mike G reel IG</t>
  </si>
  <si>
    <t>51 interactions</t>
  </si>
  <si>
    <t>La nuit sombre video recap FB</t>
  </si>
  <si>
    <t>1.4K reach</t>
  </si>
  <si>
    <t>28 interactions</t>
  </si>
  <si>
    <t>La nuit sombre video recap IG</t>
  </si>
  <si>
    <t>1K reach</t>
  </si>
  <si>
    <t>19 interactions</t>
  </si>
  <si>
    <t>Journey IG Giveaway</t>
  </si>
  <si>
    <t>2.8K reach</t>
  </si>
  <si>
    <t>122 interactions</t>
  </si>
  <si>
    <t>MF Recap FB</t>
  </si>
  <si>
    <t>1.9K reach</t>
  </si>
  <si>
    <t>40 interactions</t>
  </si>
  <si>
    <t>MF Recap IG</t>
  </si>
  <si>
    <t>65 interactions</t>
  </si>
  <si>
    <t>La nuit sombre recap photos FB</t>
  </si>
  <si>
    <t>2.2K reach</t>
  </si>
  <si>
    <t>36 interactions</t>
  </si>
  <si>
    <t>La nuit sombre recap photos IG</t>
  </si>
  <si>
    <t>3.5K reach</t>
  </si>
  <si>
    <t>127 interactions</t>
  </si>
  <si>
    <t>CS1 Matthias Video FB</t>
  </si>
  <si>
    <t>974 reach</t>
  </si>
  <si>
    <t>24 interactions</t>
  </si>
  <si>
    <t>CS1 Matthias Video IG</t>
  </si>
  <si>
    <t>950 reach</t>
  </si>
  <si>
    <t>34 interactions</t>
  </si>
  <si>
    <t>MF Performance Photos FB</t>
  </si>
  <si>
    <t>8.9K reach</t>
  </si>
  <si>
    <t>204 interactions</t>
  </si>
  <si>
    <t>MF Performance Photos IG</t>
  </si>
  <si>
    <t>149 interactions</t>
  </si>
  <si>
    <t>KC Star Matthias article reshare FB</t>
  </si>
  <si>
    <t>42 interactions</t>
  </si>
  <si>
    <t>Meta Ads</t>
  </si>
  <si>
    <t>9/12-9/25</t>
  </si>
  <si>
    <t>Top Gun Ad</t>
  </si>
  <si>
    <t>83,913 reach, 154,220 impressions</t>
  </si>
  <si>
    <t>3,352 link clicks</t>
  </si>
  <si>
    <t>9/18-10/2</t>
  </si>
  <si>
    <t>90s Mixtape Ad</t>
  </si>
  <si>
    <t>31,593 reach, 53,149 impressions</t>
  </si>
  <si>
    <t>718 link clicks</t>
  </si>
  <si>
    <t>9/4 -  9/18</t>
  </si>
  <si>
    <t>CS1 Video Ad</t>
  </si>
  <si>
    <t>33,438 reach, 63,806 impressions</t>
  </si>
  <si>
    <t>2,410 link clicks</t>
  </si>
  <si>
    <t>Chicken Fried Rock FB Reel</t>
  </si>
  <si>
    <t>13 interactions, 2 shares</t>
  </si>
  <si>
    <t>Chicken Fried Rock IG Reel</t>
  </si>
  <si>
    <t>42 interactions, 3 shares</t>
  </si>
  <si>
    <t>ProAm post FB</t>
  </si>
  <si>
    <t>3.7K reach</t>
  </si>
  <si>
    <t>24 interactions, 13 shares</t>
  </si>
  <si>
    <t>ProAm post IG</t>
  </si>
  <si>
    <t>1.3K reach</t>
  </si>
  <si>
    <t>35 interactions, 6 shares</t>
  </si>
  <si>
    <t>MMB FB Reel</t>
  </si>
  <si>
    <t>MMB IG Reel</t>
  </si>
  <si>
    <t>32 interactions</t>
  </si>
  <si>
    <t>New musician welcome FB</t>
  </si>
  <si>
    <t>14.9K reach</t>
  </si>
  <si>
    <t>223 interactions, 26 comments, 10 shares</t>
  </si>
  <si>
    <t>New musician welcome IG</t>
  </si>
  <si>
    <t>9.1K reach</t>
  </si>
  <si>
    <t>515 interactions, 7 comments, 64 shares</t>
  </si>
  <si>
    <t>Chicken Fried IG</t>
  </si>
  <si>
    <t>11 interactions</t>
  </si>
  <si>
    <t>Chicken Fried FB</t>
  </si>
  <si>
    <t>15 interactions, 6 link clicks</t>
  </si>
  <si>
    <t>Journey Reel IG</t>
  </si>
  <si>
    <t>Journey Reel FB</t>
  </si>
  <si>
    <t>KC Blues Society Video IG</t>
  </si>
  <si>
    <t>KC Blues Society Video FB</t>
  </si>
  <si>
    <t>19 interactions, 61 link clicks</t>
  </si>
  <si>
    <t>CS1 Nora Video IG</t>
  </si>
  <si>
    <t>CS1 Nora Video FB</t>
  </si>
  <si>
    <t>Orchestra Games IG</t>
  </si>
  <si>
    <t>54 interactions</t>
  </si>
  <si>
    <t>Orchestra Games FB</t>
  </si>
  <si>
    <t>15 interactions, 2 link clicks</t>
  </si>
  <si>
    <t>Morgan Freeman interview reshare FB</t>
  </si>
  <si>
    <t>52 interactions, 53 link clicks</t>
  </si>
  <si>
    <t>Nora Intro IG</t>
  </si>
  <si>
    <t>Nora Intro FB</t>
  </si>
  <si>
    <t>Journey Graphic IG</t>
  </si>
  <si>
    <t>29 interactions</t>
  </si>
  <si>
    <t>Journey Graphic FB</t>
  </si>
  <si>
    <t>28 interactions, 22 link clicks</t>
  </si>
  <si>
    <t>La Nuit Sombre video IG Reel</t>
  </si>
  <si>
    <t>46 interactions</t>
  </si>
  <si>
    <t>La Nuit Sombre video FB Reel</t>
  </si>
  <si>
    <t>14 interactions</t>
  </si>
  <si>
    <t xml:space="preserve">La Nuit Sombre Price Increase FB </t>
  </si>
  <si>
    <t>19 interactions, 9 link clicks</t>
  </si>
  <si>
    <t>La Nuit Sombre Price Increase IG</t>
  </si>
  <si>
    <t>19 interactions, 11 link clicks</t>
  </si>
  <si>
    <t xml:space="preserve"> Music is for Everyone FB Reel</t>
  </si>
  <si>
    <t xml:space="preserve"> Music is for Everyone IG Reel</t>
  </si>
  <si>
    <t xml:space="preserve"> Music is for Everyone TikTok</t>
  </si>
  <si>
    <t>Are you single? FB Reel</t>
  </si>
  <si>
    <t>Are you single? IG Reel</t>
  </si>
  <si>
    <t>170 interactions</t>
  </si>
  <si>
    <t xml:space="preserve">Are you single? TikTok </t>
  </si>
  <si>
    <t>45 interactions</t>
  </si>
  <si>
    <t>Are you single? YT</t>
  </si>
  <si>
    <t>Single Tickets Graphic FB</t>
  </si>
  <si>
    <t>26 interactions</t>
  </si>
  <si>
    <t>Single Tickets Graphic IG</t>
  </si>
  <si>
    <t>53 interactions</t>
  </si>
  <si>
    <t>Sara Lohe announcement FB</t>
  </si>
  <si>
    <t>123 interactions</t>
  </si>
  <si>
    <t>Musician single ticket FB Reel</t>
  </si>
  <si>
    <t>Musician single ticket IG Reel</t>
  </si>
  <si>
    <t>37 interactions</t>
  </si>
  <si>
    <t>Musician single ticket TikTok</t>
  </si>
  <si>
    <t>Musician single ticket YT</t>
  </si>
  <si>
    <t>1 interaction</t>
  </si>
  <si>
    <t>Music is for Everyone FB Reel</t>
  </si>
  <si>
    <t>23 interactions</t>
  </si>
  <si>
    <t>Music is for Everyone IG Reel</t>
  </si>
  <si>
    <t>47 interactions</t>
  </si>
  <si>
    <t>Music is for Everyone TikTok</t>
  </si>
  <si>
    <t>Music is for Everyone YT</t>
  </si>
  <si>
    <t>Specials/Films ad</t>
  </si>
  <si>
    <t>1k impressions</t>
  </si>
  <si>
    <t xml:space="preserve">18 clicks </t>
  </si>
  <si>
    <t>Morgan Freeman video</t>
  </si>
  <si>
    <t>22k impressions</t>
  </si>
  <si>
    <t>1234 link clicks</t>
  </si>
  <si>
    <t>Holiday concerts ad</t>
  </si>
  <si>
    <t>68k impressions</t>
  </si>
  <si>
    <t>1011 link clicks</t>
  </si>
  <si>
    <t>Timeframe: August 11-18</t>
  </si>
  <si>
    <t>ECOMMERCE PURCHASES: 877</t>
  </si>
  <si>
    <t>WEBSITE REVENUE: $74,429</t>
  </si>
  <si>
    <t># OF ITEMS</t>
  </si>
  <si>
    <t>Morgan Freeman</t>
  </si>
  <si>
    <t>Music of Journey</t>
  </si>
  <si>
    <t>Top Gun</t>
  </si>
  <si>
    <t>Leslie Odom Jr.</t>
  </si>
  <si>
    <t>Indiana Jones</t>
  </si>
  <si>
    <t>Harry Potter</t>
  </si>
  <si>
    <t>It's a wonderful life</t>
  </si>
  <si>
    <t>Timeframe: July 20-July 28</t>
  </si>
  <si>
    <t>ECOMMERCE PURCHASES: 973</t>
  </si>
  <si>
    <t>WEBSITE REVENUE: $67,220</t>
  </si>
  <si>
    <t>2025/26 COY Package</t>
  </si>
  <si>
    <t>La nuit sombre</t>
  </si>
  <si>
    <t>Harry Potter 2</t>
  </si>
  <si>
    <t>ECOMMERCE PURCHASES: 1,718</t>
  </si>
  <si>
    <t>WEBSITE REVENUE: $115,644</t>
  </si>
  <si>
    <t>2025/26 Sunday Masterworks</t>
  </si>
  <si>
    <t>Timeframe: July 14-July 20</t>
  </si>
  <si>
    <t>ECOMMERCE PURCHASES: 3,027</t>
  </si>
  <si>
    <t>WEBSITE REVENUE: $188,688</t>
  </si>
  <si>
    <t>Billy Joel + Elton John</t>
  </si>
  <si>
    <t>Elf</t>
  </si>
  <si>
    <t>Traffic Acquistion</t>
  </si>
  <si>
    <t>SOURCE</t>
  </si>
  <si>
    <t>SESSIONS</t>
  </si>
  <si>
    <t>Organic Search</t>
  </si>
  <si>
    <t>Direct</t>
  </si>
  <si>
    <t>Paid Social</t>
  </si>
  <si>
    <t>Referral</t>
  </si>
  <si>
    <t>Organic Social</t>
  </si>
  <si>
    <t>MF Location</t>
  </si>
  <si>
    <t>MF Staff Member</t>
  </si>
  <si>
    <t>Date Posted</t>
  </si>
  <si>
    <t>CF Location</t>
  </si>
  <si>
    <t>CF Staff Member</t>
  </si>
  <si>
    <t>Fam Location</t>
  </si>
  <si>
    <t>Fam Staff Member</t>
  </si>
  <si>
    <t>Mildreds (NO CORKBOARD)</t>
  </si>
  <si>
    <t>Pizza Shuttle</t>
  </si>
  <si>
    <t>Stephen, Sarah and Adeca</t>
  </si>
  <si>
    <t>The Bauer Gallery</t>
  </si>
  <si>
    <t>Bizz and Weezy's</t>
  </si>
  <si>
    <t>The Sewing Labs</t>
  </si>
  <si>
    <t>Sarah</t>
  </si>
  <si>
    <t>Filling Station - Midtown</t>
  </si>
  <si>
    <t>Hannah</t>
  </si>
  <si>
    <t>Good Karma Coffee Shop</t>
  </si>
  <si>
    <t>Revised 9.17.25</t>
  </si>
  <si>
    <t>TICKET SALES REPORT as of 9/17/2025</t>
  </si>
  <si>
    <t>SINGLE TICKETS</t>
  </si>
  <si>
    <t>SUBSCRIPTION TICKETS</t>
  </si>
  <si>
    <t>SERIES</t>
  </si>
  <si>
    <t>DATE(S)</t>
  </si>
  <si>
    <t>ACTUAL</t>
  </si>
  <si>
    <t xml:space="preserve">VS. BUDGET </t>
  </si>
  <si>
    <t># SOLD</t>
  </si>
  <si>
    <t xml:space="preserve"> BUDGET </t>
  </si>
  <si>
    <t xml:space="preserve"> ACTUAL </t>
  </si>
  <si>
    <t>CAP</t>
  </si>
  <si>
    <t>CAP SOLD</t>
  </si>
  <si>
    <t>ATP</t>
  </si>
  <si>
    <t>CLASSICAL TRADITIONAL</t>
  </si>
  <si>
    <t xml:space="preserve">CS1 </t>
  </si>
  <si>
    <t>Appalachian Spring</t>
  </si>
  <si>
    <t>Oct 10-12</t>
  </si>
  <si>
    <t xml:space="preserve">CS2 </t>
  </si>
  <si>
    <t>Rachmaninoff Cele Pt 1 (SP)</t>
  </si>
  <si>
    <t>Oct 31-Nov 2</t>
  </si>
  <si>
    <t xml:space="preserve">CS3 </t>
  </si>
  <si>
    <t>Matthias and Mahler (SP)</t>
  </si>
  <si>
    <t>Nov 21-23</t>
  </si>
  <si>
    <t>CS4</t>
  </si>
  <si>
    <t>Brahms' Fourth Symphony</t>
  </si>
  <si>
    <t>Jan 9-11</t>
  </si>
  <si>
    <t>CS5</t>
  </si>
  <si>
    <t>Pines of Rome &amp; Bruch (SP)</t>
  </si>
  <si>
    <t>Jan 16-18</t>
  </si>
  <si>
    <t>CS6</t>
  </si>
  <si>
    <t>Beethoven+ (SP)</t>
  </si>
  <si>
    <t>Jan 30-Feb 1</t>
  </si>
  <si>
    <t xml:space="preserve">CS7 </t>
  </si>
  <si>
    <t>Prokofiev's Fifth Symphony</t>
  </si>
  <si>
    <t>Feb 6-8</t>
  </si>
  <si>
    <t xml:space="preserve">CS8 </t>
  </si>
  <si>
    <t>Saint-Saëns &amp; Strauss</t>
  </si>
  <si>
    <t>Mar 13-15</t>
  </si>
  <si>
    <t>CS9</t>
  </si>
  <si>
    <t>Midsummer Night's Dream (SP)</t>
  </si>
  <si>
    <t>Apr 10-12</t>
  </si>
  <si>
    <t xml:space="preserve">CS10 </t>
  </si>
  <si>
    <t>Farrenc/Dvorak/Schuman</t>
  </si>
  <si>
    <t>Apr 17-19</t>
  </si>
  <si>
    <t>CS11</t>
  </si>
  <si>
    <t>Grieg's Piano Concerto (SP)</t>
  </si>
  <si>
    <t>May 8-10</t>
  </si>
  <si>
    <t>CS12</t>
  </si>
  <si>
    <t>Gil Shaham Plays Brahm's 4th</t>
  </si>
  <si>
    <t>May 29-31</t>
  </si>
  <si>
    <t xml:space="preserve">CS13 </t>
  </si>
  <si>
    <t>Rachmaninoff Cele Pt 2</t>
  </si>
  <si>
    <t>Jun 5-7</t>
  </si>
  <si>
    <t>CS14</t>
  </si>
  <si>
    <t>Rhapsody in Blue (SP)</t>
  </si>
  <si>
    <t>Jun 19-21</t>
  </si>
  <si>
    <t>SYMPHONIC PIAZZA</t>
  </si>
  <si>
    <t>Piazza CS2</t>
  </si>
  <si>
    <t>Oct 31</t>
  </si>
  <si>
    <t>Piazza CS3</t>
  </si>
  <si>
    <t>Nov 21</t>
  </si>
  <si>
    <t>Piazza CS5</t>
  </si>
  <si>
    <t>Jan 16</t>
  </si>
  <si>
    <t>Piazza CS6</t>
  </si>
  <si>
    <t>Jan 30</t>
  </si>
  <si>
    <t>Piazza CS9</t>
  </si>
  <si>
    <t>Apr 10</t>
  </si>
  <si>
    <t>Piazza CS11</t>
  </si>
  <si>
    <t>May 8</t>
  </si>
  <si>
    <t>Piazza CS14</t>
  </si>
  <si>
    <t>Jun 19</t>
  </si>
  <si>
    <t>PS1</t>
  </si>
  <si>
    <t>Sep 19-21</t>
  </si>
  <si>
    <t>PS2</t>
  </si>
  <si>
    <t>90s Mixtape</t>
  </si>
  <si>
    <t>Oct 24-26</t>
  </si>
  <si>
    <t>PS3</t>
  </si>
  <si>
    <t>She's Got Soul</t>
  </si>
  <si>
    <t>Feb 13-15</t>
  </si>
  <si>
    <t>PS4</t>
  </si>
  <si>
    <t>Billy Joel &amp; Elton John</t>
  </si>
  <si>
    <t>Mar 27-29</t>
  </si>
  <si>
    <t>PS5</t>
  </si>
  <si>
    <t>Dolly Parton's Threads</t>
  </si>
  <si>
    <t>May 15-17</t>
  </si>
  <si>
    <t xml:space="preserve">FAMILY </t>
  </si>
  <si>
    <t>FS1</t>
  </si>
  <si>
    <t>The Orchestra Games</t>
  </si>
  <si>
    <t>Sep 28</t>
  </si>
  <si>
    <t>FS2</t>
  </si>
  <si>
    <t>Carnival of the Animals</t>
  </si>
  <si>
    <t>Nov 9</t>
  </si>
  <si>
    <t>Dec 18-21</t>
  </si>
  <si>
    <t>FS3</t>
  </si>
  <si>
    <t>Philharmonia Fantastique</t>
  </si>
  <si>
    <t>Mar 1</t>
  </si>
  <si>
    <t>Top Gun: Maverick in Concert</t>
  </si>
  <si>
    <t>Oct 17-19</t>
  </si>
  <si>
    <t xml:space="preserve"> $              -  </t>
  </si>
  <si>
    <t xml:space="preserve">          -  </t>
  </si>
  <si>
    <t>The Lodger</t>
  </si>
  <si>
    <t>Oct 22</t>
  </si>
  <si>
    <t>Elf™ in Concert</t>
  </si>
  <si>
    <t>Nov 28-30</t>
  </si>
  <si>
    <t>It's a Wonderful Life</t>
  </si>
  <si>
    <t>Dec 23-24</t>
  </si>
  <si>
    <t>Indiana Jones: Raiders Lost</t>
  </si>
  <si>
    <t>Jan 22-25</t>
  </si>
  <si>
    <t>Harry Potter 2: Chamber</t>
  </si>
  <si>
    <t>Feb 19-22</t>
  </si>
  <si>
    <t>George Li</t>
  </si>
  <si>
    <t>Oct 29</t>
  </si>
  <si>
    <t>Leila Josefowicz</t>
  </si>
  <si>
    <t>Feb 5</t>
  </si>
  <si>
    <t>Gil Shaham</t>
  </si>
  <si>
    <t>May 28</t>
  </si>
  <si>
    <t>Yefim Bronfman</t>
  </si>
  <si>
    <t>Jun 4</t>
  </si>
  <si>
    <t>OTHER CONCERTS</t>
  </si>
  <si>
    <t>Morgan Freeman Symphonic Blues</t>
  </si>
  <si>
    <t>Sep 2-3</t>
  </si>
  <si>
    <t>La Nuit Sombre (Four Larks)</t>
  </si>
  <si>
    <t>Sep 5</t>
  </si>
  <si>
    <t>Dec 5-7</t>
  </si>
  <si>
    <t>Leslie Odom Jr.: Christmas</t>
  </si>
  <si>
    <t>Dec 12-13</t>
  </si>
  <si>
    <t>Chris Thile</t>
  </si>
  <si>
    <t>Feb 12</t>
  </si>
  <si>
    <t>Mar 25-26</t>
  </si>
  <si>
    <t>May 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</si>
</sst>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&quot;$&quot;* #,##0_);_(&quot;$&quot;* \(#,##0\);_(&quot;$&quot;* &quot;-&quot;?_);_(@_)"/>
    <numFmt numFmtId="167" formatCode="0.0%"/>
    <numFmt numFmtId="168" formatCode="_([$$-409]* #,##0_);_([$$-409]* \(#,##0\);_([$$-409]* &quot;-&quot;??_);_(@_)"/>
    <numFmt numFmtId="169" formatCode="_(&quot;$&quot;* #,##0.0_);_(&quot;$&quot;* \(#,##0.0\);_(&quot;$&quot;* &quot;-&quot;?_);_(@_)"/>
    <numFmt numFmtId="170" formatCode="&quot;$&quot;#,##0.00"/>
  </numFmts>
  <fonts count="55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</font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TT Norms Pro"/>
      <family val="2"/>
    </font>
    <font>
      <sz val="12"/>
      <name val="Aptos"/>
      <charset val="1"/>
    </font>
    <font>
      <b/>
      <sz val="11"/>
      <color theme="1"/>
      <name val="Aptos Narrow"/>
      <family val="2"/>
      <scheme val="minor"/>
    </font>
    <font>
      <sz val="10"/>
      <name val="Arial Narrow"/>
    </font>
    <font>
      <sz val="10"/>
      <color theme="1"/>
      <name val="Arial Narrow"/>
    </font>
    <font>
      <sz val="12"/>
      <name val="Arial Narrow"/>
      <family val="2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 Narrow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TT Norms Pro"/>
    </font>
    <font>
      <sz val="11"/>
      <color rgb="FF000000"/>
      <name val="Aptos Display"/>
      <scheme val="major"/>
    </font>
    <font>
      <b/>
      <u/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  <font>
      <sz val="11"/>
      <color rgb="FF202124"/>
      <name val="Roboto"/>
      <charset val="1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trike/>
      <sz val="11"/>
      <color rgb="FFFF0000"/>
      <name val="TT Norms Pro"/>
      <family val="2"/>
    </font>
    <font>
      <sz val="11"/>
      <color rgb="FFFF0000"/>
      <name val="TT Norms Pro"/>
      <family val="2"/>
    </font>
    <font>
      <sz val="11"/>
      <color rgb="FF000000"/>
      <name val="Verdana"/>
      <family val="2"/>
    </font>
    <font>
      <b/>
      <sz val="11"/>
      <color rgb="FF007BB3"/>
      <name val="Verdana"/>
      <family val="2"/>
    </font>
    <font>
      <sz val="11"/>
      <color theme="9"/>
      <name val="Verdana"/>
      <family val="2"/>
    </font>
    <font>
      <sz val="11"/>
      <name val="Verdana"/>
      <family val="2"/>
    </font>
    <font>
      <b/>
      <i/>
      <sz val="11"/>
      <color rgb="FF007BB3"/>
      <name val="Verdana"/>
      <family val="2"/>
    </font>
    <font>
      <sz val="11"/>
      <color rgb="FFFFC000"/>
      <name val="Verdana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000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E2C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49E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3E28E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FFCB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53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3" fillId="3" borderId="0" xfId="0" applyFont="1" applyFill="1"/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4" borderId="0" xfId="0" applyFont="1" applyFill="1"/>
    <xf numFmtId="0" fontId="9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13" fillId="0" borderId="16" xfId="0" applyFont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9" fontId="1" fillId="0" borderId="0" xfId="3" applyFont="1" applyFill="1" applyBorder="1"/>
    <xf numFmtId="165" fontId="1" fillId="0" borderId="0" xfId="2" applyNumberFormat="1" applyFont="1" applyFill="1" applyBorder="1" applyAlignment="1">
      <alignment horizontal="center"/>
    </xf>
    <xf numFmtId="164" fontId="1" fillId="0" borderId="7" xfId="1" applyNumberFormat="1" applyFont="1" applyFill="1" applyBorder="1"/>
    <xf numFmtId="9" fontId="1" fillId="0" borderId="7" xfId="3" applyFont="1" applyFill="1" applyBorder="1"/>
    <xf numFmtId="165" fontId="1" fillId="0" borderId="7" xfId="2" applyNumberFormat="1" applyFont="1" applyFill="1" applyBorder="1" applyAlignment="1">
      <alignment horizontal="right"/>
    </xf>
    <xf numFmtId="165" fontId="1" fillId="0" borderId="7" xfId="2" applyNumberFormat="1" applyFont="1" applyFill="1" applyBorder="1" applyAlignment="1">
      <alignment horizontal="center"/>
    </xf>
    <xf numFmtId="164" fontId="1" fillId="0" borderId="1" xfId="1" applyNumberFormat="1" applyFont="1" applyFill="1" applyBorder="1"/>
    <xf numFmtId="164" fontId="1" fillId="0" borderId="0" xfId="1" applyNumberFormat="1" applyFont="1" applyFill="1" applyBorder="1"/>
    <xf numFmtId="165" fontId="1" fillId="0" borderId="0" xfId="2" applyNumberFormat="1" applyFont="1" applyFill="1" applyBorder="1" applyAlignment="1">
      <alignment horizontal="right"/>
    </xf>
    <xf numFmtId="0" fontId="2" fillId="10" borderId="8" xfId="0" applyFont="1" applyFill="1" applyBorder="1"/>
    <xf numFmtId="0" fontId="1" fillId="10" borderId="9" xfId="0" applyFont="1" applyFill="1" applyBorder="1"/>
    <xf numFmtId="164" fontId="2" fillId="11" borderId="10" xfId="1" applyNumberFormat="1" applyFont="1" applyFill="1" applyBorder="1" applyAlignment="1">
      <alignment horizontal="center"/>
    </xf>
    <xf numFmtId="164" fontId="2" fillId="11" borderId="9" xfId="1" applyNumberFormat="1" applyFont="1" applyFill="1" applyBorder="1" applyAlignment="1">
      <alignment horizontal="center"/>
    </xf>
    <xf numFmtId="165" fontId="2" fillId="11" borderId="9" xfId="2" applyNumberFormat="1" applyFont="1" applyFill="1" applyBorder="1" applyAlignment="1">
      <alignment horizontal="center"/>
    </xf>
    <xf numFmtId="165" fontId="2" fillId="11" borderId="10" xfId="2" applyNumberFormat="1" applyFont="1" applyFill="1" applyBorder="1" applyAlignment="1">
      <alignment horizontal="center"/>
    </xf>
    <xf numFmtId="9" fontId="2" fillId="11" borderId="9" xfId="3" applyFont="1" applyFill="1" applyBorder="1" applyAlignment="1">
      <alignment horizontal="center"/>
    </xf>
    <xf numFmtId="165" fontId="2" fillId="11" borderId="9" xfId="2" applyNumberFormat="1" applyFont="1" applyFill="1" applyBorder="1"/>
    <xf numFmtId="1" fontId="2" fillId="11" borderId="10" xfId="1" applyNumberFormat="1" applyFont="1" applyFill="1" applyBorder="1" applyAlignment="1">
      <alignment horizontal="right"/>
    </xf>
    <xf numFmtId="1" fontId="2" fillId="11" borderId="9" xfId="1" applyNumberFormat="1" applyFont="1" applyFill="1" applyBorder="1" applyAlignment="1">
      <alignment horizontal="right"/>
    </xf>
    <xf numFmtId="1" fontId="2" fillId="11" borderId="11" xfId="1" applyNumberFormat="1" applyFont="1" applyFill="1" applyBorder="1" applyAlignment="1">
      <alignment horizontal="right"/>
    </xf>
    <xf numFmtId="165" fontId="2" fillId="11" borderId="12" xfId="2" applyNumberFormat="1" applyFont="1" applyFill="1" applyBorder="1"/>
    <xf numFmtId="165" fontId="2" fillId="11" borderId="9" xfId="2" applyNumberFormat="1" applyFont="1" applyFill="1" applyBorder="1" applyAlignment="1">
      <alignment horizontal="right"/>
    </xf>
    <xf numFmtId="9" fontId="2" fillId="11" borderId="12" xfId="3" applyFont="1" applyFill="1" applyBorder="1" applyAlignment="1">
      <alignment horizontal="center"/>
    </xf>
    <xf numFmtId="0" fontId="2" fillId="10" borderId="12" xfId="0" applyFont="1" applyFill="1" applyBorder="1"/>
    <xf numFmtId="0" fontId="1" fillId="10" borderId="12" xfId="0" applyFont="1" applyFill="1" applyBorder="1"/>
    <xf numFmtId="165" fontId="2" fillId="11" borderId="12" xfId="2" applyNumberFormat="1" applyFont="1" applyFill="1" applyBorder="1" applyAlignment="1">
      <alignment horizontal="right"/>
    </xf>
    <xf numFmtId="165" fontId="2" fillId="11" borderId="6" xfId="2" applyNumberFormat="1" applyFont="1" applyFill="1" applyBorder="1" applyAlignment="1">
      <alignment horizontal="center"/>
    </xf>
    <xf numFmtId="1" fontId="2" fillId="11" borderId="6" xfId="1" applyNumberFormat="1" applyFont="1" applyFill="1" applyBorder="1" applyAlignment="1">
      <alignment horizontal="right"/>
    </xf>
    <xf numFmtId="1" fontId="2" fillId="11" borderId="12" xfId="1" applyNumberFormat="1" applyFont="1" applyFill="1" applyBorder="1" applyAlignment="1">
      <alignment horizontal="right"/>
    </xf>
    <xf numFmtId="1" fontId="2" fillId="11" borderId="13" xfId="1" applyNumberFormat="1" applyFont="1" applyFill="1" applyBorder="1" applyAlignment="1">
      <alignment horizontal="right"/>
    </xf>
    <xf numFmtId="165" fontId="2" fillId="11" borderId="12" xfId="2" applyNumberFormat="1" applyFont="1" applyFill="1" applyBorder="1" applyAlignment="1">
      <alignment horizontal="center"/>
    </xf>
    <xf numFmtId="0" fontId="2" fillId="10" borderId="9" xfId="0" applyFont="1" applyFill="1" applyBorder="1"/>
    <xf numFmtId="1" fontId="2" fillId="11" borderId="14" xfId="1" applyNumberFormat="1" applyFont="1" applyFill="1" applyBorder="1" applyAlignment="1">
      <alignment horizontal="right"/>
    </xf>
    <xf numFmtId="0" fontId="17" fillId="0" borderId="0" xfId="0" applyFont="1"/>
    <xf numFmtId="0" fontId="18" fillId="12" borderId="8" xfId="0" applyFont="1" applyFill="1" applyBorder="1"/>
    <xf numFmtId="0" fontId="18" fillId="12" borderId="9" xfId="0" applyFont="1" applyFill="1" applyBorder="1"/>
    <xf numFmtId="164" fontId="18" fillId="12" borderId="10" xfId="1" applyNumberFormat="1" applyFont="1" applyFill="1" applyBorder="1"/>
    <xf numFmtId="165" fontId="18" fillId="12" borderId="10" xfId="2" applyNumberFormat="1" applyFont="1" applyFill="1" applyBorder="1"/>
    <xf numFmtId="165" fontId="18" fillId="12" borderId="10" xfId="2" applyNumberFormat="1" applyFont="1" applyFill="1" applyBorder="1" applyAlignment="1">
      <alignment horizontal="center"/>
    </xf>
    <xf numFmtId="165" fontId="18" fillId="12" borderId="9" xfId="2" applyNumberFormat="1" applyFont="1" applyFill="1" applyBorder="1" applyAlignment="1">
      <alignment horizontal="right"/>
    </xf>
    <xf numFmtId="3" fontId="18" fillId="12" borderId="10" xfId="1" applyNumberFormat="1" applyFont="1" applyFill="1" applyBorder="1" applyAlignment="1">
      <alignment horizontal="center"/>
    </xf>
    <xf numFmtId="9" fontId="18" fillId="12" borderId="9" xfId="3" applyFont="1" applyFill="1" applyBorder="1" applyAlignment="1">
      <alignment horizontal="center"/>
    </xf>
    <xf numFmtId="165" fontId="18" fillId="12" borderId="9" xfId="2" applyNumberFormat="1" applyFont="1" applyFill="1" applyBorder="1"/>
    <xf numFmtId="1" fontId="18" fillId="12" borderId="10" xfId="1" applyNumberFormat="1" applyFont="1" applyFill="1" applyBorder="1" applyAlignment="1">
      <alignment horizontal="right"/>
    </xf>
    <xf numFmtId="1" fontId="18" fillId="12" borderId="9" xfId="1" applyNumberFormat="1" applyFont="1" applyFill="1" applyBorder="1" applyAlignment="1">
      <alignment horizontal="right"/>
    </xf>
    <xf numFmtId="1" fontId="18" fillId="12" borderId="14" xfId="1" applyNumberFormat="1" applyFont="1" applyFill="1" applyBorder="1" applyAlignment="1">
      <alignment horizontal="right"/>
    </xf>
    <xf numFmtId="165" fontId="1" fillId="0" borderId="1" xfId="0" applyNumberFormat="1" applyFont="1" applyBorder="1"/>
    <xf numFmtId="164" fontId="1" fillId="0" borderId="0" xfId="0" applyNumberFormat="1" applyFont="1"/>
    <xf numFmtId="9" fontId="1" fillId="0" borderId="0" xfId="3" applyFont="1" applyBorder="1"/>
    <xf numFmtId="166" fontId="1" fillId="0" borderId="0" xfId="0" applyNumberFormat="1" applyFont="1"/>
    <xf numFmtId="165" fontId="1" fillId="0" borderId="0" xfId="0" applyNumberFormat="1" applyFont="1"/>
    <xf numFmtId="167" fontId="13" fillId="0" borderId="0" xfId="0" applyNumberFormat="1" applyFont="1"/>
    <xf numFmtId="0" fontId="19" fillId="0" borderId="0" xfId="4"/>
    <xf numFmtId="0" fontId="19" fillId="9" borderId="0" xfId="4" applyFill="1"/>
    <xf numFmtId="9" fontId="19" fillId="8" borderId="0" xfId="4" applyNumberFormat="1" applyFill="1"/>
    <xf numFmtId="0" fontId="19" fillId="8" borderId="0" xfId="4" applyFill="1"/>
    <xf numFmtId="0" fontId="19" fillId="13" borderId="0" xfId="4" applyFill="1"/>
    <xf numFmtId="9" fontId="19" fillId="14" borderId="0" xfId="4" applyNumberFormat="1" applyFill="1"/>
    <xf numFmtId="0" fontId="19" fillId="14" borderId="0" xfId="4" applyFill="1"/>
    <xf numFmtId="0" fontId="19" fillId="15" borderId="0" xfId="4" applyFill="1"/>
    <xf numFmtId="9" fontId="19" fillId="0" borderId="0" xfId="4" applyNumberFormat="1"/>
    <xf numFmtId="164" fontId="19" fillId="0" borderId="0" xfId="4" applyNumberFormat="1"/>
    <xf numFmtId="168" fontId="19" fillId="0" borderId="0" xfId="4" applyNumberFormat="1"/>
    <xf numFmtId="165" fontId="19" fillId="0" borderId="0" xfId="4" applyNumberFormat="1"/>
    <xf numFmtId="0" fontId="19" fillId="0" borderId="16" xfId="4" applyBorder="1" applyAlignment="1">
      <alignment horizontal="center"/>
    </xf>
    <xf numFmtId="0" fontId="21" fillId="0" borderId="0" xfId="4" applyFont="1"/>
    <xf numFmtId="0" fontId="19" fillId="0" borderId="15" xfId="4" applyBorder="1"/>
    <xf numFmtId="164" fontId="19" fillId="0" borderId="15" xfId="4" applyNumberFormat="1" applyBorder="1"/>
    <xf numFmtId="165" fontId="19" fillId="0" borderId="15" xfId="4" applyNumberFormat="1" applyBorder="1"/>
    <xf numFmtId="0" fontId="21" fillId="0" borderId="15" xfId="4" applyFont="1" applyBorder="1"/>
    <xf numFmtId="164" fontId="0" fillId="0" borderId="15" xfId="5" applyNumberFormat="1" applyFont="1" applyBorder="1"/>
    <xf numFmtId="168" fontId="0" fillId="0" borderId="15" xfId="5" applyNumberFormat="1" applyFont="1" applyBorder="1"/>
    <xf numFmtId="165" fontId="21" fillId="0" borderId="15" xfId="4" applyNumberFormat="1" applyFont="1" applyBorder="1"/>
    <xf numFmtId="14" fontId="19" fillId="0" borderId="0" xfId="4" applyNumberFormat="1"/>
    <xf numFmtId="164" fontId="0" fillId="9" borderId="0" xfId="5" applyNumberFormat="1" applyFont="1" applyFill="1"/>
    <xf numFmtId="164" fontId="13" fillId="0" borderId="0" xfId="1" applyNumberFormat="1" applyFont="1" applyFill="1" applyBorder="1"/>
    <xf numFmtId="168" fontId="0" fillId="9" borderId="0" xfId="6" applyNumberFormat="1" applyFont="1" applyFill="1"/>
    <xf numFmtId="164" fontId="0" fillId="0" borderId="0" xfId="5" applyNumberFormat="1" applyFont="1"/>
    <xf numFmtId="165" fontId="0" fillId="0" borderId="0" xfId="6" applyNumberFormat="1" applyFont="1"/>
    <xf numFmtId="165" fontId="21" fillId="0" borderId="0" xfId="6" applyNumberFormat="1" applyFont="1"/>
    <xf numFmtId="169" fontId="19" fillId="0" borderId="0" xfId="4" applyNumberFormat="1"/>
    <xf numFmtId="164" fontId="0" fillId="8" borderId="0" xfId="5" applyNumberFormat="1" applyFont="1" applyFill="1"/>
    <xf numFmtId="164" fontId="0" fillId="0" borderId="0" xfId="5" applyNumberFormat="1" applyFont="1" applyFill="1"/>
    <xf numFmtId="165" fontId="0" fillId="0" borderId="0" xfId="6" applyNumberFormat="1" applyFont="1" applyFill="1"/>
    <xf numFmtId="168" fontId="19" fillId="9" borderId="0" xfId="4" applyNumberFormat="1" applyFill="1"/>
    <xf numFmtId="164" fontId="19" fillId="9" borderId="0" xfId="4" applyNumberFormat="1" applyFill="1"/>
    <xf numFmtId="164" fontId="0" fillId="14" borderId="0" xfId="5" applyNumberFormat="1" applyFont="1" applyFill="1"/>
    <xf numFmtId="0" fontId="19" fillId="0" borderId="0" xfId="4" applyAlignment="1">
      <alignment horizontal="right"/>
    </xf>
    <xf numFmtId="14" fontId="19" fillId="0" borderId="0" xfId="4" applyNumberFormat="1" applyAlignment="1">
      <alignment horizontal="right"/>
    </xf>
    <xf numFmtId="9" fontId="0" fillId="0" borderId="0" xfId="7" applyFont="1"/>
    <xf numFmtId="165" fontId="0" fillId="0" borderId="0" xfId="6" applyNumberFormat="1" applyFont="1" applyBorder="1"/>
    <xf numFmtId="164" fontId="0" fillId="0" borderId="0" xfId="5" applyNumberFormat="1" applyFont="1" applyBorder="1"/>
    <xf numFmtId="165" fontId="19" fillId="0" borderId="0" xfId="2" applyNumberFormat="1" applyFont="1"/>
    <xf numFmtId="164" fontId="19" fillId="0" borderId="0" xfId="1" applyNumberFormat="1" applyFont="1"/>
    <xf numFmtId="0" fontId="0" fillId="0" borderId="16" xfId="0" applyBorder="1"/>
    <xf numFmtId="9" fontId="13" fillId="0" borderId="16" xfId="3" applyFont="1" applyBorder="1"/>
    <xf numFmtId="9" fontId="13" fillId="0" borderId="16" xfId="0" applyNumberFormat="1" applyFont="1" applyBorder="1"/>
    <xf numFmtId="9" fontId="0" fillId="0" borderId="0" xfId="0" applyNumberFormat="1"/>
    <xf numFmtId="9" fontId="0" fillId="8" borderId="0" xfId="7" applyFont="1" applyFill="1"/>
    <xf numFmtId="9" fontId="0" fillId="8" borderId="0" xfId="0" applyNumberFormat="1" applyFill="1"/>
    <xf numFmtId="9" fontId="0" fillId="14" borderId="0" xfId="7" applyFont="1" applyFill="1"/>
    <xf numFmtId="9" fontId="0" fillId="14" borderId="0" xfId="0" applyNumberFormat="1" applyFill="1"/>
    <xf numFmtId="9" fontId="13" fillId="0" borderId="16" xfId="7" applyFont="1" applyBorder="1"/>
    <xf numFmtId="9" fontId="0" fillId="0" borderId="0" xfId="3" applyFont="1" applyFill="1" applyBorder="1"/>
    <xf numFmtId="9" fontId="0" fillId="8" borderId="0" xfId="3" applyFont="1" applyFill="1"/>
    <xf numFmtId="9" fontId="0" fillId="0" borderId="0" xfId="3" applyFont="1"/>
    <xf numFmtId="0" fontId="20" fillId="0" borderId="0" xfId="4" applyFont="1"/>
    <xf numFmtId="165" fontId="11" fillId="0" borderId="0" xfId="0" applyNumberFormat="1" applyFont="1" applyAlignment="1">
      <alignment horizontal="center" wrapText="1"/>
    </xf>
    <xf numFmtId="165" fontId="11" fillId="0" borderId="1" xfId="0" applyNumberFormat="1" applyFont="1" applyBorder="1" applyAlignment="1">
      <alignment horizontal="center" wrapText="1"/>
    </xf>
    <xf numFmtId="164" fontId="0" fillId="0" borderId="0" xfId="1" applyNumberFormat="1" applyFont="1"/>
    <xf numFmtId="0" fontId="0" fillId="11" borderId="0" xfId="0" applyFill="1"/>
    <xf numFmtId="165" fontId="0" fillId="0" borderId="0" xfId="2" applyNumberFormat="1" applyFont="1"/>
    <xf numFmtId="0" fontId="22" fillId="0" borderId="0" xfId="0" applyFont="1"/>
    <xf numFmtId="14" fontId="22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22" fillId="0" borderId="7" xfId="0" applyFont="1" applyBorder="1"/>
    <xf numFmtId="14" fontId="22" fillId="0" borderId="7" xfId="0" applyNumberFormat="1" applyFont="1" applyBorder="1"/>
    <xf numFmtId="164" fontId="1" fillId="0" borderId="17" xfId="1" applyNumberFormat="1" applyFont="1" applyFill="1" applyBorder="1"/>
    <xf numFmtId="0" fontId="23" fillId="0" borderId="18" xfId="0" applyFont="1" applyBorder="1" applyAlignment="1">
      <alignment wrapText="1" readingOrder="1"/>
    </xf>
    <xf numFmtId="0" fontId="23" fillId="0" borderId="19" xfId="0" applyFont="1" applyBorder="1" applyAlignment="1">
      <alignment wrapText="1" readingOrder="1"/>
    </xf>
    <xf numFmtId="0" fontId="23" fillId="0" borderId="23" xfId="0" applyFont="1" applyBorder="1" applyAlignment="1">
      <alignment wrapText="1" readingOrder="1"/>
    </xf>
    <xf numFmtId="0" fontId="23" fillId="0" borderId="24" xfId="0" applyFont="1" applyBorder="1" applyAlignment="1">
      <alignment wrapText="1" readingOrder="1"/>
    </xf>
    <xf numFmtId="0" fontId="23" fillId="0" borderId="25" xfId="0" applyFont="1" applyBorder="1"/>
    <xf numFmtId="0" fontId="23" fillId="0" borderId="25" xfId="0" applyFont="1" applyBorder="1" applyAlignment="1">
      <alignment wrapText="1" readingOrder="1"/>
    </xf>
    <xf numFmtId="0" fontId="23" fillId="0" borderId="26" xfId="0" applyFont="1" applyBorder="1" applyAlignment="1">
      <alignment wrapText="1" readingOrder="1"/>
    </xf>
    <xf numFmtId="0" fontId="0" fillId="0" borderId="27" xfId="0" applyBorder="1"/>
    <xf numFmtId="0" fontId="23" fillId="0" borderId="28" xfId="0" applyFont="1" applyBorder="1"/>
    <xf numFmtId="0" fontId="0" fillId="0" borderId="28" xfId="0" applyBorder="1"/>
    <xf numFmtId="0" fontId="0" fillId="0" borderId="29" xfId="0" applyBorder="1"/>
    <xf numFmtId="0" fontId="23" fillId="0" borderId="24" xfId="0" applyFont="1" applyBorder="1"/>
    <xf numFmtId="0" fontId="23" fillId="0" borderId="27" xfId="0" applyFont="1" applyBorder="1"/>
    <xf numFmtId="0" fontId="23" fillId="0" borderId="30" xfId="0" applyFont="1" applyBorder="1" applyAlignment="1">
      <alignment wrapText="1" readingOrder="1"/>
    </xf>
    <xf numFmtId="0" fontId="23" fillId="0" borderId="16" xfId="0" applyFont="1" applyBorder="1" applyAlignment="1">
      <alignment wrapText="1" readingOrder="1"/>
    </xf>
    <xf numFmtId="0" fontId="23" fillId="0" borderId="31" xfId="0" applyFont="1" applyBorder="1" applyAlignment="1">
      <alignment wrapText="1" readingOrder="1"/>
    </xf>
    <xf numFmtId="0" fontId="23" fillId="17" borderId="30" xfId="0" applyFont="1" applyFill="1" applyBorder="1" applyAlignment="1">
      <alignment wrapText="1" readingOrder="1"/>
    </xf>
    <xf numFmtId="0" fontId="23" fillId="17" borderId="16" xfId="0" applyFont="1" applyFill="1" applyBorder="1" applyAlignment="1">
      <alignment wrapText="1" readingOrder="1"/>
    </xf>
    <xf numFmtId="0" fontId="23" fillId="17" borderId="31" xfId="0" applyFont="1" applyFill="1" applyBorder="1" applyAlignment="1">
      <alignment wrapText="1" readingOrder="1"/>
    </xf>
    <xf numFmtId="0" fontId="23" fillId="0" borderId="32" xfId="0" applyFont="1" applyBorder="1" applyAlignment="1">
      <alignment wrapText="1" readingOrder="1"/>
    </xf>
    <xf numFmtId="0" fontId="23" fillId="0" borderId="33" xfId="0" applyFont="1" applyBorder="1" applyAlignment="1">
      <alignment wrapText="1" readingOrder="1"/>
    </xf>
    <xf numFmtId="0" fontId="23" fillId="0" borderId="34" xfId="0" applyFont="1" applyBorder="1" applyAlignment="1">
      <alignment wrapText="1" readingOrder="1"/>
    </xf>
    <xf numFmtId="0" fontId="23" fillId="0" borderId="35" xfId="0" applyFont="1" applyBorder="1" applyAlignment="1">
      <alignment wrapText="1" readingOrder="1"/>
    </xf>
    <xf numFmtId="0" fontId="23" fillId="0" borderId="36" xfId="0" applyFont="1" applyBorder="1"/>
    <xf numFmtId="0" fontId="23" fillId="0" borderId="36" xfId="0" applyFont="1" applyBorder="1" applyAlignment="1">
      <alignment wrapText="1" readingOrder="1"/>
    </xf>
    <xf numFmtId="0" fontId="23" fillId="0" borderId="37" xfId="0" applyFont="1" applyBorder="1" applyAlignment="1">
      <alignment wrapText="1" readingOrder="1"/>
    </xf>
    <xf numFmtId="0" fontId="24" fillId="0" borderId="0" xfId="0" applyFont="1"/>
    <xf numFmtId="14" fontId="22" fillId="18" borderId="0" xfId="0" applyNumberFormat="1" applyFont="1" applyFill="1"/>
    <xf numFmtId="0" fontId="22" fillId="18" borderId="0" xfId="0" applyFont="1" applyFill="1"/>
    <xf numFmtId="0" fontId="22" fillId="0" borderId="38" xfId="0" applyFont="1" applyBorder="1"/>
    <xf numFmtId="14" fontId="22" fillId="0" borderId="38" xfId="0" applyNumberFormat="1" applyFont="1" applyBorder="1"/>
    <xf numFmtId="164" fontId="1" fillId="0" borderId="39" xfId="1" applyNumberFormat="1" applyFont="1" applyFill="1" applyBorder="1"/>
    <xf numFmtId="164" fontId="1" fillId="0" borderId="38" xfId="1" applyNumberFormat="1" applyFont="1" applyFill="1" applyBorder="1"/>
    <xf numFmtId="9" fontId="1" fillId="0" borderId="38" xfId="3" applyFont="1" applyFill="1" applyBorder="1"/>
    <xf numFmtId="165" fontId="1" fillId="0" borderId="38" xfId="2" applyNumberFormat="1" applyFont="1" applyFill="1" applyBorder="1" applyAlignment="1">
      <alignment horizontal="right"/>
    </xf>
    <xf numFmtId="165" fontId="1" fillId="0" borderId="38" xfId="2" applyNumberFormat="1" applyFont="1" applyFill="1" applyBorder="1" applyAlignment="1">
      <alignment horizontal="center"/>
    </xf>
    <xf numFmtId="0" fontId="22" fillId="19" borderId="7" xfId="0" applyFont="1" applyFill="1" applyBorder="1"/>
    <xf numFmtId="14" fontId="22" fillId="19" borderId="7" xfId="0" applyNumberFormat="1" applyFont="1" applyFill="1" applyBorder="1"/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165" fontId="2" fillId="11" borderId="0" xfId="2" applyNumberFormat="1" applyFont="1" applyFill="1" applyBorder="1" applyAlignment="1">
      <alignment horizontal="center"/>
    </xf>
    <xf numFmtId="165" fontId="2" fillId="11" borderId="0" xfId="2" applyNumberFormat="1" applyFont="1" applyFill="1" applyBorder="1" applyAlignment="1">
      <alignment horizontal="right"/>
    </xf>
    <xf numFmtId="164" fontId="18" fillId="12" borderId="0" xfId="1" applyNumberFormat="1" applyFont="1" applyFill="1" applyBorder="1"/>
    <xf numFmtId="9" fontId="1" fillId="0" borderId="0" xfId="2" applyNumberFormat="1" applyFont="1" applyFill="1" applyBorder="1" applyAlignment="1">
      <alignment horizontal="center"/>
    </xf>
    <xf numFmtId="9" fontId="1" fillId="0" borderId="7" xfId="2" applyNumberFormat="1" applyFont="1" applyFill="1" applyBorder="1" applyAlignment="1">
      <alignment horizontal="center"/>
    </xf>
    <xf numFmtId="9" fontId="1" fillId="0" borderId="38" xfId="2" applyNumberFormat="1" applyFont="1" applyFill="1" applyBorder="1" applyAlignment="1">
      <alignment horizontal="center"/>
    </xf>
    <xf numFmtId="14" fontId="22" fillId="20" borderId="7" xfId="0" applyNumberFormat="1" applyFont="1" applyFill="1" applyBorder="1"/>
    <xf numFmtId="0" fontId="22" fillId="20" borderId="7" xfId="0" applyFont="1" applyFill="1" applyBorder="1"/>
    <xf numFmtId="164" fontId="1" fillId="20" borderId="17" xfId="1" applyNumberFormat="1" applyFont="1" applyFill="1" applyBorder="1"/>
    <xf numFmtId="164" fontId="1" fillId="20" borderId="7" xfId="1" applyNumberFormat="1" applyFont="1" applyFill="1" applyBorder="1"/>
    <xf numFmtId="9" fontId="1" fillId="20" borderId="7" xfId="3" applyFont="1" applyFill="1" applyBorder="1"/>
    <xf numFmtId="165" fontId="1" fillId="20" borderId="7" xfId="2" applyNumberFormat="1" applyFont="1" applyFill="1" applyBorder="1" applyAlignment="1">
      <alignment horizontal="right"/>
    </xf>
    <xf numFmtId="165" fontId="1" fillId="20" borderId="7" xfId="2" applyNumberFormat="1" applyFont="1" applyFill="1" applyBorder="1" applyAlignment="1">
      <alignment horizontal="center"/>
    </xf>
    <xf numFmtId="9" fontId="1" fillId="20" borderId="7" xfId="2" applyNumberFormat="1" applyFont="1" applyFill="1" applyBorder="1" applyAlignment="1">
      <alignment horizontal="center"/>
    </xf>
    <xf numFmtId="164" fontId="25" fillId="0" borderId="0" xfId="1" applyNumberFormat="1" applyFont="1" applyFill="1" applyBorder="1" applyAlignment="1">
      <alignment horizontal="center" vertical="center"/>
    </xf>
    <xf numFmtId="9" fontId="25" fillId="0" borderId="0" xfId="3" applyFont="1" applyFill="1" applyBorder="1"/>
    <xf numFmtId="165" fontId="25" fillId="0" borderId="0" xfId="2" applyNumberFormat="1" applyFont="1" applyFill="1" applyBorder="1" applyAlignment="1">
      <alignment horizontal="center"/>
    </xf>
    <xf numFmtId="164" fontId="25" fillId="0" borderId="7" xfId="1" applyNumberFormat="1" applyFont="1" applyFill="1" applyBorder="1" applyAlignment="1">
      <alignment horizontal="center" vertical="center"/>
    </xf>
    <xf numFmtId="9" fontId="25" fillId="0" borderId="7" xfId="3" applyFont="1" applyFill="1" applyBorder="1"/>
    <xf numFmtId="165" fontId="25" fillId="0" borderId="7" xfId="2" applyNumberFormat="1" applyFont="1" applyFill="1" applyBorder="1" applyAlignment="1">
      <alignment horizontal="center"/>
    </xf>
    <xf numFmtId="164" fontId="25" fillId="20" borderId="7" xfId="1" applyNumberFormat="1" applyFont="1" applyFill="1" applyBorder="1" applyAlignment="1">
      <alignment horizontal="center" vertical="center"/>
    </xf>
    <xf numFmtId="9" fontId="25" fillId="20" borderId="7" xfId="3" applyFont="1" applyFill="1" applyBorder="1"/>
    <xf numFmtId="165" fontId="25" fillId="20" borderId="7" xfId="2" applyNumberFormat="1" applyFont="1" applyFill="1" applyBorder="1" applyAlignment="1">
      <alignment horizontal="center"/>
    </xf>
    <xf numFmtId="164" fontId="25" fillId="0" borderId="38" xfId="1" applyNumberFormat="1" applyFont="1" applyFill="1" applyBorder="1" applyAlignment="1">
      <alignment horizontal="center" vertical="center"/>
    </xf>
    <xf numFmtId="9" fontId="25" fillId="0" borderId="38" xfId="3" applyFont="1" applyFill="1" applyBorder="1"/>
    <xf numFmtId="165" fontId="25" fillId="0" borderId="38" xfId="2" applyNumberFormat="1" applyFont="1" applyFill="1" applyBorder="1" applyAlignment="1">
      <alignment horizontal="center"/>
    </xf>
    <xf numFmtId="0" fontId="26" fillId="16" borderId="0" xfId="0" applyFont="1" applyFill="1"/>
    <xf numFmtId="0" fontId="26" fillId="16" borderId="7" xfId="0" applyFont="1" applyFill="1" applyBorder="1"/>
    <xf numFmtId="0" fontId="26" fillId="20" borderId="7" xfId="0" applyFont="1" applyFill="1" applyBorder="1"/>
    <xf numFmtId="0" fontId="26" fillId="16" borderId="38" xfId="0" applyFont="1" applyFill="1" applyBorder="1"/>
    <xf numFmtId="164" fontId="26" fillId="16" borderId="0" xfId="0" applyNumberFormat="1" applyFont="1" applyFill="1"/>
    <xf numFmtId="164" fontId="26" fillId="16" borderId="7" xfId="0" applyNumberFormat="1" applyFont="1" applyFill="1" applyBorder="1"/>
    <xf numFmtId="164" fontId="26" fillId="20" borderId="7" xfId="0" applyNumberFormat="1" applyFont="1" applyFill="1" applyBorder="1"/>
    <xf numFmtId="164" fontId="26" fillId="16" borderId="38" xfId="0" applyNumberFormat="1" applyFont="1" applyFill="1" applyBorder="1"/>
    <xf numFmtId="168" fontId="26" fillId="16" borderId="0" xfId="0" applyNumberFormat="1" applyFont="1" applyFill="1"/>
    <xf numFmtId="168" fontId="26" fillId="16" borderId="7" xfId="0" applyNumberFormat="1" applyFont="1" applyFill="1" applyBorder="1"/>
    <xf numFmtId="168" fontId="26" fillId="20" borderId="7" xfId="0" applyNumberFormat="1" applyFont="1" applyFill="1" applyBorder="1"/>
    <xf numFmtId="168" fontId="26" fillId="16" borderId="38" xfId="0" applyNumberFormat="1" applyFont="1" applyFill="1" applyBorder="1"/>
    <xf numFmtId="168" fontId="26" fillId="0" borderId="0" xfId="0" applyNumberFormat="1" applyFont="1"/>
    <xf numFmtId="168" fontId="26" fillId="0" borderId="7" xfId="0" applyNumberFormat="1" applyFont="1" applyBorder="1"/>
    <xf numFmtId="168" fontId="26" fillId="0" borderId="38" xfId="0" applyNumberFormat="1" applyFont="1" applyBorder="1"/>
    <xf numFmtId="164" fontId="26" fillId="0" borderId="0" xfId="0" applyNumberFormat="1" applyFont="1"/>
    <xf numFmtId="164" fontId="26" fillId="0" borderId="7" xfId="0" applyNumberFormat="1" applyFont="1" applyBorder="1"/>
    <xf numFmtId="164" fontId="26" fillId="0" borderId="38" xfId="0" applyNumberFormat="1" applyFont="1" applyBorder="1"/>
    <xf numFmtId="165" fontId="18" fillId="12" borderId="0" xfId="2" applyNumberFormat="1" applyFont="1" applyFill="1" applyBorder="1" applyAlignment="1">
      <alignment horizontal="center"/>
    </xf>
    <xf numFmtId="9" fontId="26" fillId="0" borderId="0" xfId="0" applyNumberFormat="1" applyFont="1" applyAlignment="1">
      <alignment horizontal="center"/>
    </xf>
    <xf numFmtId="9" fontId="26" fillId="0" borderId="7" xfId="0" applyNumberFormat="1" applyFont="1" applyBorder="1" applyAlignment="1">
      <alignment horizontal="center"/>
    </xf>
    <xf numFmtId="9" fontId="26" fillId="20" borderId="7" xfId="0" applyNumberFormat="1" applyFont="1" applyFill="1" applyBorder="1" applyAlignment="1">
      <alignment horizontal="center"/>
    </xf>
    <xf numFmtId="9" fontId="26" fillId="0" borderId="38" xfId="0" applyNumberFormat="1" applyFont="1" applyBorder="1" applyAlignment="1">
      <alignment horizontal="center"/>
    </xf>
    <xf numFmtId="0" fontId="27" fillId="18" borderId="0" xfId="0" applyFont="1" applyFill="1" applyAlignment="1">
      <alignment wrapText="1"/>
    </xf>
    <xf numFmtId="164" fontId="26" fillId="16" borderId="0" xfId="0" applyNumberFormat="1" applyFont="1" applyFill="1" applyAlignment="1">
      <alignment horizontal="right"/>
    </xf>
    <xf numFmtId="9" fontId="0" fillId="0" borderId="0" xfId="6" applyNumberFormat="1" applyFont="1"/>
    <xf numFmtId="164" fontId="26" fillId="16" borderId="7" xfId="0" applyNumberFormat="1" applyFont="1" applyFill="1" applyBorder="1" applyAlignment="1">
      <alignment horizontal="right"/>
    </xf>
    <xf numFmtId="0" fontId="0" fillId="25" borderId="41" xfId="0" applyFill="1" applyBorder="1" applyAlignment="1">
      <alignment horizontal="left"/>
    </xf>
    <xf numFmtId="0" fontId="30" fillId="23" borderId="43" xfId="0" applyFont="1" applyFill="1" applyBorder="1" applyAlignment="1">
      <alignment vertical="center"/>
    </xf>
    <xf numFmtId="0" fontId="0" fillId="21" borderId="41" xfId="0" applyFill="1" applyBorder="1" applyAlignment="1">
      <alignment horizontal="left"/>
    </xf>
    <xf numFmtId="0" fontId="0" fillId="24" borderId="45" xfId="0" applyFill="1" applyBorder="1"/>
    <xf numFmtId="0" fontId="30" fillId="23" borderId="46" xfId="0" applyFont="1" applyFill="1" applyBorder="1" applyAlignment="1">
      <alignment vertical="center"/>
    </xf>
    <xf numFmtId="0" fontId="0" fillId="24" borderId="42" xfId="0" applyFill="1" applyBorder="1"/>
    <xf numFmtId="0" fontId="0" fillId="21" borderId="42" xfId="0" applyFill="1" applyBorder="1" applyAlignment="1">
      <alignment horizontal="left"/>
    </xf>
    <xf numFmtId="0" fontId="30" fillId="23" borderId="47" xfId="0" applyFont="1" applyFill="1" applyBorder="1" applyAlignment="1">
      <alignment vertical="center"/>
    </xf>
    <xf numFmtId="0" fontId="0" fillId="21" borderId="46" xfId="0" applyFill="1" applyBorder="1" applyAlignment="1">
      <alignment horizontal="left"/>
    </xf>
    <xf numFmtId="0" fontId="0" fillId="24" borderId="48" xfId="0" applyFill="1" applyBorder="1"/>
    <xf numFmtId="0" fontId="0" fillId="21" borderId="49" xfId="0" applyFill="1" applyBorder="1" applyAlignment="1">
      <alignment horizontal="left"/>
    </xf>
    <xf numFmtId="0" fontId="29" fillId="26" borderId="50" xfId="0" applyFont="1" applyFill="1" applyBorder="1" applyAlignment="1">
      <alignment horizontal="center" vertical="center"/>
    </xf>
    <xf numFmtId="9" fontId="0" fillId="23" borderId="40" xfId="0" applyNumberFormat="1" applyFill="1" applyBorder="1" applyAlignment="1">
      <alignment horizontal="center" vertical="center"/>
    </xf>
    <xf numFmtId="3" fontId="0" fillId="21" borderId="47" xfId="0" applyNumberFormat="1" applyFill="1" applyBorder="1" applyAlignment="1">
      <alignment horizontal="left"/>
    </xf>
    <xf numFmtId="0" fontId="0" fillId="25" borderId="49" xfId="0" applyFill="1" applyBorder="1" applyAlignment="1">
      <alignment horizontal="left"/>
    </xf>
    <xf numFmtId="0" fontId="0" fillId="24" borderId="49" xfId="0" applyFill="1" applyBorder="1" applyAlignment="1">
      <alignment horizontal="left"/>
    </xf>
    <xf numFmtId="3" fontId="0" fillId="21" borderId="43" xfId="0" applyNumberFormat="1" applyFill="1" applyBorder="1" applyAlignment="1">
      <alignment horizontal="left"/>
    </xf>
    <xf numFmtId="0" fontId="0" fillId="25" borderId="44" xfId="0" applyFill="1" applyBorder="1"/>
    <xf numFmtId="0" fontId="30" fillId="0" borderId="0" xfId="0" applyFont="1" applyAlignment="1">
      <alignment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9" fillId="21" borderId="0" xfId="0" applyFont="1" applyFill="1" applyAlignment="1">
      <alignment horizontal="center" vertical="center"/>
    </xf>
    <xf numFmtId="16" fontId="0" fillId="0" borderId="0" xfId="0" applyNumberFormat="1" applyAlignment="1">
      <alignment horizontal="left"/>
    </xf>
    <xf numFmtId="3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0" fillId="23" borderId="52" xfId="0" applyFont="1" applyFill="1" applyBorder="1" applyAlignment="1">
      <alignment vertical="center"/>
    </xf>
    <xf numFmtId="3" fontId="0" fillId="21" borderId="53" xfId="0" applyNumberFormat="1" applyFill="1" applyBorder="1" applyAlignment="1">
      <alignment horizontal="left"/>
    </xf>
    <xf numFmtId="0" fontId="0" fillId="21" borderId="44" xfId="0" applyFill="1" applyBorder="1" applyAlignment="1">
      <alignment horizontal="left" wrapText="1"/>
    </xf>
    <xf numFmtId="3" fontId="0" fillId="0" borderId="0" xfId="0" applyNumberFormat="1"/>
    <xf numFmtId="168" fontId="32" fillId="16" borderId="0" xfId="0" applyNumberFormat="1" applyFont="1" applyFill="1"/>
    <xf numFmtId="164" fontId="33" fillId="0" borderId="0" xfId="4" applyNumberFormat="1" applyFont="1"/>
    <xf numFmtId="168" fontId="33" fillId="0" borderId="0" xfId="4" applyNumberFormat="1" applyFont="1"/>
    <xf numFmtId="0" fontId="33" fillId="0" borderId="0" xfId="4" applyFont="1"/>
    <xf numFmtId="0" fontId="29" fillId="22" borderId="44" xfId="0" applyFont="1" applyFill="1" applyBorder="1" applyAlignment="1">
      <alignment horizontal="center" vertical="center"/>
    </xf>
    <xf numFmtId="3" fontId="0" fillId="21" borderId="52" xfId="0" applyNumberFormat="1" applyFill="1" applyBorder="1" applyAlignment="1">
      <alignment horizontal="left"/>
    </xf>
    <xf numFmtId="0" fontId="0" fillId="27" borderId="0" xfId="0" applyFill="1"/>
    <xf numFmtId="0" fontId="0" fillId="27" borderId="53" xfId="0" applyFill="1" applyBorder="1" applyAlignment="1">
      <alignment horizontal="left"/>
    </xf>
    <xf numFmtId="0" fontId="0" fillId="27" borderId="44" xfId="0" applyFill="1" applyBorder="1" applyAlignment="1">
      <alignment horizontal="left"/>
    </xf>
    <xf numFmtId="0" fontId="0" fillId="27" borderId="41" xfId="0" applyFill="1" applyBorder="1" applyAlignment="1">
      <alignment horizontal="left"/>
    </xf>
    <xf numFmtId="0" fontId="0" fillId="27" borderId="54" xfId="0" applyFill="1" applyBorder="1" applyAlignment="1">
      <alignment horizontal="left"/>
    </xf>
    <xf numFmtId="3" fontId="0" fillId="25" borderId="41" xfId="0" applyNumberFormat="1" applyFill="1" applyBorder="1" applyAlignment="1">
      <alignment horizontal="left"/>
    </xf>
    <xf numFmtId="0" fontId="0" fillId="28" borderId="51" xfId="0" applyFill="1" applyBorder="1"/>
    <xf numFmtId="10" fontId="0" fillId="28" borderId="54" xfId="0" applyNumberFormat="1" applyFill="1" applyBorder="1" applyAlignment="1">
      <alignment horizontal="left"/>
    </xf>
    <xf numFmtId="6" fontId="0" fillId="0" borderId="0" xfId="0" applyNumberFormat="1"/>
    <xf numFmtId="0" fontId="29" fillId="22" borderId="52" xfId="0" applyFont="1" applyFill="1" applyBorder="1" applyAlignment="1">
      <alignment horizontal="center" vertical="center"/>
    </xf>
    <xf numFmtId="164" fontId="25" fillId="0" borderId="7" xfId="1" applyNumberFormat="1" applyFont="1" applyBorder="1"/>
    <xf numFmtId="165" fontId="25" fillId="0" borderId="7" xfId="2" applyNumberFormat="1" applyFont="1" applyBorder="1" applyAlignment="1">
      <alignment horizontal="right"/>
    </xf>
    <xf numFmtId="9" fontId="25" fillId="0" borderId="7" xfId="2" applyNumberFormat="1" applyFont="1" applyBorder="1" applyAlignment="1">
      <alignment horizontal="center"/>
    </xf>
    <xf numFmtId="0" fontId="22" fillId="19" borderId="0" xfId="0" applyFont="1" applyFill="1"/>
    <xf numFmtId="0" fontId="29" fillId="22" borderId="38" xfId="0" applyFont="1" applyFill="1" applyBorder="1" applyAlignment="1">
      <alignment horizontal="center" vertical="center"/>
    </xf>
    <xf numFmtId="165" fontId="25" fillId="0" borderId="7" xfId="2" applyNumberFormat="1" applyFont="1" applyBorder="1" applyAlignment="1">
      <alignment horizontal="center"/>
    </xf>
    <xf numFmtId="0" fontId="34" fillId="0" borderId="0" xfId="0" applyFont="1"/>
    <xf numFmtId="0" fontId="0" fillId="29" borderId="0" xfId="0" applyFill="1"/>
    <xf numFmtId="0" fontId="29" fillId="29" borderId="52" xfId="0" applyFont="1" applyFill="1" applyBorder="1" applyAlignment="1">
      <alignment horizontal="center" vertical="center"/>
    </xf>
    <xf numFmtId="0" fontId="29" fillId="29" borderId="41" xfId="0" applyFont="1" applyFill="1" applyBorder="1" applyAlignment="1">
      <alignment horizontal="center" vertical="center"/>
    </xf>
    <xf numFmtId="3" fontId="0" fillId="29" borderId="0" xfId="0" applyNumberFormat="1" applyFill="1"/>
    <xf numFmtId="164" fontId="25" fillId="0" borderId="0" xfId="1" applyNumberFormat="1" applyFont="1" applyBorder="1"/>
    <xf numFmtId="165" fontId="25" fillId="0" borderId="0" xfId="2" applyNumberFormat="1" applyFont="1" applyBorder="1" applyAlignment="1">
      <alignment horizontal="right"/>
    </xf>
    <xf numFmtId="165" fontId="25" fillId="0" borderId="0" xfId="2" applyNumberFormat="1" applyFont="1" applyBorder="1" applyAlignment="1">
      <alignment horizontal="center"/>
    </xf>
    <xf numFmtId="9" fontId="25" fillId="0" borderId="0" xfId="2" applyNumberFormat="1" applyFont="1" applyBorder="1" applyAlignment="1">
      <alignment horizontal="center"/>
    </xf>
    <xf numFmtId="164" fontId="25" fillId="0" borderId="1" xfId="1" applyNumberFormat="1" applyFont="1" applyBorder="1"/>
    <xf numFmtId="164" fontId="26" fillId="16" borderId="38" xfId="0" applyNumberFormat="1" applyFont="1" applyFill="1" applyBorder="1" applyAlignment="1">
      <alignment horizontal="right"/>
    </xf>
    <xf numFmtId="3" fontId="0" fillId="27" borderId="41" xfId="0" applyNumberFormat="1" applyFill="1" applyBorder="1" applyAlignment="1">
      <alignment horizontal="left"/>
    </xf>
    <xf numFmtId="16" fontId="0" fillId="0" borderId="0" xfId="0" applyNumberFormat="1"/>
    <xf numFmtId="3" fontId="36" fillId="0" borderId="0" xfId="0" applyNumberFormat="1" applyFont="1"/>
    <xf numFmtId="10" fontId="0" fillId="24" borderId="54" xfId="0" applyNumberFormat="1" applyFill="1" applyBorder="1" applyAlignment="1">
      <alignment horizontal="left"/>
    </xf>
    <xf numFmtId="164" fontId="1" fillId="0" borderId="1" xfId="1" applyNumberFormat="1" applyFont="1" applyFill="1" applyBorder="1" applyAlignment="1">
      <alignment horizontal="right"/>
    </xf>
    <xf numFmtId="164" fontId="1" fillId="0" borderId="17" xfId="1" applyNumberFormat="1" applyFont="1" applyFill="1" applyBorder="1" applyAlignment="1">
      <alignment horizontal="right"/>
    </xf>
    <xf numFmtId="3" fontId="0" fillId="21" borderId="44" xfId="0" applyNumberFormat="1" applyFill="1" applyBorder="1" applyAlignment="1">
      <alignment horizontal="left"/>
    </xf>
    <xf numFmtId="3" fontId="0" fillId="27" borderId="51" xfId="0" applyNumberFormat="1" applyFill="1" applyBorder="1" applyAlignment="1">
      <alignment horizontal="left"/>
    </xf>
    <xf numFmtId="0" fontId="2" fillId="10" borderId="50" xfId="0" applyFont="1" applyFill="1" applyBorder="1"/>
    <xf numFmtId="0" fontId="1" fillId="10" borderId="55" xfId="0" applyFont="1" applyFill="1" applyBorder="1"/>
    <xf numFmtId="164" fontId="2" fillId="11" borderId="56" xfId="1" applyNumberFormat="1" applyFont="1" applyFill="1" applyBorder="1" applyAlignment="1">
      <alignment horizontal="center"/>
    </xf>
    <xf numFmtId="164" fontId="2" fillId="11" borderId="57" xfId="1" applyNumberFormat="1" applyFont="1" applyFill="1" applyBorder="1" applyAlignment="1">
      <alignment horizontal="center"/>
    </xf>
    <xf numFmtId="0" fontId="2" fillId="10" borderId="58" xfId="0" applyFont="1" applyFill="1" applyBorder="1"/>
    <xf numFmtId="0" fontId="1" fillId="10" borderId="59" xfId="0" applyFont="1" applyFill="1" applyBorder="1"/>
    <xf numFmtId="164" fontId="2" fillId="11" borderId="60" xfId="1" applyNumberFormat="1" applyFont="1" applyFill="1" applyBorder="1" applyAlignment="1">
      <alignment horizontal="center"/>
    </xf>
    <xf numFmtId="164" fontId="2" fillId="11" borderId="61" xfId="1" applyNumberFormat="1" applyFont="1" applyFill="1" applyBorder="1" applyAlignment="1">
      <alignment horizontal="center"/>
    </xf>
    <xf numFmtId="0" fontId="2" fillId="10" borderId="62" xfId="0" applyFont="1" applyFill="1" applyBorder="1"/>
    <xf numFmtId="0" fontId="1" fillId="10" borderId="0" xfId="0" applyFont="1" applyFill="1"/>
    <xf numFmtId="164" fontId="2" fillId="11" borderId="1" xfId="1" applyNumberFormat="1" applyFont="1" applyFill="1" applyBorder="1" applyAlignment="1">
      <alignment horizontal="center"/>
    </xf>
    <xf numFmtId="164" fontId="2" fillId="11" borderId="63" xfId="1" applyNumberFormat="1" applyFont="1" applyFill="1" applyBorder="1" applyAlignment="1">
      <alignment horizontal="center"/>
    </xf>
    <xf numFmtId="0" fontId="2" fillId="10" borderId="64" xfId="0" applyFont="1" applyFill="1" applyBorder="1"/>
    <xf numFmtId="0" fontId="1" fillId="10" borderId="65" xfId="0" applyFont="1" applyFill="1" applyBorder="1"/>
    <xf numFmtId="164" fontId="2" fillId="11" borderId="66" xfId="1" applyNumberFormat="1" applyFont="1" applyFill="1" applyBorder="1" applyAlignment="1">
      <alignment horizontal="center"/>
    </xf>
    <xf numFmtId="164" fontId="2" fillId="11" borderId="67" xfId="1" applyNumberFormat="1" applyFont="1" applyFill="1" applyBorder="1" applyAlignment="1">
      <alignment horizontal="center"/>
    </xf>
    <xf numFmtId="0" fontId="18" fillId="12" borderId="50" xfId="0" applyFont="1" applyFill="1" applyBorder="1"/>
    <xf numFmtId="0" fontId="18" fillId="12" borderId="55" xfId="0" applyFont="1" applyFill="1" applyBorder="1"/>
    <xf numFmtId="164" fontId="18" fillId="12" borderId="56" xfId="1" applyNumberFormat="1" applyFont="1" applyFill="1" applyBorder="1"/>
    <xf numFmtId="164" fontId="18" fillId="12" borderId="68" xfId="1" applyNumberFormat="1" applyFont="1" applyFill="1" applyBorder="1"/>
    <xf numFmtId="0" fontId="2" fillId="10" borderId="59" xfId="0" applyFont="1" applyFill="1" applyBorder="1"/>
    <xf numFmtId="3" fontId="0" fillId="27" borderId="54" xfId="0" applyNumberFormat="1" applyFill="1" applyBorder="1" applyAlignment="1">
      <alignment horizontal="left"/>
    </xf>
    <xf numFmtId="3" fontId="0" fillId="21" borderId="41" xfId="0" applyNumberFormat="1" applyFill="1" applyBorder="1" applyAlignment="1">
      <alignment horizontal="left"/>
    </xf>
    <xf numFmtId="0" fontId="24" fillId="30" borderId="50" xfId="0" applyFont="1" applyFill="1" applyBorder="1" applyAlignment="1">
      <alignment horizontal="center" vertical="center"/>
    </xf>
    <xf numFmtId="0" fontId="24" fillId="16" borderId="40" xfId="0" applyFont="1" applyFill="1" applyBorder="1" applyAlignment="1">
      <alignment horizontal="center" vertical="center"/>
    </xf>
    <xf numFmtId="0" fontId="24" fillId="16" borderId="50" xfId="0" applyFont="1" applyFill="1" applyBorder="1" applyAlignment="1">
      <alignment horizontal="center" vertical="center"/>
    </xf>
    <xf numFmtId="14" fontId="0" fillId="0" borderId="0" xfId="0" applyNumberFormat="1"/>
    <xf numFmtId="0" fontId="0" fillId="9" borderId="0" xfId="0" applyFill="1"/>
    <xf numFmtId="0" fontId="10" fillId="6" borderId="0" xfId="0" applyFont="1" applyFill="1" applyAlignment="1">
      <alignment wrapText="1"/>
    </xf>
    <xf numFmtId="0" fontId="10" fillId="0" borderId="0" xfId="0" applyFont="1" applyAlignment="1">
      <alignment wrapText="1"/>
    </xf>
    <xf numFmtId="8" fontId="26" fillId="0" borderId="0" xfId="0" applyNumberFormat="1" applyFont="1"/>
    <xf numFmtId="0" fontId="26" fillId="19" borderId="7" xfId="0" applyFont="1" applyFill="1" applyBorder="1"/>
    <xf numFmtId="8" fontId="26" fillId="0" borderId="7" xfId="0" applyNumberFormat="1" applyFont="1" applyBorder="1"/>
    <xf numFmtId="8" fontId="26" fillId="0" borderId="38" xfId="0" applyNumberFormat="1" applyFont="1" applyBorder="1"/>
    <xf numFmtId="170" fontId="26" fillId="0" borderId="0" xfId="0" applyNumberFormat="1" applyFont="1"/>
    <xf numFmtId="170" fontId="22" fillId="19" borderId="7" xfId="0" applyNumberFormat="1" applyFont="1" applyFill="1" applyBorder="1"/>
    <xf numFmtId="170" fontId="26" fillId="0" borderId="7" xfId="0" applyNumberFormat="1" applyFont="1" applyBorder="1"/>
    <xf numFmtId="170" fontId="0" fillId="0" borderId="0" xfId="0" applyNumberFormat="1"/>
    <xf numFmtId="168" fontId="26" fillId="16" borderId="0" xfId="0" applyNumberFormat="1" applyFont="1" applyFill="1" applyAlignment="1">
      <alignment horizontal="right"/>
    </xf>
    <xf numFmtId="168" fontId="26" fillId="16" borderId="7" xfId="0" applyNumberFormat="1" applyFont="1" applyFill="1" applyBorder="1" applyAlignment="1">
      <alignment horizontal="right"/>
    </xf>
    <xf numFmtId="164" fontId="1" fillId="20" borderId="1" xfId="1" applyNumberFormat="1" applyFont="1" applyFill="1" applyBorder="1"/>
    <xf numFmtId="164" fontId="1" fillId="20" borderId="0" xfId="1" applyNumberFormat="1" applyFont="1" applyFill="1" applyBorder="1"/>
    <xf numFmtId="9" fontId="1" fillId="20" borderId="0" xfId="3" applyFont="1" applyFill="1" applyBorder="1"/>
    <xf numFmtId="165" fontId="1" fillId="20" borderId="0" xfId="2" applyNumberFormat="1" applyFont="1" applyFill="1" applyBorder="1" applyAlignment="1">
      <alignment horizontal="right"/>
    </xf>
    <xf numFmtId="165" fontId="1" fillId="20" borderId="0" xfId="2" applyNumberFormat="1" applyFont="1" applyFill="1" applyBorder="1" applyAlignment="1">
      <alignment horizontal="center"/>
    </xf>
    <xf numFmtId="9" fontId="1" fillId="20" borderId="0" xfId="2" applyNumberFormat="1" applyFont="1" applyFill="1" applyBorder="1" applyAlignment="1">
      <alignment horizontal="center"/>
    </xf>
    <xf numFmtId="164" fontId="26" fillId="20" borderId="0" xfId="0" applyNumberFormat="1" applyFont="1" applyFill="1"/>
    <xf numFmtId="164" fontId="25" fillId="20" borderId="0" xfId="1" applyNumberFormat="1" applyFont="1" applyFill="1" applyBorder="1" applyAlignment="1">
      <alignment horizontal="center" vertical="center"/>
    </xf>
    <xf numFmtId="168" fontId="26" fillId="20" borderId="0" xfId="0" applyNumberFormat="1" applyFont="1" applyFill="1"/>
    <xf numFmtId="9" fontId="26" fillId="20" borderId="0" xfId="0" applyNumberFormat="1" applyFont="1" applyFill="1" applyAlignment="1">
      <alignment horizontal="center"/>
    </xf>
    <xf numFmtId="9" fontId="25" fillId="20" borderId="0" xfId="3" applyFont="1" applyFill="1" applyBorder="1"/>
    <xf numFmtId="165" fontId="25" fillId="20" borderId="0" xfId="2" applyNumberFormat="1" applyFont="1" applyFill="1" applyBorder="1" applyAlignment="1">
      <alignment horizontal="center"/>
    </xf>
    <xf numFmtId="9" fontId="0" fillId="0" borderId="0" xfId="5" applyNumberFormat="1" applyFont="1"/>
    <xf numFmtId="14" fontId="19" fillId="16" borderId="0" xfId="4" applyNumberFormat="1" applyFill="1"/>
    <xf numFmtId="168" fontId="32" fillId="16" borderId="0" xfId="0" applyNumberFormat="1" applyFont="1" applyFill="1" applyAlignment="1">
      <alignment horizontal="right"/>
    </xf>
    <xf numFmtId="165" fontId="0" fillId="13" borderId="0" xfId="6" applyNumberFormat="1" applyFont="1" applyFill="1"/>
    <xf numFmtId="0" fontId="19" fillId="31" borderId="0" xfId="4" applyFill="1"/>
    <xf numFmtId="165" fontId="0" fillId="31" borderId="0" xfId="6" applyNumberFormat="1" applyFont="1" applyFill="1"/>
    <xf numFmtId="0" fontId="30" fillId="23" borderId="52" xfId="0" applyFont="1" applyFill="1" applyBorder="1" applyAlignment="1">
      <alignment vertical="center" wrapText="1"/>
    </xf>
    <xf numFmtId="0" fontId="38" fillId="0" borderId="0" xfId="8" applyAlignment="1">
      <alignment wrapText="1"/>
    </xf>
    <xf numFmtId="3" fontId="39" fillId="0" borderId="0" xfId="0" applyNumberFormat="1" applyFont="1"/>
    <xf numFmtId="16" fontId="30" fillId="23" borderId="52" xfId="0" applyNumberFormat="1" applyFont="1" applyFill="1" applyBorder="1" applyAlignment="1">
      <alignment vertical="center"/>
    </xf>
    <xf numFmtId="3" fontId="0" fillId="27" borderId="44" xfId="0" applyNumberFormat="1" applyFill="1" applyBorder="1" applyAlignment="1">
      <alignment horizontal="left"/>
    </xf>
    <xf numFmtId="0" fontId="35" fillId="0" borderId="7" xfId="0" applyFont="1" applyBorder="1"/>
    <xf numFmtId="0" fontId="40" fillId="0" borderId="0" xfId="0" applyFont="1"/>
    <xf numFmtId="0" fontId="3" fillId="32" borderId="0" xfId="0" applyFont="1" applyFill="1"/>
    <xf numFmtId="0" fontId="41" fillId="0" borderId="0" xfId="0" applyFont="1"/>
    <xf numFmtId="1" fontId="0" fillId="0" borderId="0" xfId="0" applyNumberFormat="1"/>
    <xf numFmtId="9" fontId="41" fillId="0" borderId="0" xfId="0" applyNumberFormat="1" applyFont="1"/>
    <xf numFmtId="9" fontId="41" fillId="33" borderId="0" xfId="0" applyNumberFormat="1" applyFont="1" applyFill="1"/>
    <xf numFmtId="9" fontId="25" fillId="0" borderId="0" xfId="1" applyNumberFormat="1" applyFont="1" applyFill="1" applyBorder="1" applyAlignment="1">
      <alignment horizontal="center" vertical="center"/>
    </xf>
    <xf numFmtId="164" fontId="26" fillId="0" borderId="0" xfId="0" applyNumberFormat="1" applyFont="1" applyAlignment="1">
      <alignment horizontal="right"/>
    </xf>
    <xf numFmtId="0" fontId="0" fillId="13" borderId="0" xfId="0" applyFill="1"/>
    <xf numFmtId="0" fontId="13" fillId="0" borderId="16" xfId="0" applyFont="1" applyBorder="1" applyAlignment="1">
      <alignment wrapText="1"/>
    </xf>
    <xf numFmtId="0" fontId="41" fillId="0" borderId="16" xfId="0" applyFont="1" applyBorder="1"/>
    <xf numFmtId="164" fontId="0" fillId="0" borderId="0" xfId="0" applyNumberFormat="1"/>
    <xf numFmtId="0" fontId="37" fillId="13" borderId="44" xfId="0" applyFont="1" applyFill="1" applyBorder="1"/>
    <xf numFmtId="16" fontId="24" fillId="13" borderId="43" xfId="0" applyNumberFormat="1" applyFont="1" applyFill="1" applyBorder="1" applyAlignment="1">
      <alignment horizontal="left"/>
    </xf>
    <xf numFmtId="3" fontId="24" fillId="13" borderId="45" xfId="0" applyNumberFormat="1" applyFont="1" applyFill="1" applyBorder="1"/>
    <xf numFmtId="0" fontId="24" fillId="13" borderId="44" xfId="0" applyFont="1" applyFill="1" applyBorder="1"/>
    <xf numFmtId="0" fontId="29" fillId="9" borderId="44" xfId="0" applyFont="1" applyFill="1" applyBorder="1" applyAlignment="1">
      <alignment horizontal="center" vertical="center"/>
    </xf>
    <xf numFmtId="0" fontId="29" fillId="9" borderId="43" xfId="0" applyFont="1" applyFill="1" applyBorder="1" applyAlignment="1">
      <alignment horizontal="center" vertical="center"/>
    </xf>
    <xf numFmtId="3" fontId="0" fillId="27" borderId="48" xfId="0" applyNumberFormat="1" applyFill="1" applyBorder="1" applyAlignment="1">
      <alignment horizontal="left"/>
    </xf>
    <xf numFmtId="10" fontId="0" fillId="27" borderId="54" xfId="0" applyNumberFormat="1" applyFill="1" applyBorder="1" applyAlignment="1">
      <alignment horizontal="left"/>
    </xf>
    <xf numFmtId="0" fontId="28" fillId="22" borderId="43" xfId="0" applyFont="1" applyFill="1" applyBorder="1" applyAlignment="1">
      <alignment horizontal="left" vertical="center"/>
    </xf>
    <xf numFmtId="10" fontId="0" fillId="34" borderId="54" xfId="0" applyNumberFormat="1" applyFill="1" applyBorder="1" applyAlignment="1">
      <alignment horizontal="left"/>
    </xf>
    <xf numFmtId="164" fontId="26" fillId="0" borderId="7" xfId="0" applyNumberFormat="1" applyFont="1" applyBorder="1" applyAlignment="1">
      <alignment horizontal="right"/>
    </xf>
    <xf numFmtId="9" fontId="25" fillId="0" borderId="7" xfId="1" applyNumberFormat="1" applyFont="1" applyFill="1" applyBorder="1" applyAlignment="1">
      <alignment horizontal="center" vertical="center"/>
    </xf>
    <xf numFmtId="0" fontId="13" fillId="13" borderId="16" xfId="0" applyFont="1" applyFill="1" applyBorder="1" applyAlignment="1">
      <alignment wrapText="1"/>
    </xf>
    <xf numFmtId="9" fontId="13" fillId="13" borderId="0" xfId="0" applyNumberFormat="1" applyFont="1" applyFill="1"/>
    <xf numFmtId="0" fontId="43" fillId="0" borderId="7" xfId="0" applyFont="1" applyBorder="1"/>
    <xf numFmtId="0" fontId="44" fillId="0" borderId="7" xfId="0" applyFont="1" applyBorder="1"/>
    <xf numFmtId="10" fontId="41" fillId="28" borderId="54" xfId="0" applyNumberFormat="1" applyFont="1" applyFill="1" applyBorder="1" applyAlignment="1">
      <alignment horizontal="left"/>
    </xf>
    <xf numFmtId="0" fontId="45" fillId="0" borderId="0" xfId="0" applyFont="1"/>
    <xf numFmtId="10" fontId="45" fillId="0" borderId="0" xfId="0" applyNumberFormat="1" applyFont="1"/>
    <xf numFmtId="0" fontId="46" fillId="0" borderId="0" xfId="0" applyFont="1"/>
    <xf numFmtId="16" fontId="45" fillId="0" borderId="0" xfId="0" applyNumberFormat="1" applyFont="1"/>
    <xf numFmtId="0" fontId="45" fillId="0" borderId="0" xfId="0" applyFont="1" applyAlignment="1">
      <alignment wrapText="1"/>
    </xf>
    <xf numFmtId="10" fontId="45" fillId="0" borderId="0" xfId="0" applyNumberFormat="1" applyFont="1" applyAlignment="1">
      <alignment wrapText="1"/>
    </xf>
    <xf numFmtId="3" fontId="45" fillId="0" borderId="0" xfId="0" applyNumberFormat="1" applyFont="1"/>
    <xf numFmtId="10" fontId="47" fillId="0" borderId="0" xfId="0" applyNumberFormat="1" applyFont="1"/>
    <xf numFmtId="9" fontId="45" fillId="0" borderId="0" xfId="0" applyNumberFormat="1" applyFont="1"/>
    <xf numFmtId="10" fontId="48" fillId="0" borderId="0" xfId="0" applyNumberFormat="1" applyFont="1"/>
    <xf numFmtId="10" fontId="48" fillId="0" borderId="0" xfId="0" applyNumberFormat="1" applyFont="1" applyAlignment="1">
      <alignment wrapText="1"/>
    </xf>
    <xf numFmtId="3" fontId="45" fillId="0" borderId="0" xfId="0" applyNumberFormat="1" applyFont="1" applyAlignment="1">
      <alignment wrapText="1"/>
    </xf>
    <xf numFmtId="10" fontId="47" fillId="0" borderId="0" xfId="0" applyNumberFormat="1" applyFont="1" applyAlignment="1">
      <alignment wrapText="1"/>
    </xf>
    <xf numFmtId="10" fontId="50" fillId="0" borderId="0" xfId="0" applyNumberFormat="1" applyFont="1"/>
    <xf numFmtId="1" fontId="0" fillId="18" borderId="0" xfId="0" applyNumberFormat="1" applyFill="1"/>
    <xf numFmtId="164" fontId="0" fillId="16" borderId="0" xfId="0" applyNumberFormat="1" applyFill="1"/>
    <xf numFmtId="0" fontId="0" fillId="16" borderId="0" xfId="0" applyFill="1"/>
    <xf numFmtId="0" fontId="8" fillId="0" borderId="0" xfId="0" applyFont="1"/>
    <xf numFmtId="0" fontId="11" fillId="0" borderId="0" xfId="0" applyFont="1"/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51" fillId="0" borderId="0" xfId="0" applyFont="1"/>
    <xf numFmtId="0" fontId="51" fillId="0" borderId="1" xfId="0" applyFont="1" applyBorder="1" applyAlignment="1">
      <alignment wrapText="1"/>
    </xf>
    <xf numFmtId="0" fontId="52" fillId="0" borderId="0" xfId="0" applyFont="1"/>
    <xf numFmtId="0" fontId="51" fillId="0" borderId="1" xfId="0" applyFont="1" applyBorder="1"/>
    <xf numFmtId="0" fontId="51" fillId="0" borderId="2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9" fontId="1" fillId="0" borderId="0" xfId="0" applyNumberFormat="1" applyFont="1"/>
    <xf numFmtId="0" fontId="1" fillId="0" borderId="2" xfId="0" applyFont="1" applyBorder="1"/>
    <xf numFmtId="6" fontId="1" fillId="0" borderId="2" xfId="0" applyNumberFormat="1" applyFont="1" applyBorder="1"/>
    <xf numFmtId="0" fontId="2" fillId="35" borderId="0" xfId="0" applyFont="1" applyFill="1"/>
    <xf numFmtId="168" fontId="1" fillId="0" borderId="1" xfId="0" applyNumberFormat="1" applyFont="1" applyBorder="1"/>
    <xf numFmtId="168" fontId="1" fillId="0" borderId="0" xfId="0" applyNumberFormat="1" applyFont="1"/>
    <xf numFmtId="164" fontId="1" fillId="0" borderId="1" xfId="0" applyNumberFormat="1" applyFont="1" applyBorder="1"/>
    <xf numFmtId="0" fontId="5" fillId="0" borderId="0" xfId="0" applyFont="1"/>
    <xf numFmtId="168" fontId="51" fillId="0" borderId="1" xfId="0" applyNumberFormat="1" applyFont="1" applyBorder="1" applyAlignment="1">
      <alignment wrapText="1"/>
    </xf>
    <xf numFmtId="168" fontId="51" fillId="0" borderId="0" xfId="0" applyNumberFormat="1" applyFont="1"/>
    <xf numFmtId="168" fontId="9" fillId="0" borderId="0" xfId="0" applyNumberFormat="1" applyFont="1"/>
    <xf numFmtId="0" fontId="1" fillId="0" borderId="65" xfId="0" applyFont="1" applyBorder="1"/>
    <xf numFmtId="168" fontId="1" fillId="0" borderId="66" xfId="0" applyNumberFormat="1" applyFont="1" applyBorder="1"/>
    <xf numFmtId="168" fontId="1" fillId="0" borderId="65" xfId="0" applyNumberFormat="1" applyFont="1" applyBorder="1"/>
    <xf numFmtId="168" fontId="9" fillId="0" borderId="65" xfId="0" applyNumberFormat="1" applyFont="1" applyBorder="1"/>
    <xf numFmtId="164" fontId="1" fillId="0" borderId="65" xfId="0" applyNumberFormat="1" applyFont="1" applyBorder="1"/>
    <xf numFmtId="3" fontId="1" fillId="0" borderId="65" xfId="0" applyNumberFormat="1" applyFont="1" applyBorder="1"/>
    <xf numFmtId="9" fontId="1" fillId="0" borderId="65" xfId="0" applyNumberFormat="1" applyFont="1" applyBorder="1"/>
    <xf numFmtId="6" fontId="1" fillId="0" borderId="73" xfId="0" applyNumberFormat="1" applyFont="1" applyBorder="1"/>
    <xf numFmtId="0" fontId="2" fillId="35" borderId="74" xfId="0" applyFont="1" applyFill="1" applyBorder="1"/>
    <xf numFmtId="0" fontId="2" fillId="35" borderId="65" xfId="0" applyFont="1" applyFill="1" applyBorder="1"/>
    <xf numFmtId="0" fontId="1" fillId="35" borderId="65" xfId="0" applyFont="1" applyFill="1" applyBorder="1"/>
    <xf numFmtId="168" fontId="2" fillId="36" borderId="66" xfId="0" applyNumberFormat="1" applyFont="1" applyFill="1" applyBorder="1"/>
    <xf numFmtId="168" fontId="53" fillId="36" borderId="65" xfId="0" applyNumberFormat="1" applyFont="1" applyFill="1" applyBorder="1"/>
    <xf numFmtId="164" fontId="2" fillId="36" borderId="66" xfId="0" applyNumberFormat="1" applyFont="1" applyFill="1" applyBorder="1"/>
    <xf numFmtId="168" fontId="2" fillId="36" borderId="65" xfId="0" applyNumberFormat="1" applyFont="1" applyFill="1" applyBorder="1"/>
    <xf numFmtId="3" fontId="2" fillId="36" borderId="65" xfId="0" applyNumberFormat="1" applyFont="1" applyFill="1" applyBorder="1"/>
    <xf numFmtId="9" fontId="2" fillId="36" borderId="65" xfId="0" applyNumberFormat="1" applyFont="1" applyFill="1" applyBorder="1"/>
    <xf numFmtId="6" fontId="2" fillId="36" borderId="73" xfId="0" applyNumberFormat="1" applyFont="1" applyFill="1" applyBorder="1"/>
    <xf numFmtId="168" fontId="2" fillId="0" borderId="0" xfId="0" applyNumberFormat="1" applyFont="1"/>
    <xf numFmtId="16" fontId="1" fillId="0" borderId="0" xfId="0" quotePrefix="1" applyNumberFormat="1" applyFont="1"/>
    <xf numFmtId="0" fontId="1" fillId="0" borderId="0" xfId="0" quotePrefix="1" applyFont="1"/>
    <xf numFmtId="0" fontId="1" fillId="0" borderId="65" xfId="0" quotePrefix="1" applyFont="1" applyBorder="1"/>
    <xf numFmtId="3" fontId="1" fillId="0" borderId="66" xfId="0" applyNumberFormat="1" applyFont="1" applyBorder="1"/>
    <xf numFmtId="168" fontId="0" fillId="0" borderId="0" xfId="0" applyNumberFormat="1"/>
    <xf numFmtId="168" fontId="1" fillId="0" borderId="75" xfId="0" applyNumberFormat="1" applyFont="1" applyBorder="1"/>
    <xf numFmtId="164" fontId="1" fillId="0" borderId="66" xfId="0" applyNumberFormat="1" applyFont="1" applyBorder="1"/>
    <xf numFmtId="168" fontId="1" fillId="0" borderId="76" xfId="0" applyNumberFormat="1" applyFont="1" applyBorder="1"/>
    <xf numFmtId="168" fontId="2" fillId="0" borderId="1" xfId="0" applyNumberFormat="1" applyFont="1" applyBorder="1"/>
    <xf numFmtId="168" fontId="53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7" fillId="0" borderId="0" xfId="0" applyFont="1"/>
    <xf numFmtId="168" fontId="53" fillId="36" borderId="66" xfId="0" applyNumberFormat="1" applyFont="1" applyFill="1" applyBorder="1"/>
    <xf numFmtId="0" fontId="2" fillId="36" borderId="65" xfId="0" applyFont="1" applyFill="1" applyBorder="1"/>
    <xf numFmtId="168" fontId="54" fillId="0" borderId="0" xfId="0" applyNumberFormat="1" applyFont="1"/>
    <xf numFmtId="0" fontId="2" fillId="0" borderId="65" xfId="0" applyFont="1" applyBorder="1"/>
    <xf numFmtId="0" fontId="1" fillId="0" borderId="66" xfId="0" applyFont="1" applyBorder="1"/>
    <xf numFmtId="0" fontId="2" fillId="35" borderId="77" xfId="0" applyFont="1" applyFill="1" applyBorder="1"/>
    <xf numFmtId="168" fontId="2" fillId="36" borderId="1" xfId="0" applyNumberFormat="1" applyFont="1" applyFill="1" applyBorder="1"/>
    <xf numFmtId="164" fontId="2" fillId="36" borderId="1" xfId="0" applyNumberFormat="1" applyFont="1" applyFill="1" applyBorder="1"/>
    <xf numFmtId="168" fontId="2" fillId="36" borderId="0" xfId="0" applyNumberFormat="1" applyFont="1" applyFill="1"/>
    <xf numFmtId="0" fontId="2" fillId="36" borderId="0" xfId="0" applyFont="1" applyFill="1"/>
    <xf numFmtId="9" fontId="2" fillId="36" borderId="0" xfId="0" applyNumberFormat="1" applyFont="1" applyFill="1"/>
    <xf numFmtId="6" fontId="2" fillId="36" borderId="2" xfId="0" applyNumberFormat="1" applyFont="1" applyFill="1" applyBorder="1"/>
    <xf numFmtId="0" fontId="53" fillId="37" borderId="69" xfId="0" applyFont="1" applyFill="1" applyBorder="1"/>
    <xf numFmtId="0" fontId="53" fillId="37" borderId="70" xfId="0" applyFont="1" applyFill="1" applyBorder="1"/>
    <xf numFmtId="168" fontId="53" fillId="37" borderId="71" xfId="0" applyNumberFormat="1" applyFont="1" applyFill="1" applyBorder="1"/>
    <xf numFmtId="164" fontId="53" fillId="37" borderId="71" xfId="0" applyNumberFormat="1" applyFont="1" applyFill="1" applyBorder="1"/>
    <xf numFmtId="9" fontId="53" fillId="37" borderId="70" xfId="0" applyNumberFormat="1" applyFont="1" applyFill="1" applyBorder="1"/>
    <xf numFmtId="6" fontId="53" fillId="37" borderId="72" xfId="0" applyNumberFormat="1" applyFont="1" applyFill="1" applyBorder="1"/>
    <xf numFmtId="164" fontId="0" fillId="0" borderId="0" xfId="5" applyNumberFormat="1" applyFont="1" applyAlignment="1">
      <alignment horizontal="right"/>
    </xf>
    <xf numFmtId="16" fontId="0" fillId="14" borderId="0" xfId="0" applyNumberFormat="1" applyFill="1"/>
    <xf numFmtId="1" fontId="0" fillId="14" borderId="0" xfId="0" applyNumberFormat="1" applyFill="1"/>
    <xf numFmtId="0" fontId="29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3" fontId="0" fillId="13" borderId="48" xfId="0" applyNumberForma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/>
    <xf numFmtId="0" fontId="11" fillId="0" borderId="15" xfId="0" applyFont="1" applyBorder="1" applyAlignment="1">
      <alignment horizontal="left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 wrapText="1"/>
    </xf>
    <xf numFmtId="0" fontId="42" fillId="0" borderId="0" xfId="0" applyFont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0" fillId="0" borderId="0" xfId="4" applyFont="1" applyAlignment="1">
      <alignment horizontal="center"/>
    </xf>
    <xf numFmtId="0" fontId="19" fillId="0" borderId="16" xfId="4" applyBorder="1" applyAlignment="1">
      <alignment horizontal="center"/>
    </xf>
    <xf numFmtId="0" fontId="23" fillId="0" borderId="20" xfId="0" applyFont="1" applyBorder="1" applyAlignment="1">
      <alignment wrapText="1" readingOrder="1"/>
    </xf>
    <xf numFmtId="0" fontId="23" fillId="0" borderId="21" xfId="0" applyFont="1" applyBorder="1" applyAlignment="1">
      <alignment wrapText="1" readingOrder="1"/>
    </xf>
    <xf numFmtId="0" fontId="23" fillId="0" borderId="22" xfId="0" applyFont="1" applyBorder="1" applyAlignment="1">
      <alignment wrapText="1" readingOrder="1"/>
    </xf>
    <xf numFmtId="9" fontId="13" fillId="0" borderId="16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11" fillId="0" borderId="0" xfId="0" applyFont="1"/>
    <xf numFmtId="0" fontId="5" fillId="7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5" borderId="0" xfId="0" applyFont="1" applyFill="1"/>
    <xf numFmtId="0" fontId="10" fillId="6" borderId="42" xfId="0" applyFont="1" applyFill="1" applyBorder="1"/>
  </cellXfs>
  <cellStyles count="9">
    <cellStyle name="Comma" xfId="1" builtinId="3"/>
    <cellStyle name="Comma 2" xfId="5" xr:uid="{99A94C92-21F5-429C-A9FD-E445B09A06EA}"/>
    <cellStyle name="Currency" xfId="2" builtinId="4"/>
    <cellStyle name="Currency 2" xfId="6" xr:uid="{B393435F-F0B9-4BD7-85FF-E0A8560ADAD7}"/>
    <cellStyle name="Hyperlink" xfId="8" builtinId="8"/>
    <cellStyle name="Normal" xfId="0" builtinId="0"/>
    <cellStyle name="Normal 2" xfId="4" xr:uid="{5D47700F-7E58-4DF0-802E-5D8BCC5D6F3E}"/>
    <cellStyle name="Percent" xfId="3" builtinId="5"/>
    <cellStyle name="Percent 2" xfId="7" xr:uid="{76F2B184-27B8-40F1-8F86-983DBB47196C}"/>
  </cellStyles>
  <dxfs count="150"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bgColor theme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theme="6"/>
        </patternFill>
      </fill>
    </dxf>
    <dxf>
      <font>
        <color auto="1"/>
      </font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ont>
        <color theme="1"/>
      </font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/>
        </patternFill>
      </fill>
    </dxf>
    <dxf>
      <fill>
        <patternFill patternType="solid">
          <bgColor theme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7C7AC"/>
      <color rgb="FF83E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PS1 Journey (Sep</a:t>
            </a:r>
            <a:r>
              <a:rPr lang="en-US" baseline="0"/>
              <a:t> </a:t>
            </a:r>
            <a:r>
              <a:rPr lang="en-US"/>
              <a:t>19-21)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'PS1 Journey'!$A$4</c:f>
              <c:strCache>
                <c:ptCount val="1"/>
                <c:pt idx="0">
                  <c:v>9/19/2025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Journey'!$B$4:$G$4</c:f>
              <c:numCache>
                <c:formatCode>General</c:formatCode>
                <c:ptCount val="6"/>
                <c:pt idx="0">
                  <c:v>60</c:v>
                </c:pt>
                <c:pt idx="1">
                  <c:v>160</c:v>
                </c:pt>
                <c:pt idx="2">
                  <c:v>205</c:v>
                </c:pt>
                <c:pt idx="3">
                  <c:v>262</c:v>
                </c:pt>
                <c:pt idx="4">
                  <c:v>311</c:v>
                </c:pt>
                <c:pt idx="5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1-4DF3-9CE7-22CA195ADA1D}"/>
            </c:ext>
          </c:extLst>
        </c:ser>
        <c:ser>
          <c:idx val="1"/>
          <c:order val="1"/>
          <c:tx>
            <c:strRef>
              <c:f>'PS1 Journey'!$A$5</c:f>
              <c:strCache>
                <c:ptCount val="1"/>
                <c:pt idx="0">
                  <c:v>9/20/2025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Journey'!$B$5:$G$5</c:f>
              <c:numCache>
                <c:formatCode>General</c:formatCode>
                <c:ptCount val="6"/>
                <c:pt idx="0">
                  <c:v>63</c:v>
                </c:pt>
                <c:pt idx="1">
                  <c:v>206</c:v>
                </c:pt>
                <c:pt idx="2">
                  <c:v>250</c:v>
                </c:pt>
                <c:pt idx="3">
                  <c:v>294</c:v>
                </c:pt>
                <c:pt idx="4">
                  <c:v>360</c:v>
                </c:pt>
                <c:pt idx="5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1-4DF3-9CE7-22CA195ADA1D}"/>
            </c:ext>
          </c:extLst>
        </c:ser>
        <c:ser>
          <c:idx val="2"/>
          <c:order val="2"/>
          <c:tx>
            <c:strRef>
              <c:f>'PS1 Journey'!$A$6</c:f>
              <c:strCache>
                <c:ptCount val="1"/>
                <c:pt idx="0">
                  <c:v>9/21/2025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Journey'!$B$6:$G$6</c:f>
              <c:numCache>
                <c:formatCode>General</c:formatCode>
                <c:ptCount val="6"/>
                <c:pt idx="0">
                  <c:v>57</c:v>
                </c:pt>
                <c:pt idx="1">
                  <c:v>219</c:v>
                </c:pt>
                <c:pt idx="2">
                  <c:v>296</c:v>
                </c:pt>
                <c:pt idx="3">
                  <c:v>322</c:v>
                </c:pt>
                <c:pt idx="4">
                  <c:v>444</c:v>
                </c:pt>
                <c:pt idx="5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1-4DF3-9CE7-22CA195ADA1D}"/>
            </c:ext>
          </c:extLst>
        </c:ser>
        <c:ser>
          <c:idx val="3"/>
          <c:order val="3"/>
          <c:tx>
            <c:strRef>
              <c:f>'PS1 Journey'!$A$7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'PS1 Journey'!$B$3:$G$3</c:f>
              <c:numCache>
                <c:formatCode>d\-mmm</c:formatCode>
                <c:ptCount val="6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</c:numCache>
            </c:numRef>
          </c:cat>
          <c:val>
            <c:numRef>
              <c:f>'PS1 Journey'!$B$7:$G$7</c:f>
              <c:numCache>
                <c:formatCode>0</c:formatCode>
                <c:ptCount val="6"/>
                <c:pt idx="0">
                  <c:v>280.245</c:v>
                </c:pt>
                <c:pt idx="1">
                  <c:v>308.26949999999999</c:v>
                </c:pt>
                <c:pt idx="2">
                  <c:v>364.31850000000003</c:v>
                </c:pt>
                <c:pt idx="3">
                  <c:v>429.709</c:v>
                </c:pt>
                <c:pt idx="4">
                  <c:v>551.14850000000001</c:v>
                </c:pt>
                <c:pt idx="5">
                  <c:v>934.15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11-4DF3-9CE7-22CA195AD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CS1 Appalachian Spring (Oct 10-12)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'CS1 Appalachian'!$A$4</c:f>
              <c:strCache>
                <c:ptCount val="1"/>
                <c:pt idx="0">
                  <c:v>10/10/2025 Sales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Appalachian'!$B$4:$J$4</c:f>
              <c:numCache>
                <c:formatCode>General</c:formatCode>
                <c:ptCount val="9"/>
                <c:pt idx="0">
                  <c:v>60</c:v>
                </c:pt>
                <c:pt idx="1">
                  <c:v>100</c:v>
                </c:pt>
                <c:pt idx="2">
                  <c:v>106</c:v>
                </c:pt>
                <c:pt idx="3">
                  <c:v>135</c:v>
                </c:pt>
                <c:pt idx="4">
                  <c:v>193</c:v>
                </c:pt>
                <c:pt idx="5">
                  <c:v>212</c:v>
                </c:pt>
                <c:pt idx="6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5-4B3F-A447-71E89C076B42}"/>
            </c:ext>
          </c:extLst>
        </c:ser>
        <c:ser>
          <c:idx val="1"/>
          <c:order val="1"/>
          <c:tx>
            <c:strRef>
              <c:f>'CS1 Appalachian'!$A$5</c:f>
              <c:strCache>
                <c:ptCount val="1"/>
                <c:pt idx="0">
                  <c:v>10/11/2025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Appalachian'!$B$5:$J$5</c:f>
              <c:numCache>
                <c:formatCode>General</c:formatCode>
                <c:ptCount val="9"/>
                <c:pt idx="0">
                  <c:v>63</c:v>
                </c:pt>
                <c:pt idx="1">
                  <c:v>98</c:v>
                </c:pt>
                <c:pt idx="2">
                  <c:v>115</c:v>
                </c:pt>
                <c:pt idx="3">
                  <c:v>130</c:v>
                </c:pt>
                <c:pt idx="4">
                  <c:v>179</c:v>
                </c:pt>
                <c:pt idx="5">
                  <c:v>225</c:v>
                </c:pt>
                <c:pt idx="6">
                  <c:v>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5-4B3F-A447-71E89C076B42}"/>
            </c:ext>
          </c:extLst>
        </c:ser>
        <c:ser>
          <c:idx val="2"/>
          <c:order val="2"/>
          <c:tx>
            <c:strRef>
              <c:f>'CS1 Appalachian'!$A$6</c:f>
              <c:strCache>
                <c:ptCount val="1"/>
                <c:pt idx="0">
                  <c:v>10/12/2025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Appalachian'!$B$6:$J$6</c:f>
              <c:numCache>
                <c:formatCode>General</c:formatCode>
                <c:ptCount val="9"/>
                <c:pt idx="0">
                  <c:v>57</c:v>
                </c:pt>
                <c:pt idx="1">
                  <c:v>137</c:v>
                </c:pt>
                <c:pt idx="2">
                  <c:v>154</c:v>
                </c:pt>
                <c:pt idx="3">
                  <c:v>174</c:v>
                </c:pt>
                <c:pt idx="4">
                  <c:v>239</c:v>
                </c:pt>
                <c:pt idx="5">
                  <c:v>295</c:v>
                </c:pt>
                <c:pt idx="6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5-4B3F-A447-71E89C076B42}"/>
            </c:ext>
          </c:extLst>
        </c:ser>
        <c:ser>
          <c:idx val="3"/>
          <c:order val="3"/>
          <c:tx>
            <c:strRef>
              <c:f>'CS1 Appalachian'!$A$7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'CS1 Appalachian'!$B$3:$J$3</c:f>
              <c:numCache>
                <c:formatCode>d\-mmm</c:formatCode>
                <c:ptCount val="9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</c:numCache>
            </c:numRef>
          </c:cat>
          <c:val>
            <c:numRef>
              <c:f>'CS1 Appalachian'!$B$7:$J$7</c:f>
              <c:numCache>
                <c:formatCode>0</c:formatCode>
                <c:ptCount val="9"/>
                <c:pt idx="0">
                  <c:v>151.72499999999999</c:v>
                </c:pt>
                <c:pt idx="1">
                  <c:v>173.4</c:v>
                </c:pt>
                <c:pt idx="2">
                  <c:v>195.07500000000002</c:v>
                </c:pt>
                <c:pt idx="3">
                  <c:v>216.75</c:v>
                </c:pt>
                <c:pt idx="4">
                  <c:v>238.42500000000001</c:v>
                </c:pt>
                <c:pt idx="5">
                  <c:v>281.77500000000003</c:v>
                </c:pt>
                <c:pt idx="6">
                  <c:v>332.35</c:v>
                </c:pt>
                <c:pt idx="7">
                  <c:v>426.27499999999998</c:v>
                </c:pt>
                <c:pt idx="8">
                  <c:v>722.5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E5-4B3F-A447-71E89C07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PS2 90s Mixtape (Oct 24-26)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 90s Mixtape'!$A$4</c:f>
              <c:strCache>
                <c:ptCount val="1"/>
                <c:pt idx="0">
                  <c:v>10/24/2025 Sales (Fri)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Mixtape'!$B$4:$L$4</c:f>
              <c:numCache>
                <c:formatCode>General</c:formatCode>
                <c:ptCount val="11"/>
                <c:pt idx="0">
                  <c:v>60</c:v>
                </c:pt>
                <c:pt idx="1">
                  <c:v>64</c:v>
                </c:pt>
                <c:pt idx="2">
                  <c:v>68</c:v>
                </c:pt>
                <c:pt idx="3">
                  <c:v>74</c:v>
                </c:pt>
                <c:pt idx="4">
                  <c:v>80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6-4845-B937-C6A26FDAF4AF}"/>
            </c:ext>
          </c:extLst>
        </c:ser>
        <c:ser>
          <c:idx val="1"/>
          <c:order val="1"/>
          <c:tx>
            <c:strRef>
              <c:f>'PS2 90s Mixtape'!$A$5</c:f>
              <c:strCache>
                <c:ptCount val="1"/>
                <c:pt idx="0">
                  <c:v>10/25/2025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Mixtape'!$B$5:$L$5</c:f>
              <c:numCache>
                <c:formatCode>General</c:formatCode>
                <c:ptCount val="11"/>
                <c:pt idx="0">
                  <c:v>63</c:v>
                </c:pt>
                <c:pt idx="1">
                  <c:v>63</c:v>
                </c:pt>
                <c:pt idx="2">
                  <c:v>73</c:v>
                </c:pt>
                <c:pt idx="3">
                  <c:v>93</c:v>
                </c:pt>
                <c:pt idx="4">
                  <c:v>106</c:v>
                </c:pt>
                <c:pt idx="5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6-4845-B937-C6A26FDAF4AF}"/>
            </c:ext>
          </c:extLst>
        </c:ser>
        <c:ser>
          <c:idx val="2"/>
          <c:order val="2"/>
          <c:tx>
            <c:strRef>
              <c:f>'PS2 90s Mixtape'!$A$6</c:f>
              <c:strCache>
                <c:ptCount val="1"/>
                <c:pt idx="0">
                  <c:v>10/26/2025 Sales (Sun)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Mixtape'!$B$6:$L$6</c:f>
              <c:numCache>
                <c:formatCode>General</c:formatCode>
                <c:ptCount val="11"/>
                <c:pt idx="0">
                  <c:v>57</c:v>
                </c:pt>
                <c:pt idx="1">
                  <c:v>59</c:v>
                </c:pt>
                <c:pt idx="2">
                  <c:v>66</c:v>
                </c:pt>
                <c:pt idx="3">
                  <c:v>74</c:v>
                </c:pt>
                <c:pt idx="4">
                  <c:v>76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A6-4845-B937-C6A26FDAF4AF}"/>
            </c:ext>
          </c:extLst>
        </c:ser>
        <c:ser>
          <c:idx val="3"/>
          <c:order val="3"/>
          <c:tx>
            <c:strRef>
              <c:f>'PS2 90s Mixtape'!$A$7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'PS2 90s Mixtape'!$B$3:$L$3</c:f>
              <c:numCache>
                <c:formatCode>d\-mmm</c:formatCode>
                <c:ptCount val="11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  <c:pt idx="4">
                  <c:v>45908</c:v>
                </c:pt>
                <c:pt idx="5">
                  <c:v>45915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45943</c:v>
                </c:pt>
                <c:pt idx="10">
                  <c:v>45950</c:v>
                </c:pt>
              </c:numCache>
            </c:numRef>
          </c:cat>
          <c:val>
            <c:numRef>
              <c:f>'PS2 90s Mixtape'!$B$7:$L$7</c:f>
              <c:numCache>
                <c:formatCode>0</c:formatCode>
                <c:ptCount val="11"/>
                <c:pt idx="0">
                  <c:v>129.66749999999999</c:v>
                </c:pt>
                <c:pt idx="1">
                  <c:v>155.60099999999997</c:v>
                </c:pt>
                <c:pt idx="2">
                  <c:v>181.53449999999998</c:v>
                </c:pt>
                <c:pt idx="3">
                  <c:v>207.46799999999999</c:v>
                </c:pt>
                <c:pt idx="4">
                  <c:v>233.4015</c:v>
                </c:pt>
                <c:pt idx="5">
                  <c:v>259.33499999999998</c:v>
                </c:pt>
                <c:pt idx="6">
                  <c:v>285.26850000000002</c:v>
                </c:pt>
                <c:pt idx="7">
                  <c:v>337.13549999999998</c:v>
                </c:pt>
                <c:pt idx="8">
                  <c:v>397.64699999999999</c:v>
                </c:pt>
                <c:pt idx="9">
                  <c:v>510.02549999999991</c:v>
                </c:pt>
                <c:pt idx="10">
                  <c:v>864.44999999999993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A6-4845-B937-C6A26FDAF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MFSB (Sep 2-3)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MFSB!$A$3</c:f>
              <c:strCache>
                <c:ptCount val="1"/>
                <c:pt idx="0">
                  <c:v>9/2/2025 Sales (Tue)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MFSB!$B$3:$E$3</c:f>
              <c:numCache>
                <c:formatCode>General</c:formatCode>
                <c:ptCount val="4"/>
                <c:pt idx="0">
                  <c:v>754</c:v>
                </c:pt>
                <c:pt idx="1">
                  <c:v>915</c:v>
                </c:pt>
                <c:pt idx="2">
                  <c:v>1013</c:v>
                </c:pt>
                <c:pt idx="3">
                  <c:v>1096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0-4A91-9048-C8C36A58E787}"/>
            </c:ext>
          </c:extLst>
        </c:ser>
        <c:ser>
          <c:idx val="1"/>
          <c:order val="1"/>
          <c:tx>
            <c:strRef>
              <c:f>MFSB!$A$4</c:f>
              <c:strCache>
                <c:ptCount val="1"/>
                <c:pt idx="0">
                  <c:v>9/3/2025 Sales (Wed)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MFSB!$B$4:$E$4</c:f>
              <c:numCache>
                <c:formatCode>General</c:formatCode>
                <c:ptCount val="4"/>
                <c:pt idx="0">
                  <c:v>651</c:v>
                </c:pt>
                <c:pt idx="1">
                  <c:v>826</c:v>
                </c:pt>
                <c:pt idx="2">
                  <c:v>926</c:v>
                </c:pt>
                <c:pt idx="3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0-4A91-9048-C8C36A58E787}"/>
            </c:ext>
          </c:extLst>
        </c:ser>
        <c:ser>
          <c:idx val="2"/>
          <c:order val="2"/>
          <c:tx>
            <c:strRef>
              <c:f>MFSB!$A$5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MFSB!$B$2:$E$2</c:f>
              <c:numCache>
                <c:formatCode>d\-mmm</c:formatCode>
                <c:ptCount val="4"/>
                <c:pt idx="0">
                  <c:v>45880</c:v>
                </c:pt>
                <c:pt idx="1">
                  <c:v>45887</c:v>
                </c:pt>
                <c:pt idx="2">
                  <c:v>45894</c:v>
                </c:pt>
                <c:pt idx="3">
                  <c:v>45901</c:v>
                </c:pt>
              </c:numCache>
            </c:numRef>
          </c:cat>
          <c:val>
            <c:numRef>
              <c:f>MFSB!$B$5:$E$5</c:f>
              <c:numCache>
                <c:formatCode>0</c:formatCode>
                <c:ptCount val="4"/>
                <c:pt idx="0">
                  <c:v>431.61300000000006</c:v>
                </c:pt>
                <c:pt idx="1">
                  <c:v>509.08200000000005</c:v>
                </c:pt>
                <c:pt idx="2">
                  <c:v>652.95299999999997</c:v>
                </c:pt>
                <c:pt idx="3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0-4A91-9048-C8C36A58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CS2 Rachmaninoff (Oct 31-Nov 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'CS2 Rachmaninoff'!$A$4</c:f>
              <c:strCache>
                <c:ptCount val="1"/>
                <c:pt idx="0">
                  <c:v>10/31/2025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Rachmaninoff'!$B$4:$L$4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93</c:v>
                </c:pt>
                <c:pt idx="2" formatCode="General">
                  <c:v>102</c:v>
                </c:pt>
                <c:pt idx="3" formatCode="General">
                  <c:v>106</c:v>
                </c:pt>
                <c:pt idx="4" formatCode="General">
                  <c:v>111</c:v>
                </c:pt>
                <c:pt idx="5" formatCode="General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B-4143-8BC8-397A65ACA5DC}"/>
            </c:ext>
          </c:extLst>
        </c:ser>
        <c:ser>
          <c:idx val="1"/>
          <c:order val="1"/>
          <c:tx>
            <c:strRef>
              <c:f>'CS2 Rachmaninoff'!$A$5</c:f>
              <c:strCache>
                <c:ptCount val="1"/>
                <c:pt idx="0">
                  <c:v>11/01/2025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Rachmaninoff'!$B$5:$L$5</c:f>
              <c:numCache>
                <c:formatCode>_(* #,##0_);_(* \(#,##0\);_(* "-"??_);_(@_)</c:formatCode>
                <c:ptCount val="11"/>
                <c:pt idx="0">
                  <c:v>192</c:v>
                </c:pt>
                <c:pt idx="1">
                  <c:v>209</c:v>
                </c:pt>
                <c:pt idx="2" formatCode="General">
                  <c:v>256</c:v>
                </c:pt>
                <c:pt idx="3" formatCode="General">
                  <c:v>310</c:v>
                </c:pt>
                <c:pt idx="4" formatCode="General">
                  <c:v>340</c:v>
                </c:pt>
                <c:pt idx="5" formatCode="General">
                  <c:v>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B-4143-8BC8-397A65ACA5DC}"/>
            </c:ext>
          </c:extLst>
        </c:ser>
        <c:ser>
          <c:idx val="2"/>
          <c:order val="2"/>
          <c:tx>
            <c:strRef>
              <c:f>'CS2 Rachmaninoff'!$A$6</c:f>
              <c:strCache>
                <c:ptCount val="1"/>
                <c:pt idx="0">
                  <c:v>11/02/2025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Rachmaninoff'!$B$6:$L$6</c:f>
              <c:numCache>
                <c:formatCode>_(* #,##0_);_(* \(#,##0\);_(* "-"??_);_(@_)</c:formatCode>
                <c:ptCount val="11"/>
                <c:pt idx="0">
                  <c:v>138</c:v>
                </c:pt>
                <c:pt idx="1">
                  <c:v>165</c:v>
                </c:pt>
                <c:pt idx="2" formatCode="General">
                  <c:v>187</c:v>
                </c:pt>
                <c:pt idx="3" formatCode="General">
                  <c:v>219</c:v>
                </c:pt>
                <c:pt idx="4" formatCode="General">
                  <c:v>232</c:v>
                </c:pt>
                <c:pt idx="5" formatCode="General">
                  <c:v>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B-4143-8BC8-397A65ACA5DC}"/>
            </c:ext>
          </c:extLst>
        </c:ser>
        <c:ser>
          <c:idx val="3"/>
          <c:order val="3"/>
          <c:tx>
            <c:strRef>
              <c:f>'CS2 Rachmaninoff'!$A$7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'CS2 Rachmaninoff'!$B$3:$L$3</c:f>
              <c:numCache>
                <c:formatCode>d\-mmm</c:formatCode>
                <c:ptCount val="11"/>
                <c:pt idx="0">
                  <c:v>45887</c:v>
                </c:pt>
                <c:pt idx="1">
                  <c:v>45894</c:v>
                </c:pt>
                <c:pt idx="2">
                  <c:v>45901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45929</c:v>
                </c:pt>
                <c:pt idx="7">
                  <c:v>45936</c:v>
                </c:pt>
                <c:pt idx="8">
                  <c:v>45943</c:v>
                </c:pt>
                <c:pt idx="9">
                  <c:v>45950</c:v>
                </c:pt>
                <c:pt idx="10">
                  <c:v>45957</c:v>
                </c:pt>
              </c:numCache>
            </c:numRef>
          </c:cat>
          <c:val>
            <c:numRef>
              <c:f>'CS2 Rachmaninoff'!$B$7:$L$7</c:f>
              <c:numCache>
                <c:formatCode>0</c:formatCode>
                <c:ptCount val="11"/>
                <c:pt idx="0">
                  <c:v>120.61499999999999</c:v>
                </c:pt>
                <c:pt idx="1">
                  <c:v>144.738</c:v>
                </c:pt>
                <c:pt idx="2">
                  <c:v>168.86099999999999</c:v>
                </c:pt>
                <c:pt idx="3">
                  <c:v>192.98400000000001</c:v>
                </c:pt>
                <c:pt idx="4">
                  <c:v>217.10700000000003</c:v>
                </c:pt>
                <c:pt idx="5">
                  <c:v>241.23</c:v>
                </c:pt>
                <c:pt idx="6">
                  <c:v>265.35300000000001</c:v>
                </c:pt>
                <c:pt idx="7">
                  <c:v>313.59900000000005</c:v>
                </c:pt>
                <c:pt idx="8">
                  <c:v>369.88600000000002</c:v>
                </c:pt>
                <c:pt idx="9">
                  <c:v>474.41899999999998</c:v>
                </c:pt>
                <c:pt idx="10">
                  <c:v>804.1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B-4143-8BC8-397A65ACA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CS3 Mahler (Nov 21-23)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'CS3 Mahler'!$A$4</c:f>
              <c:strCache>
                <c:ptCount val="1"/>
                <c:pt idx="0">
                  <c:v>11/21/2025 Sales (Fri, Piazza)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Mahler'!$B$4:$L$4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60</c:v>
                </c:pt>
                <c:pt idx="2" formatCode="General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5-4EF5-AA1A-D431C8D842A7}"/>
            </c:ext>
          </c:extLst>
        </c:ser>
        <c:ser>
          <c:idx val="1"/>
          <c:order val="1"/>
          <c:tx>
            <c:strRef>
              <c:f>'CS3 Mahler'!$A$5</c:f>
              <c:strCache>
                <c:ptCount val="1"/>
                <c:pt idx="0">
                  <c:v>11/22/2025 Sales (Sat)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Mahler'!$B$5:$L$5</c:f>
              <c:numCache>
                <c:formatCode>_(* #,##0_);_(* \(#,##0\);_(* "-"??_);_(@_)</c:formatCode>
                <c:ptCount val="11"/>
                <c:pt idx="0">
                  <c:v>95</c:v>
                </c:pt>
                <c:pt idx="1">
                  <c:v>110</c:v>
                </c:pt>
                <c:pt idx="2" formatCode="General">
                  <c:v>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5-4EF5-AA1A-D431C8D842A7}"/>
            </c:ext>
          </c:extLst>
        </c:ser>
        <c:ser>
          <c:idx val="2"/>
          <c:order val="2"/>
          <c:tx>
            <c:strRef>
              <c:f>'CS3 Mahler'!$A$6</c:f>
              <c:strCache>
                <c:ptCount val="1"/>
                <c:pt idx="0">
                  <c:v>11/23/2025 Sales (Sun)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Mahler'!$B$6:$L$6</c:f>
              <c:numCache>
                <c:formatCode>_(* #,##0_);_(* \(#,##0\);_(* "-"??_);_(@_)</c:formatCode>
                <c:ptCount val="11"/>
                <c:pt idx="0">
                  <c:v>75</c:v>
                </c:pt>
                <c:pt idx="1">
                  <c:v>81</c:v>
                </c:pt>
                <c:pt idx="2" formatCode="General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5-4EF5-AA1A-D431C8D842A7}"/>
            </c:ext>
          </c:extLst>
        </c:ser>
        <c:ser>
          <c:idx val="3"/>
          <c:order val="3"/>
          <c:tx>
            <c:strRef>
              <c:f>'CS3 Mahler'!$A$7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'CS3 Mahler'!$B$3:$L$3</c:f>
              <c:numCache>
                <c:formatCode>d\-mmm</c:formatCode>
                <c:ptCount val="11"/>
                <c:pt idx="0">
                  <c:v>45908</c:v>
                </c:pt>
                <c:pt idx="1">
                  <c:v>45915</c:v>
                </c:pt>
                <c:pt idx="2">
                  <c:v>45922</c:v>
                </c:pt>
                <c:pt idx="3">
                  <c:v>45929</c:v>
                </c:pt>
                <c:pt idx="4">
                  <c:v>45936</c:v>
                </c:pt>
                <c:pt idx="5">
                  <c:v>45943</c:v>
                </c:pt>
                <c:pt idx="6">
                  <c:v>45950</c:v>
                </c:pt>
                <c:pt idx="7">
                  <c:v>45957</c:v>
                </c:pt>
                <c:pt idx="8">
                  <c:v>45964</c:v>
                </c:pt>
                <c:pt idx="9">
                  <c:v>45971</c:v>
                </c:pt>
                <c:pt idx="10">
                  <c:v>45978</c:v>
                </c:pt>
              </c:numCache>
            </c:numRef>
          </c:cat>
          <c:val>
            <c:numRef>
              <c:f>'CS3 Mahler'!$B$7:$L$7</c:f>
              <c:numCache>
                <c:formatCode>0</c:formatCode>
                <c:ptCount val="11"/>
                <c:pt idx="0">
                  <c:v>135.91499999999999</c:v>
                </c:pt>
                <c:pt idx="1">
                  <c:v>163.09799999999998</c:v>
                </c:pt>
                <c:pt idx="2">
                  <c:v>190.28100000000001</c:v>
                </c:pt>
                <c:pt idx="3">
                  <c:v>217.464</c:v>
                </c:pt>
                <c:pt idx="4">
                  <c:v>244.64700000000002</c:v>
                </c:pt>
                <c:pt idx="5">
                  <c:v>271.83</c:v>
                </c:pt>
                <c:pt idx="6">
                  <c:v>299.01300000000003</c:v>
                </c:pt>
                <c:pt idx="7">
                  <c:v>353.37900000000002</c:v>
                </c:pt>
                <c:pt idx="8">
                  <c:v>416.80600000000004</c:v>
                </c:pt>
                <c:pt idx="9">
                  <c:v>534.59899999999993</c:v>
                </c:pt>
                <c:pt idx="10">
                  <c:v>906.1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5-4EF5-AA1A-D431C8D84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Elf in Concert (Nov 28-30)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Elf!$A$4</c:f>
              <c:strCache>
                <c:ptCount val="1"/>
                <c:pt idx="0">
                  <c:v>11/28/2025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Elf!$B$4:$L$4</c:f>
              <c:numCache>
                <c:formatCode>_(* #,##0_);_(* \(#,##0\);_(* "-"??_);_(@_)</c:formatCode>
                <c:ptCount val="11"/>
                <c:pt idx="0">
                  <c:v>306</c:v>
                </c:pt>
                <c:pt idx="1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9-47F8-A1EA-5067B604E485}"/>
            </c:ext>
          </c:extLst>
        </c:ser>
        <c:ser>
          <c:idx val="1"/>
          <c:order val="1"/>
          <c:tx>
            <c:strRef>
              <c:f>Elf!$A$5</c:f>
              <c:strCache>
                <c:ptCount val="1"/>
                <c:pt idx="0">
                  <c:v>11/29/2025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Elf!$B$5:$L$5</c:f>
              <c:numCache>
                <c:formatCode>_(* #,##0_);_(* \(#,##0\);_(* "-"??_);_(@_)</c:formatCode>
                <c:ptCount val="11"/>
                <c:pt idx="0">
                  <c:v>370</c:v>
                </c:pt>
                <c:pt idx="1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9-47F8-A1EA-5067B604E485}"/>
            </c:ext>
          </c:extLst>
        </c:ser>
        <c:ser>
          <c:idx val="2"/>
          <c:order val="2"/>
          <c:tx>
            <c:strRef>
              <c:f>Elf!$A$6</c:f>
              <c:strCache>
                <c:ptCount val="1"/>
                <c:pt idx="0">
                  <c:v>11/29/2025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Elf!$B$6:$L$6</c:f>
              <c:numCache>
                <c:formatCode>_(* #,##0_);_(* \(#,##0\);_(* "-"??_);_(@_)</c:formatCode>
                <c:ptCount val="11"/>
                <c:pt idx="0">
                  <c:v>283</c:v>
                </c:pt>
                <c:pt idx="1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49-47F8-A1EA-5067B604E485}"/>
            </c:ext>
          </c:extLst>
        </c:ser>
        <c:ser>
          <c:idx val="3"/>
          <c:order val="3"/>
          <c:tx>
            <c:strRef>
              <c:f>Elf!$A$7</c:f>
              <c:strCache>
                <c:ptCount val="1"/>
                <c:pt idx="0">
                  <c:v>11/30/2025 (Sun)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Elf!$B$7:$L$7</c:f>
              <c:numCache>
                <c:formatCode>_(* #,##0_);_(* \(#,##0\);_(* "-"??_);_(@_)</c:formatCode>
                <c:ptCount val="11"/>
                <c:pt idx="0">
                  <c:v>483</c:v>
                </c:pt>
                <c:pt idx="1">
                  <c:v>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49-47F8-A1EA-5067B604E485}"/>
            </c:ext>
          </c:extLst>
        </c:ser>
        <c:ser>
          <c:idx val="4"/>
          <c:order val="4"/>
          <c:tx>
            <c:strRef>
              <c:f>Elf!$A$8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Elf!$B$8:$L$8</c:f>
              <c:numCache>
                <c:formatCode>0</c:formatCode>
                <c:ptCount val="11"/>
                <c:pt idx="0">
                  <c:v>166.005</c:v>
                </c:pt>
                <c:pt idx="1">
                  <c:v>199.20599999999999</c:v>
                </c:pt>
                <c:pt idx="2">
                  <c:v>232.40700000000001</c:v>
                </c:pt>
                <c:pt idx="3">
                  <c:v>265.608</c:v>
                </c:pt>
                <c:pt idx="4">
                  <c:v>298.80900000000003</c:v>
                </c:pt>
                <c:pt idx="5">
                  <c:v>332.01</c:v>
                </c:pt>
                <c:pt idx="6">
                  <c:v>365.21100000000001</c:v>
                </c:pt>
                <c:pt idx="7">
                  <c:v>431.61300000000006</c:v>
                </c:pt>
                <c:pt idx="8">
                  <c:v>509.08200000000005</c:v>
                </c:pt>
                <c:pt idx="9">
                  <c:v>652.95299999999997</c:v>
                </c:pt>
                <c:pt idx="10">
                  <c:v>1106.7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49-47F8-A1EA-5067B604E485}"/>
            </c:ext>
          </c:extLst>
        </c:ser>
        <c:ser>
          <c:idx val="5"/>
          <c:order val="5"/>
          <c:tx>
            <c:strRef>
              <c:f>Elf!$A$9</c:f>
              <c:strCache>
                <c:ptCount val="1"/>
                <c:pt idx="0">
                  <c:v>Home Alone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BE2D5"/>
              </a:solidFill>
              <a:ln w="9525">
                <a:solidFill>
                  <a:srgbClr val="FBE2D5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Elf!$B$9:$L$9</c:f>
              <c:numCache>
                <c:formatCode>0</c:formatCode>
                <c:ptCount val="11"/>
                <c:pt idx="0">
                  <c:v>480.5</c:v>
                </c:pt>
                <c:pt idx="1">
                  <c:v>532.5</c:v>
                </c:pt>
                <c:pt idx="2">
                  <c:v>570.5</c:v>
                </c:pt>
                <c:pt idx="3">
                  <c:v>607.5</c:v>
                </c:pt>
                <c:pt idx="4">
                  <c:v>645.75</c:v>
                </c:pt>
                <c:pt idx="5">
                  <c:v>720</c:v>
                </c:pt>
                <c:pt idx="6">
                  <c:v>836.5</c:v>
                </c:pt>
                <c:pt idx="7">
                  <c:v>956.75</c:v>
                </c:pt>
                <c:pt idx="8">
                  <c:v>1099.75</c:v>
                </c:pt>
                <c:pt idx="9">
                  <c:v>1227.25</c:v>
                </c:pt>
                <c:pt idx="10">
                  <c:v>1293.25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49-47F8-A1EA-5067B604E485}"/>
            </c:ext>
          </c:extLst>
        </c:ser>
        <c:ser>
          <c:idx val="6"/>
          <c:order val="6"/>
          <c:tx>
            <c:strRef>
              <c:f>Elf!$A$10</c:f>
              <c:strCache>
                <c:ptCount val="1"/>
                <c:pt idx="0">
                  <c:v>Muppet 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Elf!$B$3:$L$3</c:f>
              <c:numCache>
                <c:formatCode>d\-mmm</c:formatCode>
                <c:ptCount val="11"/>
                <c:pt idx="0">
                  <c:v>45915</c:v>
                </c:pt>
                <c:pt idx="1">
                  <c:v>45922</c:v>
                </c:pt>
                <c:pt idx="2">
                  <c:v>45929</c:v>
                </c:pt>
                <c:pt idx="3">
                  <c:v>45936</c:v>
                </c:pt>
                <c:pt idx="4">
                  <c:v>45943</c:v>
                </c:pt>
                <c:pt idx="5">
                  <c:v>45950</c:v>
                </c:pt>
                <c:pt idx="6">
                  <c:v>45957</c:v>
                </c:pt>
                <c:pt idx="7">
                  <c:v>45964</c:v>
                </c:pt>
                <c:pt idx="8">
                  <c:v>45971</c:v>
                </c:pt>
                <c:pt idx="9">
                  <c:v>45978</c:v>
                </c:pt>
                <c:pt idx="10">
                  <c:v>45985</c:v>
                </c:pt>
              </c:numCache>
            </c:numRef>
          </c:cat>
          <c:val>
            <c:numRef>
              <c:f>Elf!$B$10:$L$10</c:f>
              <c:numCache>
                <c:formatCode>0</c:formatCode>
                <c:ptCount val="11"/>
                <c:pt idx="0">
                  <c:v>943.5</c:v>
                </c:pt>
                <c:pt idx="1">
                  <c:v>992.5</c:v>
                </c:pt>
                <c:pt idx="2">
                  <c:v>1056</c:v>
                </c:pt>
                <c:pt idx="3">
                  <c:v>1088</c:v>
                </c:pt>
                <c:pt idx="4">
                  <c:v>1158</c:v>
                </c:pt>
                <c:pt idx="5">
                  <c:v>1220</c:v>
                </c:pt>
                <c:pt idx="6">
                  <c:v>1242.5</c:v>
                </c:pt>
                <c:pt idx="7">
                  <c:v>1259.5</c:v>
                </c:pt>
                <c:pt idx="8">
                  <c:v>1266.5</c:v>
                </c:pt>
                <c:pt idx="9">
                  <c:v>1274.5</c:v>
                </c:pt>
                <c:pt idx="10">
                  <c:v>1288.5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49-47F8-A1EA-5067B604E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Handel's Messiah (Dec 5-7)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Messiah!$A$4</c:f>
              <c:strCache>
                <c:ptCount val="1"/>
                <c:pt idx="0">
                  <c:v>12/5/2025 (Fri)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Messiah!$B$4:$L$4</c:f>
              <c:numCache>
                <c:formatCode>_(* #,##0_);_(* \(#,##0\);_(* "-"??_);_(@_)</c:formatCode>
                <c:ptCount val="11"/>
                <c:pt idx="0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DB-47D4-872E-7793CF96F965}"/>
            </c:ext>
          </c:extLst>
        </c:ser>
        <c:ser>
          <c:idx val="1"/>
          <c:order val="1"/>
          <c:tx>
            <c:strRef>
              <c:f>Messiah!$A$5</c:f>
              <c:strCache>
                <c:ptCount val="1"/>
                <c:pt idx="0">
                  <c:v>12/6/2025 (Sat)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Messiah!$B$5:$L$5</c:f>
              <c:numCache>
                <c:formatCode>_(* #,##0_);_(* \(#,##0\);_(* "-"??_);_(@_)</c:formatCode>
                <c:ptCount val="11"/>
                <c:pt idx="0">
                  <c:v>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B-47D4-872E-7793CF96F965}"/>
            </c:ext>
          </c:extLst>
        </c:ser>
        <c:ser>
          <c:idx val="3"/>
          <c:order val="2"/>
          <c:tx>
            <c:strRef>
              <c:f>Messiah!$A$6</c:f>
              <c:strCache>
                <c:ptCount val="1"/>
                <c:pt idx="0">
                  <c:v>12/7/2025 (Sun)</c:v>
                </c:pt>
              </c:strCache>
            </c:strRef>
          </c:tx>
          <c:spPr>
            <a:ln w="28575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E97132"/>
              </a:solidFill>
              <a:ln w="9525">
                <a:solidFill>
                  <a:srgbClr val="E97132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Messiah!$B$6:$L$6</c:f>
              <c:numCache>
                <c:formatCode>_(* #,##0_);_(* \(#,##0\);_(* "-"??_);_(@_)</c:formatCode>
                <c:ptCount val="11"/>
                <c:pt idx="0">
                  <c:v>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B-47D4-872E-7793CF96F965}"/>
            </c:ext>
          </c:extLst>
        </c:ser>
        <c:ser>
          <c:idx val="4"/>
          <c:order val="3"/>
          <c:tx>
            <c:strRef>
              <c:f>Messiah!$A$7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Messiah!$B$7:$L$7</c:f>
              <c:numCache>
                <c:formatCode>0</c:formatCode>
                <c:ptCount val="11"/>
                <c:pt idx="0">
                  <c:v>182.70749999999998</c:v>
                </c:pt>
                <c:pt idx="1">
                  <c:v>219.249</c:v>
                </c:pt>
                <c:pt idx="2">
                  <c:v>255.79049999999998</c:v>
                </c:pt>
                <c:pt idx="3">
                  <c:v>292.33199999999999</c:v>
                </c:pt>
                <c:pt idx="4">
                  <c:v>328.87350000000004</c:v>
                </c:pt>
                <c:pt idx="5">
                  <c:v>365.41499999999996</c:v>
                </c:pt>
                <c:pt idx="6">
                  <c:v>401.95650000000001</c:v>
                </c:pt>
                <c:pt idx="7">
                  <c:v>475.03949999999998</c:v>
                </c:pt>
                <c:pt idx="8">
                  <c:v>560.303</c:v>
                </c:pt>
                <c:pt idx="9">
                  <c:v>718.64949999999999</c:v>
                </c:pt>
                <c:pt idx="10">
                  <c:v>1218.05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B-47D4-872E-7793CF96F965}"/>
            </c:ext>
          </c:extLst>
        </c:ser>
        <c:ser>
          <c:idx val="5"/>
          <c:order val="4"/>
          <c:tx>
            <c:strRef>
              <c:f>Messiah!$A$8</c:f>
              <c:strCache>
                <c:ptCount val="1"/>
                <c:pt idx="0">
                  <c:v>Messiah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Messiah!$B$8:$L$8</c:f>
              <c:numCache>
                <c:formatCode>0</c:formatCode>
                <c:ptCount val="11"/>
                <c:pt idx="0">
                  <c:v>300.33333333333331</c:v>
                </c:pt>
                <c:pt idx="1">
                  <c:v>322.33333333333331</c:v>
                </c:pt>
                <c:pt idx="2">
                  <c:v>360</c:v>
                </c:pt>
                <c:pt idx="3">
                  <c:v>395.66666666666669</c:v>
                </c:pt>
                <c:pt idx="4">
                  <c:v>431</c:v>
                </c:pt>
                <c:pt idx="5">
                  <c:v>486.33333333333331</c:v>
                </c:pt>
                <c:pt idx="6">
                  <c:v>568.33333333333337</c:v>
                </c:pt>
                <c:pt idx="7">
                  <c:v>667</c:v>
                </c:pt>
                <c:pt idx="8">
                  <c:v>790.33333333333337</c:v>
                </c:pt>
                <c:pt idx="9">
                  <c:v>954.33333333333337</c:v>
                </c:pt>
                <c:pt idx="10">
                  <c:v>1146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B-47D4-872E-7793CF96F965}"/>
            </c:ext>
          </c:extLst>
        </c:ser>
        <c:ser>
          <c:idx val="6"/>
          <c:order val="5"/>
          <c:tx>
            <c:strRef>
              <c:f>Messiah!$A$9</c:f>
              <c:strCache>
                <c:ptCount val="1"/>
                <c:pt idx="0">
                  <c:v>Messiah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Messiah!$B$3:$L$3</c:f>
              <c:numCache>
                <c:formatCode>d\-mmm</c:formatCode>
                <c:ptCount val="11"/>
                <c:pt idx="0">
                  <c:v>45922</c:v>
                </c:pt>
                <c:pt idx="1">
                  <c:v>45929</c:v>
                </c:pt>
                <c:pt idx="2">
                  <c:v>45936</c:v>
                </c:pt>
                <c:pt idx="3">
                  <c:v>45943</c:v>
                </c:pt>
                <c:pt idx="4">
                  <c:v>45950</c:v>
                </c:pt>
                <c:pt idx="5">
                  <c:v>45957</c:v>
                </c:pt>
                <c:pt idx="6">
                  <c:v>45964</c:v>
                </c:pt>
                <c:pt idx="7">
                  <c:v>45971</c:v>
                </c:pt>
                <c:pt idx="8">
                  <c:v>45978</c:v>
                </c:pt>
                <c:pt idx="9">
                  <c:v>45985</c:v>
                </c:pt>
                <c:pt idx="10">
                  <c:v>45992</c:v>
                </c:pt>
              </c:numCache>
            </c:numRef>
          </c:cat>
          <c:val>
            <c:numRef>
              <c:f>Messiah!$B$9:$L$9</c:f>
              <c:numCache>
                <c:formatCode>0</c:formatCode>
                <c:ptCount val="11"/>
                <c:pt idx="0">
                  <c:v>338</c:v>
                </c:pt>
                <c:pt idx="1">
                  <c:v>372</c:v>
                </c:pt>
                <c:pt idx="2">
                  <c:v>411</c:v>
                </c:pt>
                <c:pt idx="3">
                  <c:v>447.33333333333331</c:v>
                </c:pt>
                <c:pt idx="4">
                  <c:v>494.66666666666669</c:v>
                </c:pt>
                <c:pt idx="5">
                  <c:v>557</c:v>
                </c:pt>
                <c:pt idx="6">
                  <c:v>657.66666666666663</c:v>
                </c:pt>
                <c:pt idx="7">
                  <c:v>738.33333333333337</c:v>
                </c:pt>
                <c:pt idx="8">
                  <c:v>909.66666666666663</c:v>
                </c:pt>
                <c:pt idx="9">
                  <c:v>1046.6666666666667</c:v>
                </c:pt>
                <c:pt idx="10">
                  <c:v>1180.3333333333333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B-47D4-872E-7793CF96F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Christmas Festival (Dec 18-22)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'XMas Festival'!$A$4</c:f>
              <c:strCache>
                <c:ptCount val="1"/>
                <c:pt idx="0">
                  <c:v>12/18/2025 (Thu)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Festival'!$B$4:$L$4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3-45F4-A510-678602DED9E1}"/>
            </c:ext>
          </c:extLst>
        </c:ser>
        <c:ser>
          <c:idx val="1"/>
          <c:order val="1"/>
          <c:tx>
            <c:strRef>
              <c:f>'XMas Festival'!$A$6</c:f>
              <c:strCache>
                <c:ptCount val="1"/>
                <c:pt idx="0">
                  <c:v>12/20/2025 (Sat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Festival'!$B$6:$L$6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3-45F4-A510-678602DED9E1}"/>
            </c:ext>
          </c:extLst>
        </c:ser>
        <c:ser>
          <c:idx val="2"/>
          <c:order val="2"/>
          <c:tx>
            <c:strRef>
              <c:f>'XMas Festival'!$A$7</c:f>
              <c:strCache>
                <c:ptCount val="1"/>
                <c:pt idx="0">
                  <c:v>12/20/2025 (Sat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Festival'!$B$7:$L$7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63-45F4-A510-678602DED9E1}"/>
            </c:ext>
          </c:extLst>
        </c:ser>
        <c:ser>
          <c:idx val="3"/>
          <c:order val="3"/>
          <c:tx>
            <c:strRef>
              <c:f>'XMas Festival'!$A$9</c:f>
              <c:strCache>
                <c:ptCount val="1"/>
                <c:pt idx="0">
                  <c:v>12/21/2025 (Sun 2)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Festival'!$B$9:$L$9</c:f>
              <c:numCache>
                <c:formatCode>_(* #,##0_);_(* \(#,##0\);_(* "-"??_);_(@_)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3-45F4-A510-678602DED9E1}"/>
            </c:ext>
          </c:extLst>
        </c:ser>
        <c:ser>
          <c:idx val="4"/>
          <c:order val="4"/>
          <c:tx>
            <c:strRef>
              <c:f>'XMas Festival'!$A$10</c:f>
              <c:strCache>
                <c:ptCount val="1"/>
                <c:pt idx="0">
                  <c:v>Pace for 85% OCC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Festival'!$B$10:$L$10</c:f>
              <c:numCache>
                <c:formatCode>0</c:formatCode>
                <c:ptCount val="11"/>
                <c:pt idx="0">
                  <c:v>176.31125</c:v>
                </c:pt>
                <c:pt idx="1">
                  <c:v>211.5735</c:v>
                </c:pt>
                <c:pt idx="2">
                  <c:v>246.83574999999999</c:v>
                </c:pt>
                <c:pt idx="3">
                  <c:v>282.09799999999996</c:v>
                </c:pt>
                <c:pt idx="4">
                  <c:v>317.36025000000001</c:v>
                </c:pt>
                <c:pt idx="5">
                  <c:v>352.6225</c:v>
                </c:pt>
                <c:pt idx="6">
                  <c:v>387.88475</c:v>
                </c:pt>
                <c:pt idx="7">
                  <c:v>458.40924999999999</c:v>
                </c:pt>
                <c:pt idx="8">
                  <c:v>540.68783333333329</c:v>
                </c:pt>
                <c:pt idx="9">
                  <c:v>693.49091666666664</c:v>
                </c:pt>
                <c:pt idx="10">
                  <c:v>1175.4083333333333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63-45F4-A510-678602DED9E1}"/>
            </c:ext>
          </c:extLst>
        </c:ser>
        <c:ser>
          <c:idx val="5"/>
          <c:order val="5"/>
          <c:tx>
            <c:strRef>
              <c:f>'XMas Festival'!$A$11</c:f>
              <c:strCache>
                <c:ptCount val="1"/>
                <c:pt idx="0">
                  <c:v>XMas 2024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Festival'!$B$11:$L$11</c:f>
              <c:numCache>
                <c:formatCode>0</c:formatCode>
                <c:ptCount val="11"/>
                <c:pt idx="0">
                  <c:v>261.33333333333331</c:v>
                </c:pt>
                <c:pt idx="1">
                  <c:v>282.66666666666669</c:v>
                </c:pt>
                <c:pt idx="2">
                  <c:v>315.5</c:v>
                </c:pt>
                <c:pt idx="3">
                  <c:v>360.16666666666669</c:v>
                </c:pt>
                <c:pt idx="4">
                  <c:v>412.16666666666669</c:v>
                </c:pt>
                <c:pt idx="5">
                  <c:v>494.33333333333331</c:v>
                </c:pt>
                <c:pt idx="6">
                  <c:v>597.83333333333337</c:v>
                </c:pt>
                <c:pt idx="7">
                  <c:v>699.5</c:v>
                </c:pt>
                <c:pt idx="8">
                  <c:v>806.16666666666663</c:v>
                </c:pt>
                <c:pt idx="9">
                  <c:v>955.16666666666663</c:v>
                </c:pt>
                <c:pt idx="10">
                  <c:v>1111.3333333333333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63-45F4-A510-678602DED9E1}"/>
            </c:ext>
          </c:extLst>
        </c:ser>
        <c:ser>
          <c:idx val="6"/>
          <c:order val="6"/>
          <c:tx>
            <c:strRef>
              <c:f>'XMas Festival'!$A$12</c:f>
              <c:strCache>
                <c:ptCount val="1"/>
                <c:pt idx="0">
                  <c:v>XMas 2023</c:v>
                </c:pt>
              </c:strCache>
            </c:strRef>
          </c:tx>
          <c:spPr>
            <a:ln w="28575" cap="rnd">
              <a:solidFill>
                <a:srgbClr val="0F9ED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cat>
            <c:numRef>
              <c:f>'XMas Festival'!$B$3:$L$3</c:f>
              <c:numCache>
                <c:formatCode>d\-mmm</c:formatCode>
                <c:ptCount val="11"/>
                <c:pt idx="0">
                  <c:v>45936</c:v>
                </c:pt>
                <c:pt idx="1">
                  <c:v>45943</c:v>
                </c:pt>
                <c:pt idx="2">
                  <c:v>45950</c:v>
                </c:pt>
                <c:pt idx="3">
                  <c:v>45957</c:v>
                </c:pt>
                <c:pt idx="4">
                  <c:v>45964</c:v>
                </c:pt>
                <c:pt idx="5">
                  <c:v>45971</c:v>
                </c:pt>
                <c:pt idx="6">
                  <c:v>45978</c:v>
                </c:pt>
                <c:pt idx="7">
                  <c:v>45985</c:v>
                </c:pt>
                <c:pt idx="8">
                  <c:v>45992</c:v>
                </c:pt>
                <c:pt idx="9">
                  <c:v>45999</c:v>
                </c:pt>
                <c:pt idx="10">
                  <c:v>46006</c:v>
                </c:pt>
              </c:numCache>
            </c:numRef>
          </c:cat>
          <c:val>
            <c:numRef>
              <c:f>'XMas Festival'!$B$12:$L$12</c:f>
              <c:numCache>
                <c:formatCode>0</c:formatCode>
                <c:ptCount val="11"/>
                <c:pt idx="0">
                  <c:v>349.16666666666669</c:v>
                </c:pt>
                <c:pt idx="1">
                  <c:v>378.16666666666669</c:v>
                </c:pt>
                <c:pt idx="2">
                  <c:v>414.66666666666669</c:v>
                </c:pt>
                <c:pt idx="3">
                  <c:v>459.16666666666669</c:v>
                </c:pt>
                <c:pt idx="4">
                  <c:v>530.83333333333337</c:v>
                </c:pt>
                <c:pt idx="5">
                  <c:v>599.66666666666663</c:v>
                </c:pt>
                <c:pt idx="6">
                  <c:v>709</c:v>
                </c:pt>
                <c:pt idx="7">
                  <c:v>795.5</c:v>
                </c:pt>
                <c:pt idx="8">
                  <c:v>867.66666666666663</c:v>
                </c:pt>
                <c:pt idx="9">
                  <c:v>991.16666666666663</c:v>
                </c:pt>
                <c:pt idx="10">
                  <c:v>1105.8333333333333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63-45F4-A510-678602DED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29711"/>
        <c:axId val="1257133071"/>
      </c:lineChart>
      <c:dateAx>
        <c:axId val="12571297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33071"/>
        <c:crosses val="autoZero"/>
        <c:auto val="1"/>
        <c:lblOffset val="100"/>
        <c:baseTimeUnit val="days"/>
        <c:majorUnit val="7"/>
      </c:dateAx>
      <c:valAx>
        <c:axId val="125713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2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Classical Season Tickets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Data)'!$C$4:$C$67</c:f>
              <c:numCache>
                <c:formatCode>General</c:formatCode>
                <c:ptCount val="64"/>
                <c:pt idx="7">
                  <c:v>27</c:v>
                </c:pt>
                <c:pt idx="8">
                  <c:v>44</c:v>
                </c:pt>
                <c:pt idx="9">
                  <c:v>52</c:v>
                </c:pt>
                <c:pt idx="10">
                  <c:v>70</c:v>
                </c:pt>
                <c:pt idx="11">
                  <c:v>78</c:v>
                </c:pt>
                <c:pt idx="12">
                  <c:v>86</c:v>
                </c:pt>
                <c:pt idx="13">
                  <c:v>111</c:v>
                </c:pt>
                <c:pt idx="14">
                  <c:v>118</c:v>
                </c:pt>
                <c:pt idx="15">
                  <c:v>134</c:v>
                </c:pt>
                <c:pt idx="16">
                  <c:v>154</c:v>
                </c:pt>
                <c:pt idx="17">
                  <c:v>171</c:v>
                </c:pt>
                <c:pt idx="18">
                  <c:v>179</c:v>
                </c:pt>
                <c:pt idx="19">
                  <c:v>197</c:v>
                </c:pt>
                <c:pt idx="20">
                  <c:v>212</c:v>
                </c:pt>
                <c:pt idx="21">
                  <c:v>228</c:v>
                </c:pt>
                <c:pt idx="22">
                  <c:v>239</c:v>
                </c:pt>
                <c:pt idx="23">
                  <c:v>249</c:v>
                </c:pt>
                <c:pt idx="24">
                  <c:v>264</c:v>
                </c:pt>
                <c:pt idx="25">
                  <c:v>272</c:v>
                </c:pt>
                <c:pt idx="26">
                  <c:v>301</c:v>
                </c:pt>
                <c:pt idx="27">
                  <c:v>323</c:v>
                </c:pt>
                <c:pt idx="28">
                  <c:v>357</c:v>
                </c:pt>
                <c:pt idx="29">
                  <c:v>371</c:v>
                </c:pt>
                <c:pt idx="30">
                  <c:v>403</c:v>
                </c:pt>
                <c:pt idx="31">
                  <c:v>412</c:v>
                </c:pt>
                <c:pt idx="32">
                  <c:v>418</c:v>
                </c:pt>
                <c:pt idx="33">
                  <c:v>425</c:v>
                </c:pt>
                <c:pt idx="34">
                  <c:v>439</c:v>
                </c:pt>
                <c:pt idx="35">
                  <c:v>443</c:v>
                </c:pt>
                <c:pt idx="36">
                  <c:v>451</c:v>
                </c:pt>
                <c:pt idx="37">
                  <c:v>495</c:v>
                </c:pt>
                <c:pt idx="38">
                  <c:v>521</c:v>
                </c:pt>
                <c:pt idx="39">
                  <c:v>552</c:v>
                </c:pt>
                <c:pt idx="40">
                  <c:v>619</c:v>
                </c:pt>
                <c:pt idx="41">
                  <c:v>647</c:v>
                </c:pt>
                <c:pt idx="42">
                  <c:v>661</c:v>
                </c:pt>
                <c:pt idx="43">
                  <c:v>687</c:v>
                </c:pt>
                <c:pt idx="44">
                  <c:v>698</c:v>
                </c:pt>
                <c:pt idx="45">
                  <c:v>732</c:v>
                </c:pt>
                <c:pt idx="46">
                  <c:v>759</c:v>
                </c:pt>
                <c:pt idx="47">
                  <c:v>772</c:v>
                </c:pt>
                <c:pt idx="48">
                  <c:v>780</c:v>
                </c:pt>
                <c:pt idx="49">
                  <c:v>805</c:v>
                </c:pt>
                <c:pt idx="50">
                  <c:v>820</c:v>
                </c:pt>
                <c:pt idx="51">
                  <c:v>846</c:v>
                </c:pt>
                <c:pt idx="52">
                  <c:v>852</c:v>
                </c:pt>
                <c:pt idx="53">
                  <c:v>855</c:v>
                </c:pt>
                <c:pt idx="54">
                  <c:v>882</c:v>
                </c:pt>
                <c:pt idx="55">
                  <c:v>897</c:v>
                </c:pt>
                <c:pt idx="56">
                  <c:v>903</c:v>
                </c:pt>
                <c:pt idx="57">
                  <c:v>912</c:v>
                </c:pt>
                <c:pt idx="58">
                  <c:v>918</c:v>
                </c:pt>
                <c:pt idx="59">
                  <c:v>929</c:v>
                </c:pt>
                <c:pt idx="60">
                  <c:v>940</c:v>
                </c:pt>
                <c:pt idx="61">
                  <c:v>950</c:v>
                </c:pt>
                <c:pt idx="62">
                  <c:v>962</c:v>
                </c:pt>
                <c:pt idx="63">
                  <c:v>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900-8B42-01C6E701092C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Data)'!$K$4:$K$67</c:f>
              <c:numCache>
                <c:formatCode>General</c:formatCode>
                <c:ptCount val="64"/>
                <c:pt idx="5">
                  <c:v>20</c:v>
                </c:pt>
                <c:pt idx="6">
                  <c:v>26</c:v>
                </c:pt>
                <c:pt idx="7">
                  <c:v>51</c:v>
                </c:pt>
                <c:pt idx="8">
                  <c:v>55</c:v>
                </c:pt>
                <c:pt idx="9">
                  <c:v>70</c:v>
                </c:pt>
                <c:pt idx="10">
                  <c:v>98</c:v>
                </c:pt>
                <c:pt idx="11">
                  <c:v>129</c:v>
                </c:pt>
                <c:pt idx="12">
                  <c:v>151</c:v>
                </c:pt>
                <c:pt idx="13">
                  <c:v>166</c:v>
                </c:pt>
                <c:pt idx="14">
                  <c:v>182</c:v>
                </c:pt>
                <c:pt idx="15">
                  <c:v>196</c:v>
                </c:pt>
                <c:pt idx="16">
                  <c:v>213</c:v>
                </c:pt>
                <c:pt idx="17">
                  <c:v>229</c:v>
                </c:pt>
                <c:pt idx="18">
                  <c:v>238</c:v>
                </c:pt>
                <c:pt idx="19">
                  <c:v>257</c:v>
                </c:pt>
                <c:pt idx="20">
                  <c:v>273</c:v>
                </c:pt>
                <c:pt idx="21">
                  <c:v>279</c:v>
                </c:pt>
                <c:pt idx="22">
                  <c:v>286</c:v>
                </c:pt>
                <c:pt idx="23">
                  <c:v>287</c:v>
                </c:pt>
                <c:pt idx="24">
                  <c:v>294</c:v>
                </c:pt>
                <c:pt idx="25">
                  <c:v>297</c:v>
                </c:pt>
                <c:pt idx="26">
                  <c:v>311</c:v>
                </c:pt>
                <c:pt idx="27">
                  <c:v>312</c:v>
                </c:pt>
                <c:pt idx="28">
                  <c:v>325</c:v>
                </c:pt>
                <c:pt idx="29">
                  <c:v>330</c:v>
                </c:pt>
                <c:pt idx="30">
                  <c:v>338</c:v>
                </c:pt>
                <c:pt idx="31">
                  <c:v>343</c:v>
                </c:pt>
                <c:pt idx="32">
                  <c:v>348</c:v>
                </c:pt>
                <c:pt idx="33">
                  <c:v>350</c:v>
                </c:pt>
                <c:pt idx="34">
                  <c:v>358</c:v>
                </c:pt>
                <c:pt idx="35">
                  <c:v>364</c:v>
                </c:pt>
                <c:pt idx="36">
                  <c:v>364</c:v>
                </c:pt>
                <c:pt idx="37">
                  <c:v>393</c:v>
                </c:pt>
                <c:pt idx="38">
                  <c:v>404</c:v>
                </c:pt>
                <c:pt idx="39">
                  <c:v>415</c:v>
                </c:pt>
                <c:pt idx="40">
                  <c:v>434</c:v>
                </c:pt>
                <c:pt idx="41">
                  <c:v>440</c:v>
                </c:pt>
                <c:pt idx="42">
                  <c:v>443</c:v>
                </c:pt>
                <c:pt idx="43">
                  <c:v>444</c:v>
                </c:pt>
                <c:pt idx="44">
                  <c:v>452</c:v>
                </c:pt>
                <c:pt idx="45">
                  <c:v>465</c:v>
                </c:pt>
                <c:pt idx="46">
                  <c:v>477</c:v>
                </c:pt>
                <c:pt idx="47">
                  <c:v>495</c:v>
                </c:pt>
                <c:pt idx="48">
                  <c:v>503</c:v>
                </c:pt>
                <c:pt idx="49">
                  <c:v>517</c:v>
                </c:pt>
                <c:pt idx="50">
                  <c:v>528</c:v>
                </c:pt>
                <c:pt idx="51">
                  <c:v>540</c:v>
                </c:pt>
                <c:pt idx="52">
                  <c:v>547</c:v>
                </c:pt>
                <c:pt idx="53">
                  <c:v>555</c:v>
                </c:pt>
                <c:pt idx="54">
                  <c:v>566</c:v>
                </c:pt>
                <c:pt idx="55">
                  <c:v>579</c:v>
                </c:pt>
                <c:pt idx="56">
                  <c:v>585</c:v>
                </c:pt>
                <c:pt idx="57">
                  <c:v>604</c:v>
                </c:pt>
                <c:pt idx="58">
                  <c:v>610</c:v>
                </c:pt>
                <c:pt idx="59">
                  <c:v>617</c:v>
                </c:pt>
                <c:pt idx="60">
                  <c:v>633</c:v>
                </c:pt>
                <c:pt idx="61">
                  <c:v>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900-8B42-01C6E701092C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Data)'!$S$4:$S$67</c:f>
              <c:numCache>
                <c:formatCode>General</c:formatCode>
                <c:ptCount val="64"/>
                <c:pt idx="13">
                  <c:v>25</c:v>
                </c:pt>
                <c:pt idx="14">
                  <c:v>31</c:v>
                </c:pt>
                <c:pt idx="15">
                  <c:v>35</c:v>
                </c:pt>
                <c:pt idx="16">
                  <c:v>38</c:v>
                </c:pt>
                <c:pt idx="17">
                  <c:v>48</c:v>
                </c:pt>
                <c:pt idx="18">
                  <c:v>73</c:v>
                </c:pt>
                <c:pt idx="19">
                  <c:v>79</c:v>
                </c:pt>
                <c:pt idx="20">
                  <c:v>88</c:v>
                </c:pt>
                <c:pt idx="21">
                  <c:v>93</c:v>
                </c:pt>
                <c:pt idx="22">
                  <c:v>94</c:v>
                </c:pt>
                <c:pt idx="23">
                  <c:v>95</c:v>
                </c:pt>
                <c:pt idx="24">
                  <c:v>103</c:v>
                </c:pt>
                <c:pt idx="25">
                  <c:v>107</c:v>
                </c:pt>
                <c:pt idx="26">
                  <c:v>113</c:v>
                </c:pt>
                <c:pt idx="27">
                  <c:v>118</c:v>
                </c:pt>
                <c:pt idx="28">
                  <c:v>118</c:v>
                </c:pt>
                <c:pt idx="29">
                  <c:v>119</c:v>
                </c:pt>
                <c:pt idx="30">
                  <c:v>127</c:v>
                </c:pt>
                <c:pt idx="31">
                  <c:v>128</c:v>
                </c:pt>
                <c:pt idx="32">
                  <c:v>135</c:v>
                </c:pt>
                <c:pt idx="33">
                  <c:v>141</c:v>
                </c:pt>
                <c:pt idx="34">
                  <c:v>145</c:v>
                </c:pt>
                <c:pt idx="35">
                  <c:v>152</c:v>
                </c:pt>
                <c:pt idx="36">
                  <c:v>154</c:v>
                </c:pt>
                <c:pt idx="37">
                  <c:v>163</c:v>
                </c:pt>
                <c:pt idx="38">
                  <c:v>163</c:v>
                </c:pt>
                <c:pt idx="39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42-4900-8B42-01C6E701092C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Data)'!$AA$4:$AA$67</c:f>
              <c:numCache>
                <c:formatCode>General</c:formatCode>
                <c:ptCount val="64"/>
                <c:pt idx="13">
                  <c:v>30</c:v>
                </c:pt>
                <c:pt idx="14">
                  <c:v>39</c:v>
                </c:pt>
                <c:pt idx="15">
                  <c:v>50</c:v>
                </c:pt>
                <c:pt idx="16">
                  <c:v>76</c:v>
                </c:pt>
                <c:pt idx="17">
                  <c:v>112</c:v>
                </c:pt>
                <c:pt idx="18">
                  <c:v>121</c:v>
                </c:pt>
                <c:pt idx="19">
                  <c:v>122</c:v>
                </c:pt>
                <c:pt idx="20">
                  <c:v>134</c:v>
                </c:pt>
                <c:pt idx="21">
                  <c:v>146</c:v>
                </c:pt>
                <c:pt idx="22">
                  <c:v>165</c:v>
                </c:pt>
                <c:pt idx="23">
                  <c:v>186</c:v>
                </c:pt>
                <c:pt idx="24">
                  <c:v>205</c:v>
                </c:pt>
                <c:pt idx="25">
                  <c:v>211</c:v>
                </c:pt>
                <c:pt idx="26">
                  <c:v>217</c:v>
                </c:pt>
                <c:pt idx="27">
                  <c:v>223</c:v>
                </c:pt>
                <c:pt idx="28">
                  <c:v>229</c:v>
                </c:pt>
                <c:pt idx="29">
                  <c:v>235</c:v>
                </c:pt>
                <c:pt idx="30">
                  <c:v>241</c:v>
                </c:pt>
                <c:pt idx="31">
                  <c:v>247</c:v>
                </c:pt>
                <c:pt idx="32">
                  <c:v>253</c:v>
                </c:pt>
                <c:pt idx="33">
                  <c:v>259</c:v>
                </c:pt>
                <c:pt idx="34">
                  <c:v>265</c:v>
                </c:pt>
                <c:pt idx="35">
                  <c:v>280</c:v>
                </c:pt>
                <c:pt idx="36">
                  <c:v>300</c:v>
                </c:pt>
                <c:pt idx="37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42-4900-8B42-01C6E7010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Classical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Data)'!$G$4:$G$67</c:f>
              <c:numCache>
                <c:formatCode>General</c:formatCode>
                <c:ptCount val="64"/>
                <c:pt idx="7">
                  <c:v>800</c:v>
                </c:pt>
                <c:pt idx="8">
                  <c:v>1215</c:v>
                </c:pt>
                <c:pt idx="9">
                  <c:v>1529</c:v>
                </c:pt>
                <c:pt idx="10">
                  <c:v>1900</c:v>
                </c:pt>
                <c:pt idx="11">
                  <c:v>2303</c:v>
                </c:pt>
                <c:pt idx="12">
                  <c:v>3040</c:v>
                </c:pt>
                <c:pt idx="13">
                  <c:v>3829</c:v>
                </c:pt>
                <c:pt idx="14">
                  <c:v>4124</c:v>
                </c:pt>
                <c:pt idx="15">
                  <c:v>4205</c:v>
                </c:pt>
                <c:pt idx="16">
                  <c:v>4277</c:v>
                </c:pt>
                <c:pt idx="17">
                  <c:v>4328</c:v>
                </c:pt>
                <c:pt idx="18">
                  <c:v>4445</c:v>
                </c:pt>
                <c:pt idx="19">
                  <c:v>4425</c:v>
                </c:pt>
                <c:pt idx="20">
                  <c:v>4435</c:v>
                </c:pt>
                <c:pt idx="21">
                  <c:v>4458</c:v>
                </c:pt>
                <c:pt idx="22">
                  <c:v>4460</c:v>
                </c:pt>
                <c:pt idx="23">
                  <c:v>4484</c:v>
                </c:pt>
                <c:pt idx="24">
                  <c:v>4483</c:v>
                </c:pt>
                <c:pt idx="25">
                  <c:v>4495</c:v>
                </c:pt>
                <c:pt idx="26">
                  <c:v>4535</c:v>
                </c:pt>
                <c:pt idx="27">
                  <c:v>4559</c:v>
                </c:pt>
                <c:pt idx="28">
                  <c:v>4605</c:v>
                </c:pt>
                <c:pt idx="29">
                  <c:v>4637</c:v>
                </c:pt>
                <c:pt idx="30">
                  <c:v>4693</c:v>
                </c:pt>
                <c:pt idx="31">
                  <c:v>4706</c:v>
                </c:pt>
                <c:pt idx="32">
                  <c:v>4716</c:v>
                </c:pt>
                <c:pt idx="33">
                  <c:v>4725</c:v>
                </c:pt>
                <c:pt idx="34">
                  <c:v>4747</c:v>
                </c:pt>
                <c:pt idx="35">
                  <c:v>4757</c:v>
                </c:pt>
                <c:pt idx="36">
                  <c:v>4771</c:v>
                </c:pt>
                <c:pt idx="37">
                  <c:v>4823</c:v>
                </c:pt>
                <c:pt idx="38">
                  <c:v>4855</c:v>
                </c:pt>
                <c:pt idx="39">
                  <c:v>4898</c:v>
                </c:pt>
                <c:pt idx="40">
                  <c:v>4982</c:v>
                </c:pt>
                <c:pt idx="41">
                  <c:v>5016</c:v>
                </c:pt>
                <c:pt idx="42">
                  <c:v>5031</c:v>
                </c:pt>
                <c:pt idx="43">
                  <c:v>5062</c:v>
                </c:pt>
                <c:pt idx="44">
                  <c:v>5075</c:v>
                </c:pt>
                <c:pt idx="45">
                  <c:v>5112</c:v>
                </c:pt>
                <c:pt idx="46">
                  <c:v>5143</c:v>
                </c:pt>
                <c:pt idx="47">
                  <c:v>5158</c:v>
                </c:pt>
                <c:pt idx="48">
                  <c:v>5166</c:v>
                </c:pt>
                <c:pt idx="49">
                  <c:v>5191</c:v>
                </c:pt>
                <c:pt idx="50">
                  <c:v>5206</c:v>
                </c:pt>
                <c:pt idx="51">
                  <c:v>5232</c:v>
                </c:pt>
                <c:pt idx="52">
                  <c:v>5240</c:v>
                </c:pt>
                <c:pt idx="53">
                  <c:v>5243</c:v>
                </c:pt>
                <c:pt idx="54">
                  <c:v>5272</c:v>
                </c:pt>
                <c:pt idx="55">
                  <c:v>5283</c:v>
                </c:pt>
                <c:pt idx="56">
                  <c:v>5291</c:v>
                </c:pt>
                <c:pt idx="57">
                  <c:v>5302</c:v>
                </c:pt>
                <c:pt idx="58">
                  <c:v>5312</c:v>
                </c:pt>
                <c:pt idx="59">
                  <c:v>5323</c:v>
                </c:pt>
                <c:pt idx="60">
                  <c:v>5336</c:v>
                </c:pt>
                <c:pt idx="61">
                  <c:v>5348</c:v>
                </c:pt>
                <c:pt idx="62">
                  <c:v>5360</c:v>
                </c:pt>
                <c:pt idx="63">
                  <c:v>5364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9-4A3A-BCE4-DC1946F5F05B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9-4A3A-BCE4-DC1946F5F05B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Data)'!$W$4:$W$67</c:f>
              <c:numCache>
                <c:formatCode>General</c:formatCode>
                <c:ptCount val="64"/>
                <c:pt idx="13">
                  <c:v>709</c:v>
                </c:pt>
                <c:pt idx="14">
                  <c:v>1109</c:v>
                </c:pt>
                <c:pt idx="15">
                  <c:v>1370</c:v>
                </c:pt>
                <c:pt idx="16">
                  <c:v>1647</c:v>
                </c:pt>
                <c:pt idx="17">
                  <c:v>1980</c:v>
                </c:pt>
                <c:pt idx="18">
                  <c:v>2401</c:v>
                </c:pt>
                <c:pt idx="19">
                  <c:v>2507</c:v>
                </c:pt>
                <c:pt idx="20">
                  <c:v>2552</c:v>
                </c:pt>
                <c:pt idx="21">
                  <c:v>2596</c:v>
                </c:pt>
                <c:pt idx="22">
                  <c:v>2662</c:v>
                </c:pt>
                <c:pt idx="23">
                  <c:v>2689</c:v>
                </c:pt>
                <c:pt idx="24">
                  <c:v>2726</c:v>
                </c:pt>
                <c:pt idx="25">
                  <c:v>2754</c:v>
                </c:pt>
                <c:pt idx="26">
                  <c:v>2770</c:v>
                </c:pt>
                <c:pt idx="27">
                  <c:v>2778</c:v>
                </c:pt>
                <c:pt idx="28">
                  <c:v>2787</c:v>
                </c:pt>
                <c:pt idx="29">
                  <c:v>2792</c:v>
                </c:pt>
                <c:pt idx="30">
                  <c:v>2802</c:v>
                </c:pt>
                <c:pt idx="31">
                  <c:v>2807</c:v>
                </c:pt>
                <c:pt idx="32">
                  <c:v>2816</c:v>
                </c:pt>
                <c:pt idx="33">
                  <c:v>2822</c:v>
                </c:pt>
                <c:pt idx="34">
                  <c:v>2835</c:v>
                </c:pt>
                <c:pt idx="35">
                  <c:v>2847</c:v>
                </c:pt>
                <c:pt idx="36">
                  <c:v>2849</c:v>
                </c:pt>
                <c:pt idx="37">
                  <c:v>2862</c:v>
                </c:pt>
                <c:pt idx="38">
                  <c:v>2862</c:v>
                </c:pt>
                <c:pt idx="39">
                  <c:v>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9-4A3A-BCE4-DC1946F5F05B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Data)'!$AE$4:$AE$67</c:f>
              <c:numCache>
                <c:formatCode>General</c:formatCode>
                <c:ptCount val="64"/>
                <c:pt idx="13">
                  <c:v>928</c:v>
                </c:pt>
                <c:pt idx="14">
                  <c:v>1175</c:v>
                </c:pt>
                <c:pt idx="15">
                  <c:v>1437</c:v>
                </c:pt>
                <c:pt idx="16">
                  <c:v>1815</c:v>
                </c:pt>
                <c:pt idx="17">
                  <c:v>2272</c:v>
                </c:pt>
                <c:pt idx="18">
                  <c:v>2373</c:v>
                </c:pt>
                <c:pt idx="19">
                  <c:v>2415</c:v>
                </c:pt>
                <c:pt idx="20">
                  <c:v>2456</c:v>
                </c:pt>
                <c:pt idx="21">
                  <c:v>2491</c:v>
                </c:pt>
                <c:pt idx="22">
                  <c:v>2534</c:v>
                </c:pt>
                <c:pt idx="23">
                  <c:v>2570</c:v>
                </c:pt>
                <c:pt idx="24">
                  <c:v>2618</c:v>
                </c:pt>
                <c:pt idx="25">
                  <c:v>2625</c:v>
                </c:pt>
                <c:pt idx="26">
                  <c:v>2632</c:v>
                </c:pt>
                <c:pt idx="27">
                  <c:v>2639</c:v>
                </c:pt>
                <c:pt idx="28">
                  <c:v>2646</c:v>
                </c:pt>
                <c:pt idx="29">
                  <c:v>2653</c:v>
                </c:pt>
                <c:pt idx="30">
                  <c:v>2660</c:v>
                </c:pt>
                <c:pt idx="31">
                  <c:v>2667</c:v>
                </c:pt>
                <c:pt idx="32">
                  <c:v>2674</c:v>
                </c:pt>
                <c:pt idx="33">
                  <c:v>2681</c:v>
                </c:pt>
                <c:pt idx="34">
                  <c:v>2688</c:v>
                </c:pt>
                <c:pt idx="35">
                  <c:v>2704</c:v>
                </c:pt>
                <c:pt idx="36">
                  <c:v>2725</c:v>
                </c:pt>
                <c:pt idx="37">
                  <c:v>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9-4A3A-BCE4-DC1946F5F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Classical Season Tix </a:t>
            </a:r>
            <a:r>
              <a:rPr lang="en-US" baseline="0"/>
              <a:t>Renewals</a:t>
            </a:r>
            <a:r>
              <a:rPr lang="en-US"/>
              <a:t> 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'[1]Classical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Data)'!$E$4:$E$67</c:f>
              <c:numCache>
                <c:formatCode>General</c:formatCode>
                <c:ptCount val="64"/>
                <c:pt idx="7">
                  <c:v>773</c:v>
                </c:pt>
                <c:pt idx="8">
                  <c:v>1171</c:v>
                </c:pt>
                <c:pt idx="9">
                  <c:v>1477</c:v>
                </c:pt>
                <c:pt idx="10">
                  <c:v>1830</c:v>
                </c:pt>
                <c:pt idx="11">
                  <c:v>2225</c:v>
                </c:pt>
                <c:pt idx="12">
                  <c:v>2954</c:v>
                </c:pt>
                <c:pt idx="13">
                  <c:v>3718</c:v>
                </c:pt>
                <c:pt idx="14">
                  <c:v>4006</c:v>
                </c:pt>
                <c:pt idx="15">
                  <c:v>4071</c:v>
                </c:pt>
                <c:pt idx="16">
                  <c:v>4123</c:v>
                </c:pt>
                <c:pt idx="17">
                  <c:v>4157</c:v>
                </c:pt>
                <c:pt idx="18">
                  <c:v>4266</c:v>
                </c:pt>
                <c:pt idx="19">
                  <c:v>4228</c:v>
                </c:pt>
                <c:pt idx="20">
                  <c:v>4223</c:v>
                </c:pt>
                <c:pt idx="21">
                  <c:v>4230</c:v>
                </c:pt>
                <c:pt idx="22">
                  <c:v>4221</c:v>
                </c:pt>
                <c:pt idx="23">
                  <c:v>4235</c:v>
                </c:pt>
                <c:pt idx="24">
                  <c:v>4219</c:v>
                </c:pt>
                <c:pt idx="25">
                  <c:v>4223</c:v>
                </c:pt>
                <c:pt idx="26">
                  <c:v>4234</c:v>
                </c:pt>
                <c:pt idx="27">
                  <c:v>4236</c:v>
                </c:pt>
                <c:pt idx="28">
                  <c:v>4248</c:v>
                </c:pt>
                <c:pt idx="29">
                  <c:v>4266</c:v>
                </c:pt>
                <c:pt idx="30">
                  <c:v>4290</c:v>
                </c:pt>
                <c:pt idx="31">
                  <c:v>4294</c:v>
                </c:pt>
                <c:pt idx="32">
                  <c:v>4298</c:v>
                </c:pt>
                <c:pt idx="33">
                  <c:v>4300</c:v>
                </c:pt>
                <c:pt idx="34">
                  <c:v>4308</c:v>
                </c:pt>
                <c:pt idx="35">
                  <c:v>4314</c:v>
                </c:pt>
                <c:pt idx="36">
                  <c:v>4320</c:v>
                </c:pt>
                <c:pt idx="37">
                  <c:v>4328</c:v>
                </c:pt>
                <c:pt idx="38">
                  <c:v>4334</c:v>
                </c:pt>
                <c:pt idx="39">
                  <c:v>4346</c:v>
                </c:pt>
                <c:pt idx="40">
                  <c:v>4363</c:v>
                </c:pt>
                <c:pt idx="41">
                  <c:v>4369</c:v>
                </c:pt>
                <c:pt idx="42">
                  <c:v>4370</c:v>
                </c:pt>
                <c:pt idx="43">
                  <c:v>4375</c:v>
                </c:pt>
                <c:pt idx="44">
                  <c:v>4377</c:v>
                </c:pt>
                <c:pt idx="45">
                  <c:v>4380</c:v>
                </c:pt>
                <c:pt idx="46">
                  <c:v>4384</c:v>
                </c:pt>
                <c:pt idx="47">
                  <c:v>4386</c:v>
                </c:pt>
                <c:pt idx="48">
                  <c:v>4386</c:v>
                </c:pt>
                <c:pt idx="49">
                  <c:v>4386</c:v>
                </c:pt>
                <c:pt idx="50">
                  <c:v>4386</c:v>
                </c:pt>
                <c:pt idx="51">
                  <c:v>4386</c:v>
                </c:pt>
                <c:pt idx="52">
                  <c:v>4388</c:v>
                </c:pt>
                <c:pt idx="53">
                  <c:v>4388</c:v>
                </c:pt>
                <c:pt idx="54">
                  <c:v>4390</c:v>
                </c:pt>
                <c:pt idx="55">
                  <c:v>4386</c:v>
                </c:pt>
                <c:pt idx="56">
                  <c:v>4388</c:v>
                </c:pt>
                <c:pt idx="57">
                  <c:v>4390</c:v>
                </c:pt>
                <c:pt idx="58">
                  <c:v>4394</c:v>
                </c:pt>
                <c:pt idx="59">
                  <c:v>4394</c:v>
                </c:pt>
                <c:pt idx="60">
                  <c:v>4396</c:v>
                </c:pt>
                <c:pt idx="61">
                  <c:v>4398</c:v>
                </c:pt>
                <c:pt idx="62">
                  <c:v>4398</c:v>
                </c:pt>
                <c:pt idx="63">
                  <c:v>4398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0-408E-846F-84EC2CFDBC50}"/>
            </c:ext>
          </c:extLst>
        </c:ser>
        <c:ser>
          <c:idx val="1"/>
          <c:order val="1"/>
          <c:tx>
            <c:strRef>
              <c:f>'[1]Classical (Graph Data)'!$K$1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Data)'!$O$4:$O$67</c:f>
              <c:numCache>
                <c:formatCode>General</c:formatCode>
                <c:ptCount val="64"/>
                <c:pt idx="5">
                  <c:v>738</c:v>
                </c:pt>
                <c:pt idx="6">
                  <c:v>895</c:v>
                </c:pt>
                <c:pt idx="7">
                  <c:v>1155</c:v>
                </c:pt>
                <c:pt idx="8">
                  <c:v>1389</c:v>
                </c:pt>
                <c:pt idx="9">
                  <c:v>1679</c:v>
                </c:pt>
                <c:pt idx="10">
                  <c:v>2154</c:v>
                </c:pt>
                <c:pt idx="11">
                  <c:v>2719</c:v>
                </c:pt>
                <c:pt idx="12">
                  <c:v>2859</c:v>
                </c:pt>
                <c:pt idx="13">
                  <c:v>2909</c:v>
                </c:pt>
                <c:pt idx="14">
                  <c:v>2973</c:v>
                </c:pt>
                <c:pt idx="15">
                  <c:v>2992</c:v>
                </c:pt>
                <c:pt idx="16">
                  <c:v>3027</c:v>
                </c:pt>
                <c:pt idx="17">
                  <c:v>3096</c:v>
                </c:pt>
                <c:pt idx="18">
                  <c:v>3099</c:v>
                </c:pt>
                <c:pt idx="19">
                  <c:v>3118</c:v>
                </c:pt>
                <c:pt idx="20">
                  <c:v>3130</c:v>
                </c:pt>
                <c:pt idx="21">
                  <c:v>3133</c:v>
                </c:pt>
                <c:pt idx="22">
                  <c:v>3134</c:v>
                </c:pt>
                <c:pt idx="23">
                  <c:v>3140</c:v>
                </c:pt>
                <c:pt idx="24">
                  <c:v>3163</c:v>
                </c:pt>
                <c:pt idx="25">
                  <c:v>3174</c:v>
                </c:pt>
                <c:pt idx="26">
                  <c:v>3197</c:v>
                </c:pt>
                <c:pt idx="27">
                  <c:v>3198</c:v>
                </c:pt>
                <c:pt idx="28">
                  <c:v>3213</c:v>
                </c:pt>
                <c:pt idx="29">
                  <c:v>3218</c:v>
                </c:pt>
                <c:pt idx="30">
                  <c:v>3222</c:v>
                </c:pt>
                <c:pt idx="31">
                  <c:v>3229</c:v>
                </c:pt>
                <c:pt idx="32">
                  <c:v>3234</c:v>
                </c:pt>
                <c:pt idx="33">
                  <c:v>3238</c:v>
                </c:pt>
                <c:pt idx="34">
                  <c:v>3252</c:v>
                </c:pt>
                <c:pt idx="35">
                  <c:v>3256</c:v>
                </c:pt>
                <c:pt idx="36">
                  <c:v>3256</c:v>
                </c:pt>
                <c:pt idx="37">
                  <c:v>3285</c:v>
                </c:pt>
                <c:pt idx="38">
                  <c:v>3298</c:v>
                </c:pt>
                <c:pt idx="39">
                  <c:v>3310</c:v>
                </c:pt>
                <c:pt idx="40">
                  <c:v>3329</c:v>
                </c:pt>
                <c:pt idx="41">
                  <c:v>3336</c:v>
                </c:pt>
                <c:pt idx="42">
                  <c:v>3342</c:v>
                </c:pt>
                <c:pt idx="43">
                  <c:v>3345</c:v>
                </c:pt>
                <c:pt idx="44">
                  <c:v>3356</c:v>
                </c:pt>
                <c:pt idx="45">
                  <c:v>3365</c:v>
                </c:pt>
                <c:pt idx="46">
                  <c:v>3377</c:v>
                </c:pt>
                <c:pt idx="47">
                  <c:v>3395</c:v>
                </c:pt>
                <c:pt idx="48">
                  <c:v>3405</c:v>
                </c:pt>
                <c:pt idx="49">
                  <c:v>3419</c:v>
                </c:pt>
                <c:pt idx="50">
                  <c:v>3430</c:v>
                </c:pt>
                <c:pt idx="51">
                  <c:v>3442</c:v>
                </c:pt>
                <c:pt idx="52">
                  <c:v>3449</c:v>
                </c:pt>
                <c:pt idx="53">
                  <c:v>3455</c:v>
                </c:pt>
                <c:pt idx="54">
                  <c:v>3466</c:v>
                </c:pt>
                <c:pt idx="55">
                  <c:v>3479</c:v>
                </c:pt>
                <c:pt idx="56">
                  <c:v>3485</c:v>
                </c:pt>
                <c:pt idx="57">
                  <c:v>3504</c:v>
                </c:pt>
                <c:pt idx="58">
                  <c:v>3513</c:v>
                </c:pt>
                <c:pt idx="59">
                  <c:v>3520</c:v>
                </c:pt>
                <c:pt idx="60">
                  <c:v>3536</c:v>
                </c:pt>
                <c:pt idx="61">
                  <c:v>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0-408E-846F-84EC2CFDBC50}"/>
            </c:ext>
          </c:extLst>
        </c:ser>
        <c:ser>
          <c:idx val="2"/>
          <c:order val="2"/>
          <c:tx>
            <c:strRef>
              <c:f>'[1]Classical (Graph Data)'!$S$1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Data)'!$U$4:$U$67</c:f>
              <c:numCache>
                <c:formatCode>General</c:formatCode>
                <c:ptCount val="64"/>
                <c:pt idx="13">
                  <c:v>684</c:v>
                </c:pt>
                <c:pt idx="14">
                  <c:v>1078</c:v>
                </c:pt>
                <c:pt idx="15">
                  <c:v>1335</c:v>
                </c:pt>
                <c:pt idx="16">
                  <c:v>1609</c:v>
                </c:pt>
                <c:pt idx="17">
                  <c:v>1932</c:v>
                </c:pt>
                <c:pt idx="18">
                  <c:v>2328</c:v>
                </c:pt>
                <c:pt idx="19">
                  <c:v>2428</c:v>
                </c:pt>
                <c:pt idx="20">
                  <c:v>2464</c:v>
                </c:pt>
                <c:pt idx="21">
                  <c:v>2503</c:v>
                </c:pt>
                <c:pt idx="22">
                  <c:v>2568</c:v>
                </c:pt>
                <c:pt idx="23">
                  <c:v>2594</c:v>
                </c:pt>
                <c:pt idx="24">
                  <c:v>2623</c:v>
                </c:pt>
                <c:pt idx="25">
                  <c:v>2647</c:v>
                </c:pt>
                <c:pt idx="26">
                  <c:v>2657</c:v>
                </c:pt>
                <c:pt idx="27">
                  <c:v>2660</c:v>
                </c:pt>
                <c:pt idx="28">
                  <c:v>2669</c:v>
                </c:pt>
                <c:pt idx="29">
                  <c:v>2673</c:v>
                </c:pt>
                <c:pt idx="30">
                  <c:v>2677</c:v>
                </c:pt>
                <c:pt idx="31">
                  <c:v>2679</c:v>
                </c:pt>
                <c:pt idx="32">
                  <c:v>2681</c:v>
                </c:pt>
                <c:pt idx="33">
                  <c:v>2681</c:v>
                </c:pt>
                <c:pt idx="34">
                  <c:v>2690</c:v>
                </c:pt>
                <c:pt idx="35">
                  <c:v>2695</c:v>
                </c:pt>
                <c:pt idx="36">
                  <c:v>2695</c:v>
                </c:pt>
                <c:pt idx="37">
                  <c:v>2699</c:v>
                </c:pt>
                <c:pt idx="38">
                  <c:v>2699</c:v>
                </c:pt>
                <c:pt idx="39">
                  <c:v>2697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0-408E-846F-84EC2CFDBC50}"/>
            </c:ext>
          </c:extLst>
        </c:ser>
        <c:ser>
          <c:idx val="3"/>
          <c:order val="3"/>
          <c:tx>
            <c:strRef>
              <c:f>'[1]Classical (Graph Data)'!$AA$1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'[1]Classical (Graph Data)'!$AC$4:$AC$67</c:f>
              <c:numCache>
                <c:formatCode>General</c:formatCode>
                <c:ptCount val="64"/>
                <c:pt idx="13">
                  <c:v>898</c:v>
                </c:pt>
                <c:pt idx="14">
                  <c:v>1136</c:v>
                </c:pt>
                <c:pt idx="15">
                  <c:v>1387</c:v>
                </c:pt>
                <c:pt idx="16">
                  <c:v>1739</c:v>
                </c:pt>
                <c:pt idx="17">
                  <c:v>2160</c:v>
                </c:pt>
                <c:pt idx="18">
                  <c:v>2252</c:v>
                </c:pt>
                <c:pt idx="19">
                  <c:v>2293</c:v>
                </c:pt>
                <c:pt idx="20">
                  <c:v>2322</c:v>
                </c:pt>
                <c:pt idx="21">
                  <c:v>2345</c:v>
                </c:pt>
                <c:pt idx="22">
                  <c:v>2369</c:v>
                </c:pt>
                <c:pt idx="23">
                  <c:v>2384</c:v>
                </c:pt>
                <c:pt idx="24">
                  <c:v>2413</c:v>
                </c:pt>
                <c:pt idx="25">
                  <c:v>2414</c:v>
                </c:pt>
                <c:pt idx="26">
                  <c:v>2415</c:v>
                </c:pt>
                <c:pt idx="27">
                  <c:v>2416</c:v>
                </c:pt>
                <c:pt idx="28">
                  <c:v>2417</c:v>
                </c:pt>
                <c:pt idx="29">
                  <c:v>2418</c:v>
                </c:pt>
                <c:pt idx="30">
                  <c:v>2419</c:v>
                </c:pt>
                <c:pt idx="31">
                  <c:v>2420</c:v>
                </c:pt>
                <c:pt idx="32">
                  <c:v>2421</c:v>
                </c:pt>
                <c:pt idx="33">
                  <c:v>2422</c:v>
                </c:pt>
                <c:pt idx="34">
                  <c:v>2423</c:v>
                </c:pt>
                <c:pt idx="35">
                  <c:v>2424</c:v>
                </c:pt>
                <c:pt idx="36">
                  <c:v>2425</c:v>
                </c:pt>
                <c:pt idx="37">
                  <c:v>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0-408E-846F-84EC2CFDB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Pops Season Tickets</a:t>
            </a:r>
            <a:r>
              <a:rPr lang="en-US" baseline="0"/>
              <a:t> </a:t>
            </a:r>
            <a:r>
              <a:rPr lang="en-US"/>
              <a:t>by Calendar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'[1]Pops (Graph Data)'!$C$1</c:f>
              <c:strCache>
                <c:ptCount val="1"/>
                <c:pt idx="0">
                  <c:v>2019-20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'[1]Pops (Graph Data)'!$A$3:$A$67</c:f>
              <c:numCache>
                <c:formatCode>General</c:formatCode>
                <c:ptCount val="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</c:numCache>
            </c:numRef>
          </c:cat>
          <c:val>
            <c:numRef>
              <c:f>'[1]Pops (Graph Data)'!$D$3:$D$67</c:f>
              <c:numCache>
                <c:formatCode>General</c:formatCode>
                <c:ptCount val="65"/>
                <c:pt idx="7">
                  <c:v>495.13447099329198</c:v>
                </c:pt>
                <c:pt idx="8">
                  <c:v>749.54311632281599</c:v>
                </c:pt>
                <c:pt idx="9">
                  <c:v>870.89041831557154</c:v>
                </c:pt>
                <c:pt idx="10">
                  <c:v>1007.9044919245102</c:v>
                </c:pt>
                <c:pt idx="11">
                  <c:v>1189.0245107105338</c:v>
                </c:pt>
                <c:pt idx="12">
                  <c:v>1475.081552067616</c:v>
                </c:pt>
                <c:pt idx="13">
                  <c:v>1711.1756275756068</c:v>
                </c:pt>
                <c:pt idx="14">
                  <c:v>1833.9226968144571</c:v>
                </c:pt>
                <c:pt idx="15">
                  <c:v>1898.6154627084975</c:v>
                </c:pt>
                <c:pt idx="16">
                  <c:v>1949.7733518164503</c:v>
                </c:pt>
                <c:pt idx="17">
                  <c:v>2006.9855187693008</c:v>
                </c:pt>
                <c:pt idx="18">
                  <c:v>2045.3330718608249</c:v>
                </c:pt>
                <c:pt idx="19">
                  <c:v>2087.9406212053696</c:v>
                </c:pt>
                <c:pt idx="20">
                  <c:v>2112.3094688718002</c:v>
                </c:pt>
                <c:pt idx="21">
                  <c:v>2141.5528447529518</c:v>
                </c:pt>
                <c:pt idx="22">
                  <c:v>2150.9263538724649</c:v>
                </c:pt>
                <c:pt idx="23">
                  <c:v>2161.6768697950465</c:v>
                </c:pt>
                <c:pt idx="24">
                  <c:v>2174.267188195558</c:v>
                </c:pt>
                <c:pt idx="25">
                  <c:v>2175.936287350793</c:v>
                </c:pt>
                <c:pt idx="26">
                  <c:v>2195.2067957794152</c:v>
                </c:pt>
                <c:pt idx="27">
                  <c:v>2207.1332679250036</c:v>
                </c:pt>
                <c:pt idx="28">
                  <c:v>2232.4808146415494</c:v>
                </c:pt>
                <c:pt idx="29">
                  <c:v>2241.6912072527098</c:v>
                </c:pt>
                <c:pt idx="30">
                  <c:v>2274.5269397247876</c:v>
                </c:pt>
                <c:pt idx="31">
                  <c:v>2282.9938245304343</c:v>
                </c:pt>
                <c:pt idx="32">
                  <c:v>2292.6139051160612</c:v>
                </c:pt>
                <c:pt idx="33">
                  <c:v>2299.0626973067419</c:v>
                </c:pt>
                <c:pt idx="34">
                  <c:v>2299.0626973067419</c:v>
                </c:pt>
                <c:pt idx="35">
                  <c:v>2300.094504057251</c:v>
                </c:pt>
                <c:pt idx="36">
                  <c:v>2302.051902157481</c:v>
                </c:pt>
                <c:pt idx="37">
                  <c:v>2303.0837089079901</c:v>
                </c:pt>
                <c:pt idx="38">
                  <c:v>2310.9208881232526</c:v>
                </c:pt>
                <c:pt idx="39">
                  <c:v>2317.8286825816226</c:v>
                </c:pt>
                <c:pt idx="40">
                  <c:v>2321.4248325797203</c:v>
                </c:pt>
                <c:pt idx="41">
                  <c:v>2323.450512009028</c:v>
                </c:pt>
                <c:pt idx="42">
                  <c:v>2324.4292110591432</c:v>
                </c:pt>
                <c:pt idx="43">
                  <c:v>2326.807677355353</c:v>
                </c:pt>
                <c:pt idx="44">
                  <c:v>2327.6270533042866</c:v>
                </c:pt>
                <c:pt idx="45">
                  <c:v>2330.3014053598336</c:v>
                </c:pt>
                <c:pt idx="46">
                  <c:v>2335.9346150087517</c:v>
                </c:pt>
                <c:pt idx="47">
                  <c:v>2336.6743294070943</c:v>
                </c:pt>
                <c:pt idx="48">
                  <c:v>2339.1210770323819</c:v>
                </c:pt>
                <c:pt idx="49">
                  <c:v>2344.3673591498591</c:v>
                </c:pt>
                <c:pt idx="50">
                  <c:v>2347.4172585153342</c:v>
                </c:pt>
                <c:pt idx="51">
                  <c:v>2352.0603888926244</c:v>
                </c:pt>
                <c:pt idx="52">
                  <c:v>2352.0603888926244</c:v>
                </c:pt>
                <c:pt idx="53">
                  <c:v>2353.5170572462839</c:v>
                </c:pt>
                <c:pt idx="54">
                  <c:v>2357.5949699550965</c:v>
                </c:pt>
                <c:pt idx="55">
                  <c:v>2359.3475240680937</c:v>
                </c:pt>
                <c:pt idx="56">
                  <c:v>2360.2238011245918</c:v>
                </c:pt>
                <c:pt idx="57">
                  <c:v>2360.2238011245918</c:v>
                </c:pt>
                <c:pt idx="58">
                  <c:v>2360.2238011245918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8-4CEA-9F2E-B10FB2A279ED}"/>
            </c:ext>
          </c:extLst>
        </c:ser>
        <c:ser>
          <c:idx val="1"/>
          <c:order val="1"/>
          <c:tx>
            <c:strRef>
              <c:f>'[1]Pops (Graph Data)'!$H$1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Data)'!$I$3:$I$67</c:f>
              <c:numCache>
                <c:formatCode>General</c:formatCode>
                <c:ptCount val="65"/>
                <c:pt idx="5">
                  <c:v>332.94152791430736</c:v>
                </c:pt>
                <c:pt idx="6">
                  <c:v>458.8431030856305</c:v>
                </c:pt>
                <c:pt idx="7">
                  <c:v>614.40684218261799</c:v>
                </c:pt>
                <c:pt idx="8">
                  <c:v>761.08168939267125</c:v>
                </c:pt>
                <c:pt idx="9">
                  <c:v>960.69959629372931</c:v>
                </c:pt>
                <c:pt idx="10">
                  <c:v>1204.6383702797687</c:v>
                </c:pt>
                <c:pt idx="11">
                  <c:v>1478.6653765548781</c:v>
                </c:pt>
                <c:pt idx="12">
                  <c:v>1547.3599559708821</c:v>
                </c:pt>
                <c:pt idx="13">
                  <c:v>1597.6002461199762</c:v>
                </c:pt>
                <c:pt idx="14">
                  <c:v>1628.5015859727982</c:v>
                </c:pt>
                <c:pt idx="15">
                  <c:v>1671.4499274901664</c:v>
                </c:pt>
                <c:pt idx="16">
                  <c:v>1712.6191896580456</c:v>
                </c:pt>
                <c:pt idx="17">
                  <c:v>1737.210814816154</c:v>
                </c:pt>
                <c:pt idx="18">
                  <c:v>1763.6433154985964</c:v>
                </c:pt>
                <c:pt idx="19">
                  <c:v>1785.3760544625536</c:v>
                </c:pt>
                <c:pt idx="20">
                  <c:v>1805.5768987764022</c:v>
                </c:pt>
                <c:pt idx="21">
                  <c:v>1817.7247257788538</c:v>
                </c:pt>
                <c:pt idx="22">
                  <c:v>1818.6158916687257</c:v>
                </c:pt>
                <c:pt idx="23">
                  <c:v>1838.9143088902247</c:v>
                </c:pt>
                <c:pt idx="24">
                  <c:v>1857.2157339351493</c:v>
                </c:pt>
                <c:pt idx="25">
                  <c:v>1859.3298136009039</c:v>
                </c:pt>
                <c:pt idx="26">
                  <c:v>1848.9480562269214</c:v>
                </c:pt>
                <c:pt idx="27">
                  <c:v>1863.974284005054</c:v>
                </c:pt>
                <c:pt idx="28">
                  <c:v>1859.4403962295742</c:v>
                </c:pt>
                <c:pt idx="29">
                  <c:v>1859.3883573454941</c:v>
                </c:pt>
                <c:pt idx="30">
                  <c:v>1863.0180695100819</c:v>
                </c:pt>
                <c:pt idx="31">
                  <c:v>1868.7195797471093</c:v>
                </c:pt>
                <c:pt idx="32">
                  <c:v>1872.1151169333366</c:v>
                </c:pt>
                <c:pt idx="33">
                  <c:v>1872.7818651356131</c:v>
                </c:pt>
                <c:pt idx="34">
                  <c:v>1874.9154593828978</c:v>
                </c:pt>
                <c:pt idx="35">
                  <c:v>1876.8831796871771</c:v>
                </c:pt>
                <c:pt idx="36">
                  <c:v>1879.2249294707822</c:v>
                </c:pt>
                <c:pt idx="37">
                  <c:v>1885.7297899807961</c:v>
                </c:pt>
                <c:pt idx="38">
                  <c:v>1885.7297899807961</c:v>
                </c:pt>
                <c:pt idx="39">
                  <c:v>1885.7297899807961</c:v>
                </c:pt>
                <c:pt idx="40">
                  <c:v>1885.7297899807961</c:v>
                </c:pt>
                <c:pt idx="41">
                  <c:v>1888.2113942653666</c:v>
                </c:pt>
                <c:pt idx="42">
                  <c:v>1890.6019305027969</c:v>
                </c:pt>
                <c:pt idx="43">
                  <c:v>1891.145086355383</c:v>
                </c:pt>
                <c:pt idx="44">
                  <c:v>1891.8476112904646</c:v>
                </c:pt>
                <c:pt idx="45">
                  <c:v>1891.8476112904646</c:v>
                </c:pt>
                <c:pt idx="46">
                  <c:v>1892.9371754258918</c:v>
                </c:pt>
                <c:pt idx="47">
                  <c:v>1893.4803312784779</c:v>
                </c:pt>
                <c:pt idx="48">
                  <c:v>1893.4803312784779</c:v>
                </c:pt>
                <c:pt idx="49">
                  <c:v>1896.202615401919</c:v>
                </c:pt>
                <c:pt idx="50">
                  <c:v>1896.202615401919</c:v>
                </c:pt>
                <c:pt idx="51">
                  <c:v>1898.134558973393</c:v>
                </c:pt>
                <c:pt idx="52">
                  <c:v>1898.7395110008245</c:v>
                </c:pt>
                <c:pt idx="53">
                  <c:v>1900.1445608709876</c:v>
                </c:pt>
                <c:pt idx="54">
                  <c:v>1900.1445608709876</c:v>
                </c:pt>
                <c:pt idx="55">
                  <c:v>1900.1445608709876</c:v>
                </c:pt>
                <c:pt idx="56">
                  <c:v>1900.1445608709876</c:v>
                </c:pt>
                <c:pt idx="57">
                  <c:v>1900.8698528178541</c:v>
                </c:pt>
                <c:pt idx="58">
                  <c:v>1902.0797568727166</c:v>
                </c:pt>
                <c:pt idx="59">
                  <c:v>1902.4440290612774</c:v>
                </c:pt>
                <c:pt idx="60">
                  <c:v>1902.4440290612774</c:v>
                </c:pt>
                <c:pt idx="61">
                  <c:v>1902.4440290612774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8-4CEA-9F2E-B10FB2A279ED}"/>
            </c:ext>
          </c:extLst>
        </c:ser>
        <c:ser>
          <c:idx val="2"/>
          <c:order val="2"/>
          <c:tx>
            <c:strRef>
              <c:f>'[1]Pops (Graph Data)'!$M$1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Data)'!$N$3:$N$67</c:f>
              <c:numCache>
                <c:formatCode>General</c:formatCode>
                <c:ptCount val="65"/>
                <c:pt idx="15">
                  <c:v>297.51927713140338</c:v>
                </c:pt>
                <c:pt idx="16">
                  <c:v>402.99876598628373</c:v>
                </c:pt>
                <c:pt idx="17">
                  <c:v>496.08802920036953</c:v>
                </c:pt>
                <c:pt idx="18">
                  <c:v>862.52285611781372</c:v>
                </c:pt>
                <c:pt idx="19">
                  <c:v>1078.7102303550043</c:v>
                </c:pt>
                <c:pt idx="20">
                  <c:v>1370.9865956993235</c:v>
                </c:pt>
                <c:pt idx="21">
                  <c:v>1527.106922435652</c:v>
                </c:pt>
                <c:pt idx="22">
                  <c:v>1578.0990296007308</c:v>
                </c:pt>
                <c:pt idx="23">
                  <c:v>1615.0810081476102</c:v>
                </c:pt>
                <c:pt idx="24">
                  <c:v>1648.3557893788163</c:v>
                </c:pt>
                <c:pt idx="25">
                  <c:v>1655.2766651819218</c:v>
                </c:pt>
                <c:pt idx="26">
                  <c:v>1655.2766651819218</c:v>
                </c:pt>
                <c:pt idx="27">
                  <c:v>1658.8474190568461</c:v>
                </c:pt>
                <c:pt idx="28">
                  <c:v>1664.6361046069269</c:v>
                </c:pt>
                <c:pt idx="29">
                  <c:v>1658.7051695122354</c:v>
                </c:pt>
                <c:pt idx="30">
                  <c:v>1659.5238301567301</c:v>
                </c:pt>
                <c:pt idx="31">
                  <c:v>1659.7386559996119</c:v>
                </c:pt>
                <c:pt idx="32">
                  <c:v>1662.322372218053</c:v>
                </c:pt>
                <c:pt idx="33">
                  <c:v>1665.0222105137277</c:v>
                </c:pt>
                <c:pt idx="34">
                  <c:v>1668.5697399732053</c:v>
                </c:pt>
                <c:pt idx="35">
                  <c:v>1669.7309607455384</c:v>
                </c:pt>
                <c:pt idx="36">
                  <c:v>1670.5409122342407</c:v>
                </c:pt>
                <c:pt idx="37">
                  <c:v>1674.4600323408652</c:v>
                </c:pt>
                <c:pt idx="38">
                  <c:v>1674.4193896138336</c:v>
                </c:pt>
                <c:pt idx="39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8-4CEA-9F2E-B10FB2A279ED}"/>
            </c:ext>
          </c:extLst>
        </c:ser>
        <c:ser>
          <c:idx val="3"/>
          <c:order val="3"/>
          <c:tx>
            <c:strRef>
              <c:f>'[1]Pops (Graph Data)'!$R$1</c:f>
              <c:strCache>
                <c:ptCount val="1"/>
                <c:pt idx="0">
                  <c:v>2025-26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'[1]Pops (Graph Data)'!$R$4:$R$67</c:f>
              <c:numCache>
                <c:formatCode>General</c:formatCode>
                <c:ptCount val="64"/>
                <c:pt idx="13">
                  <c:v>674</c:v>
                </c:pt>
                <c:pt idx="14">
                  <c:v>829</c:v>
                </c:pt>
                <c:pt idx="15">
                  <c:v>947</c:v>
                </c:pt>
                <c:pt idx="16">
                  <c:v>1127</c:v>
                </c:pt>
                <c:pt idx="17">
                  <c:v>1418</c:v>
                </c:pt>
                <c:pt idx="18">
                  <c:v>1515</c:v>
                </c:pt>
                <c:pt idx="19">
                  <c:v>1530</c:v>
                </c:pt>
                <c:pt idx="20">
                  <c:v>1561</c:v>
                </c:pt>
                <c:pt idx="21">
                  <c:v>1588</c:v>
                </c:pt>
                <c:pt idx="22">
                  <c:v>1613</c:v>
                </c:pt>
                <c:pt idx="23">
                  <c:v>1662</c:v>
                </c:pt>
                <c:pt idx="24">
                  <c:v>1653</c:v>
                </c:pt>
                <c:pt idx="25">
                  <c:v>1663</c:v>
                </c:pt>
                <c:pt idx="26">
                  <c:v>1673</c:v>
                </c:pt>
                <c:pt idx="27">
                  <c:v>1683</c:v>
                </c:pt>
                <c:pt idx="28">
                  <c:v>1693</c:v>
                </c:pt>
                <c:pt idx="29">
                  <c:v>1703</c:v>
                </c:pt>
                <c:pt idx="30">
                  <c:v>1713</c:v>
                </c:pt>
                <c:pt idx="31">
                  <c:v>1723</c:v>
                </c:pt>
                <c:pt idx="32">
                  <c:v>1733</c:v>
                </c:pt>
                <c:pt idx="33">
                  <c:v>1743</c:v>
                </c:pt>
                <c:pt idx="34">
                  <c:v>1753</c:v>
                </c:pt>
                <c:pt idx="35">
                  <c:v>1763</c:v>
                </c:pt>
                <c:pt idx="36">
                  <c:v>1773</c:v>
                </c:pt>
                <c:pt idx="37">
                  <c:v>1784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CEA-9F2E-B10FB2A27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38431"/>
        <c:axId val="1679549951"/>
      </c:lineChart>
      <c:catAx>
        <c:axId val="16795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9951"/>
        <c:crosses val="autoZero"/>
        <c:auto val="1"/>
        <c:lblAlgn val="ctr"/>
        <c:lblOffset val="100"/>
        <c:tickLblSkip val="4"/>
        <c:noMultiLvlLbl val="0"/>
      </c:catAx>
      <c:valAx>
        <c:axId val="16795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8</xdr:row>
      <xdr:rowOff>109537</xdr:rowOff>
    </xdr:from>
    <xdr:to>
      <xdr:col>6</xdr:col>
      <xdr:colOff>552450</xdr:colOff>
      <xdr:row>22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38F95-7CAB-479B-A9F2-B623AB45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8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DF78E-34FC-4024-95A7-192C3202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142875</xdr:rowOff>
    </xdr:from>
    <xdr:to>
      <xdr:col>10</xdr:col>
      <xdr:colOff>66675</xdr:colOff>
      <xdr:row>24</xdr:row>
      <xdr:rowOff>28575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F049A0-3D19-4A47-BFC7-A0B36D80A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7</xdr:row>
      <xdr:rowOff>0</xdr:rowOff>
    </xdr:from>
    <xdr:to>
      <xdr:col>6</xdr:col>
      <xdr:colOff>447675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42DB1-06B4-4044-888F-FD52DC7CC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86CBFB-85F2-43F9-BE24-9C73F7D3C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8</xdr:row>
      <xdr:rowOff>147637</xdr:rowOff>
    </xdr:from>
    <xdr:to>
      <xdr:col>10</xdr:col>
      <xdr:colOff>600075</xdr:colOff>
      <xdr:row>23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DB7CD-1602-45AA-A9C9-F3B15EC46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11</xdr:row>
      <xdr:rowOff>147637</xdr:rowOff>
    </xdr:from>
    <xdr:to>
      <xdr:col>10</xdr:col>
      <xdr:colOff>600075</xdr:colOff>
      <xdr:row>26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9F802-84E5-4396-A875-11514251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10</xdr:row>
      <xdr:rowOff>147637</xdr:rowOff>
    </xdr:from>
    <xdr:to>
      <xdr:col>10</xdr:col>
      <xdr:colOff>600075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DD67-1BF1-4AEF-AC6A-A1AB568B5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13</xdr:row>
      <xdr:rowOff>147637</xdr:rowOff>
    </xdr:from>
    <xdr:to>
      <xdr:col>10</xdr:col>
      <xdr:colOff>600075</xdr:colOff>
      <xdr:row>28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C35C3-F3F1-4E80-A34D-BDEC2BB23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314325</xdr:colOff>
      <xdr:row>0</xdr:row>
      <xdr:rowOff>95250</xdr:rowOff>
    </xdr:from>
    <xdr:to>
      <xdr:col>24</xdr:col>
      <xdr:colOff>9525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0</xdr:row>
      <xdr:rowOff>95250</xdr:rowOff>
    </xdr:from>
    <xdr:to>
      <xdr:col>8</xdr:col>
      <xdr:colOff>28575</xdr:colOff>
      <xdr:row>14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77DE4C-D51E-49D3-B5B2-AD63718550B3}"/>
            </a:ext>
            <a:ext uri="{147F2762-F138-4A5C-976F-8EAC2B608ADB}">
              <a16:predDERef xmlns:a16="http://schemas.microsoft.com/office/drawing/2014/main" pred="{E49747AF-5891-4EC5-B77E-2FA25E046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0</xdr:row>
      <xdr:rowOff>104775</xdr:rowOff>
    </xdr:from>
    <xdr:to>
      <xdr:col>16</xdr:col>
      <xdr:colOff>76200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4B13E-5AB0-499B-B0EB-5A1DCA38525C}"/>
            </a:ext>
            <a:ext uri="{147F2762-F138-4A5C-976F-8EAC2B608ADB}">
              <a16:predDERef xmlns:a16="http://schemas.microsoft.com/office/drawing/2014/main" pred="{B977DE4C-D51E-49D3-B5B2-AD6371855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304800</xdr:colOff>
      <xdr:row>20</xdr:row>
      <xdr:rowOff>51435</xdr:rowOff>
    </xdr:from>
    <xdr:to>
      <xdr:col>8</xdr:col>
      <xdr:colOff>0</xdr:colOff>
      <xdr:row>34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76C5B-3963-4DC3-BF0C-069FC8E5B7A2}"/>
            </a:ext>
            <a:ext uri="{147F2762-F138-4A5C-976F-8EAC2B608ADB}">
              <a16:predDERef xmlns:a16="http://schemas.microsoft.com/office/drawing/2014/main" pred="{4034B13E-5AB0-499B-B0EB-5A1DCA385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257175</xdr:colOff>
      <xdr:row>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DDA94-3EFA-4F0B-B2ED-2D0D430F9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95575" cy="895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csymphony-my.sharepoint.com/personal/jlai_kcsymphony_org/Documents/KCS%20sub%20report%2025%2026.xlsx" TargetMode="External"/><Relationship Id="rId1" Type="http://schemas.openxmlformats.org/officeDocument/2006/relationships/externalLinkPath" Target="https://kcsymphony-my.sharepoint.com/personal/jlai_kcsymphony_org/Documents/KCS%20sub%20report%2025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lqHjOQ4AYkKc3zpe5mgNEjH8SwHhvpZOiGmsrN2XPukWODMtTQUCQryesaC-tm8O" itemId="01FJ7QIVEAOS5GXLKRRZDKZAE2WYSPKOPJ">
      <xxl21:absoluteUrl r:id="rId2"/>
    </xxl21:alternateUrls>
    <sheetNames>
      <sheetName val="Graphs"/>
      <sheetName val="Classical (Graph Data)"/>
      <sheetName val="Pops (Graph Data)"/>
      <sheetName val="Classical (JL)"/>
      <sheetName val="Classical"/>
      <sheetName val="class n-r"/>
      <sheetName val="Pops"/>
      <sheetName val="Family"/>
      <sheetName val="flex"/>
      <sheetName val="KCS sub report 25 26"/>
    </sheetNames>
    <sheetDataSet>
      <sheetData sheetId="0"/>
      <sheetData sheetId="1">
        <row r="1">
          <cell r="C1" t="str">
            <v>2019-20</v>
          </cell>
          <cell r="K1" t="str">
            <v>2023-24</v>
          </cell>
          <cell r="S1" t="str">
            <v>2024-25</v>
          </cell>
          <cell r="AA1" t="str">
            <v>2025-26</v>
          </cell>
        </row>
        <row r="9">
          <cell r="K9">
            <v>20</v>
          </cell>
          <cell r="O9">
            <v>738</v>
          </cell>
        </row>
        <row r="10">
          <cell r="K10">
            <v>26</v>
          </cell>
          <cell r="O10">
            <v>895</v>
          </cell>
        </row>
        <row r="11">
          <cell r="C11">
            <v>27</v>
          </cell>
          <cell r="E11">
            <v>773</v>
          </cell>
          <cell r="G11">
            <v>800</v>
          </cell>
          <cell r="K11">
            <v>51</v>
          </cell>
          <cell r="O11">
            <v>1155</v>
          </cell>
        </row>
        <row r="12">
          <cell r="C12">
            <v>44</v>
          </cell>
          <cell r="E12">
            <v>1171</v>
          </cell>
          <cell r="G12">
            <v>1215</v>
          </cell>
          <cell r="K12">
            <v>55</v>
          </cell>
          <cell r="O12">
            <v>1389</v>
          </cell>
        </row>
        <row r="13">
          <cell r="C13">
            <v>52</v>
          </cell>
          <cell r="E13">
            <v>1477</v>
          </cell>
          <cell r="G13">
            <v>1529</v>
          </cell>
          <cell r="K13">
            <v>70</v>
          </cell>
          <cell r="O13">
            <v>1679</v>
          </cell>
        </row>
        <row r="14">
          <cell r="C14">
            <v>70</v>
          </cell>
          <cell r="E14">
            <v>1830</v>
          </cell>
          <cell r="G14">
            <v>1900</v>
          </cell>
          <cell r="K14">
            <v>98</v>
          </cell>
          <cell r="O14">
            <v>2154</v>
          </cell>
        </row>
        <row r="15">
          <cell r="C15">
            <v>78</v>
          </cell>
          <cell r="E15">
            <v>2225</v>
          </cell>
          <cell r="G15">
            <v>2303</v>
          </cell>
          <cell r="K15">
            <v>129</v>
          </cell>
          <cell r="O15">
            <v>2719</v>
          </cell>
        </row>
        <row r="16">
          <cell r="C16">
            <v>86</v>
          </cell>
          <cell r="E16">
            <v>2954</v>
          </cell>
          <cell r="G16">
            <v>3040</v>
          </cell>
          <cell r="K16">
            <v>151</v>
          </cell>
          <cell r="O16">
            <v>2859</v>
          </cell>
        </row>
        <row r="17">
          <cell r="C17">
            <v>111</v>
          </cell>
          <cell r="E17">
            <v>3718</v>
          </cell>
          <cell r="G17">
            <v>3829</v>
          </cell>
          <cell r="K17">
            <v>166</v>
          </cell>
          <cell r="O17">
            <v>2909</v>
          </cell>
          <cell r="S17">
            <v>25</v>
          </cell>
          <cell r="U17">
            <v>684</v>
          </cell>
          <cell r="W17">
            <v>709</v>
          </cell>
          <cell r="AA17">
            <v>30</v>
          </cell>
          <cell r="AC17">
            <v>898</v>
          </cell>
          <cell r="AE17">
            <v>928</v>
          </cell>
        </row>
        <row r="18">
          <cell r="C18">
            <v>118</v>
          </cell>
          <cell r="E18">
            <v>4006</v>
          </cell>
          <cell r="G18">
            <v>4124</v>
          </cell>
          <cell r="K18">
            <v>182</v>
          </cell>
          <cell r="O18">
            <v>2973</v>
          </cell>
          <cell r="S18">
            <v>31</v>
          </cell>
          <cell r="U18">
            <v>1078</v>
          </cell>
          <cell r="W18">
            <v>1109</v>
          </cell>
          <cell r="AA18">
            <v>39</v>
          </cell>
          <cell r="AC18">
            <v>1136</v>
          </cell>
          <cell r="AE18">
            <v>1175</v>
          </cell>
        </row>
        <row r="19">
          <cell r="C19">
            <v>134</v>
          </cell>
          <cell r="E19">
            <v>4071</v>
          </cell>
          <cell r="G19">
            <v>4205</v>
          </cell>
          <cell r="K19">
            <v>196</v>
          </cell>
          <cell r="O19">
            <v>2992</v>
          </cell>
          <cell r="S19">
            <v>35</v>
          </cell>
          <cell r="U19">
            <v>1335</v>
          </cell>
          <cell r="W19">
            <v>1370</v>
          </cell>
          <cell r="AA19">
            <v>50</v>
          </cell>
          <cell r="AC19">
            <v>1387</v>
          </cell>
          <cell r="AE19">
            <v>1437</v>
          </cell>
        </row>
        <row r="20">
          <cell r="C20">
            <v>154</v>
          </cell>
          <cell r="E20">
            <v>4123</v>
          </cell>
          <cell r="G20">
            <v>4277</v>
          </cell>
          <cell r="K20">
            <v>213</v>
          </cell>
          <cell r="O20">
            <v>3027</v>
          </cell>
          <cell r="S20">
            <v>38</v>
          </cell>
          <cell r="U20">
            <v>1609</v>
          </cell>
          <cell r="W20">
            <v>1647</v>
          </cell>
          <cell r="AA20">
            <v>76</v>
          </cell>
          <cell r="AC20">
            <v>1739</v>
          </cell>
          <cell r="AE20">
            <v>1815</v>
          </cell>
        </row>
        <row r="21">
          <cell r="C21">
            <v>171</v>
          </cell>
          <cell r="E21">
            <v>4157</v>
          </cell>
          <cell r="G21">
            <v>4328</v>
          </cell>
          <cell r="K21">
            <v>229</v>
          </cell>
          <cell r="O21">
            <v>3096</v>
          </cell>
          <cell r="S21">
            <v>48</v>
          </cell>
          <cell r="U21">
            <v>1932</v>
          </cell>
          <cell r="W21">
            <v>1980</v>
          </cell>
          <cell r="AA21">
            <v>112</v>
          </cell>
          <cell r="AC21">
            <v>2160</v>
          </cell>
          <cell r="AE21">
            <v>2272</v>
          </cell>
        </row>
        <row r="22">
          <cell r="C22">
            <v>179</v>
          </cell>
          <cell r="E22">
            <v>4266</v>
          </cell>
          <cell r="G22">
            <v>4445</v>
          </cell>
          <cell r="K22">
            <v>238</v>
          </cell>
          <cell r="O22">
            <v>3099</v>
          </cell>
          <cell r="S22">
            <v>73</v>
          </cell>
          <cell r="U22">
            <v>2328</v>
          </cell>
          <cell r="W22">
            <v>2401</v>
          </cell>
          <cell r="AA22">
            <v>121</v>
          </cell>
          <cell r="AC22">
            <v>2252</v>
          </cell>
          <cell r="AE22">
            <v>2373</v>
          </cell>
        </row>
        <row r="23">
          <cell r="C23">
            <v>197</v>
          </cell>
          <cell r="E23">
            <v>4228</v>
          </cell>
          <cell r="G23">
            <v>4425</v>
          </cell>
          <cell r="K23">
            <v>257</v>
          </cell>
          <cell r="O23">
            <v>3118</v>
          </cell>
          <cell r="S23">
            <v>79</v>
          </cell>
          <cell r="U23">
            <v>2428</v>
          </cell>
          <cell r="W23">
            <v>2507</v>
          </cell>
          <cell r="AA23">
            <v>122</v>
          </cell>
          <cell r="AC23">
            <v>2293</v>
          </cell>
          <cell r="AE23">
            <v>2415</v>
          </cell>
        </row>
        <row r="24">
          <cell r="C24">
            <v>212</v>
          </cell>
          <cell r="E24">
            <v>4223</v>
          </cell>
          <cell r="G24">
            <v>4435</v>
          </cell>
          <cell r="K24">
            <v>273</v>
          </cell>
          <cell r="O24">
            <v>3130</v>
          </cell>
          <cell r="S24">
            <v>88</v>
          </cell>
          <cell r="U24">
            <v>2464</v>
          </cell>
          <cell r="W24">
            <v>2552</v>
          </cell>
          <cell r="AA24">
            <v>134</v>
          </cell>
          <cell r="AC24">
            <v>2322</v>
          </cell>
          <cell r="AE24">
            <v>2456</v>
          </cell>
        </row>
        <row r="25">
          <cell r="C25">
            <v>228</v>
          </cell>
          <cell r="E25">
            <v>4230</v>
          </cell>
          <cell r="G25">
            <v>4458</v>
          </cell>
          <cell r="K25">
            <v>279</v>
          </cell>
          <cell r="O25">
            <v>3133</v>
          </cell>
          <cell r="S25">
            <v>93</v>
          </cell>
          <cell r="U25">
            <v>2503</v>
          </cell>
          <cell r="W25">
            <v>2596</v>
          </cell>
          <cell r="AA25">
            <v>146</v>
          </cell>
          <cell r="AC25">
            <v>2345</v>
          </cell>
          <cell r="AE25">
            <v>2491</v>
          </cell>
        </row>
        <row r="26">
          <cell r="C26">
            <v>239</v>
          </cell>
          <cell r="E26">
            <v>4221</v>
          </cell>
          <cell r="G26">
            <v>4460</v>
          </cell>
          <cell r="K26">
            <v>286</v>
          </cell>
          <cell r="O26">
            <v>3134</v>
          </cell>
          <cell r="S26">
            <v>94</v>
          </cell>
          <cell r="U26">
            <v>2568</v>
          </cell>
          <cell r="W26">
            <v>2662</v>
          </cell>
          <cell r="AA26">
            <v>165</v>
          </cell>
          <cell r="AC26">
            <v>2369</v>
          </cell>
          <cell r="AE26">
            <v>2534</v>
          </cell>
        </row>
        <row r="27">
          <cell r="C27">
            <v>249</v>
          </cell>
          <cell r="E27">
            <v>4235</v>
          </cell>
          <cell r="G27">
            <v>4484</v>
          </cell>
          <cell r="K27">
            <v>287</v>
          </cell>
          <cell r="O27">
            <v>3140</v>
          </cell>
          <cell r="S27">
            <v>95</v>
          </cell>
          <cell r="U27">
            <v>2594</v>
          </cell>
          <cell r="W27">
            <v>2689</v>
          </cell>
          <cell r="AA27">
            <v>186</v>
          </cell>
          <cell r="AC27">
            <v>2384</v>
          </cell>
          <cell r="AE27">
            <v>2570</v>
          </cell>
        </row>
        <row r="28">
          <cell r="C28">
            <v>264</v>
          </cell>
          <cell r="E28">
            <v>4219</v>
          </cell>
          <cell r="G28">
            <v>4483</v>
          </cell>
          <cell r="K28">
            <v>294</v>
          </cell>
          <cell r="O28">
            <v>3163</v>
          </cell>
          <cell r="S28">
            <v>103</v>
          </cell>
          <cell r="U28">
            <v>2623</v>
          </cell>
          <cell r="W28">
            <v>2726</v>
          </cell>
          <cell r="AA28">
            <v>205</v>
          </cell>
          <cell r="AC28">
            <v>2413</v>
          </cell>
          <cell r="AE28">
            <v>2618</v>
          </cell>
        </row>
        <row r="29">
          <cell r="C29">
            <v>272</v>
          </cell>
          <cell r="E29">
            <v>4223</v>
          </cell>
          <cell r="G29">
            <v>4495</v>
          </cell>
          <cell r="K29">
            <v>297</v>
          </cell>
          <cell r="O29">
            <v>3174</v>
          </cell>
          <cell r="S29">
            <v>107</v>
          </cell>
          <cell r="U29">
            <v>2647</v>
          </cell>
          <cell r="W29">
            <v>2754</v>
          </cell>
          <cell r="AA29">
            <v>211</v>
          </cell>
          <cell r="AC29">
            <v>2414</v>
          </cell>
          <cell r="AE29">
            <v>2625</v>
          </cell>
        </row>
        <row r="30">
          <cell r="C30">
            <v>301</v>
          </cell>
          <cell r="E30">
            <v>4234</v>
          </cell>
          <cell r="G30">
            <v>4535</v>
          </cell>
          <cell r="K30">
            <v>311</v>
          </cell>
          <cell r="O30">
            <v>3197</v>
          </cell>
          <cell r="S30">
            <v>113</v>
          </cell>
          <cell r="U30">
            <v>2657</v>
          </cell>
          <cell r="W30">
            <v>2770</v>
          </cell>
          <cell r="AA30">
            <v>217</v>
          </cell>
          <cell r="AC30">
            <v>2415</v>
          </cell>
          <cell r="AE30">
            <v>2632</v>
          </cell>
        </row>
        <row r="31">
          <cell r="C31">
            <v>323</v>
          </cell>
          <cell r="E31">
            <v>4236</v>
          </cell>
          <cell r="G31">
            <v>4559</v>
          </cell>
          <cell r="K31">
            <v>312</v>
          </cell>
          <cell r="O31">
            <v>3198</v>
          </cell>
          <cell r="S31">
            <v>118</v>
          </cell>
          <cell r="U31">
            <v>2660</v>
          </cell>
          <cell r="W31">
            <v>2778</v>
          </cell>
          <cell r="AA31">
            <v>223</v>
          </cell>
          <cell r="AC31">
            <v>2416</v>
          </cell>
          <cell r="AE31">
            <v>2639</v>
          </cell>
        </row>
        <row r="32">
          <cell r="C32">
            <v>357</v>
          </cell>
          <cell r="E32">
            <v>4248</v>
          </cell>
          <cell r="G32">
            <v>4605</v>
          </cell>
          <cell r="K32">
            <v>325</v>
          </cell>
          <cell r="O32">
            <v>3213</v>
          </cell>
          <cell r="S32">
            <v>118</v>
          </cell>
          <cell r="U32">
            <v>2669</v>
          </cell>
          <cell r="W32">
            <v>2787</v>
          </cell>
          <cell r="AA32">
            <v>229</v>
          </cell>
          <cell r="AC32">
            <v>2417</v>
          </cell>
          <cell r="AE32">
            <v>2646</v>
          </cell>
        </row>
        <row r="33">
          <cell r="C33">
            <v>371</v>
          </cell>
          <cell r="E33">
            <v>4266</v>
          </cell>
          <cell r="G33">
            <v>4637</v>
          </cell>
          <cell r="K33">
            <v>330</v>
          </cell>
          <cell r="O33">
            <v>3218</v>
          </cell>
          <cell r="S33">
            <v>119</v>
          </cell>
          <cell r="U33">
            <v>2673</v>
          </cell>
          <cell r="W33">
            <v>2792</v>
          </cell>
          <cell r="AA33">
            <v>235</v>
          </cell>
          <cell r="AC33">
            <v>2418</v>
          </cell>
          <cell r="AE33">
            <v>2653</v>
          </cell>
        </row>
        <row r="34">
          <cell r="C34">
            <v>403</v>
          </cell>
          <cell r="E34">
            <v>4290</v>
          </cell>
          <cell r="G34">
            <v>4693</v>
          </cell>
          <cell r="K34">
            <v>338</v>
          </cell>
          <cell r="O34">
            <v>3222</v>
          </cell>
          <cell r="S34">
            <v>127</v>
          </cell>
          <cell r="U34">
            <v>2677</v>
          </cell>
          <cell r="W34">
            <v>2802</v>
          </cell>
          <cell r="AA34">
            <v>241</v>
          </cell>
          <cell r="AC34">
            <v>2419</v>
          </cell>
          <cell r="AE34">
            <v>2660</v>
          </cell>
        </row>
        <row r="35">
          <cell r="C35">
            <v>412</v>
          </cell>
          <cell r="E35">
            <v>4294</v>
          </cell>
          <cell r="G35">
            <v>4706</v>
          </cell>
          <cell r="K35">
            <v>343</v>
          </cell>
          <cell r="O35">
            <v>3229</v>
          </cell>
          <cell r="S35">
            <v>128</v>
          </cell>
          <cell r="U35">
            <v>2679</v>
          </cell>
          <cell r="W35">
            <v>2807</v>
          </cell>
          <cell r="AA35">
            <v>247</v>
          </cell>
          <cell r="AC35">
            <v>2420</v>
          </cell>
          <cell r="AE35">
            <v>2667</v>
          </cell>
        </row>
        <row r="36">
          <cell r="C36">
            <v>418</v>
          </cell>
          <cell r="E36">
            <v>4298</v>
          </cell>
          <cell r="G36">
            <v>4716</v>
          </cell>
          <cell r="K36">
            <v>348</v>
          </cell>
          <cell r="O36">
            <v>3234</v>
          </cell>
          <cell r="S36">
            <v>135</v>
          </cell>
          <cell r="U36">
            <v>2681</v>
          </cell>
          <cell r="W36">
            <v>2816</v>
          </cell>
          <cell r="AA36">
            <v>253</v>
          </cell>
          <cell r="AC36">
            <v>2421</v>
          </cell>
          <cell r="AE36">
            <v>2674</v>
          </cell>
        </row>
        <row r="37">
          <cell r="C37">
            <v>425</v>
          </cell>
          <cell r="E37">
            <v>4300</v>
          </cell>
          <cell r="G37">
            <v>4725</v>
          </cell>
          <cell r="K37">
            <v>350</v>
          </cell>
          <cell r="O37">
            <v>3238</v>
          </cell>
          <cell r="S37">
            <v>141</v>
          </cell>
          <cell r="U37">
            <v>2681</v>
          </cell>
          <cell r="W37">
            <v>2822</v>
          </cell>
          <cell r="AA37">
            <v>259</v>
          </cell>
          <cell r="AC37">
            <v>2422</v>
          </cell>
          <cell r="AE37">
            <v>2681</v>
          </cell>
        </row>
        <row r="38">
          <cell r="C38">
            <v>439</v>
          </cell>
          <cell r="E38">
            <v>4308</v>
          </cell>
          <cell r="G38">
            <v>4747</v>
          </cell>
          <cell r="K38">
            <v>358</v>
          </cell>
          <cell r="O38">
            <v>3252</v>
          </cell>
          <cell r="S38">
            <v>145</v>
          </cell>
          <cell r="U38">
            <v>2690</v>
          </cell>
          <cell r="W38">
            <v>2835</v>
          </cell>
          <cell r="AA38">
            <v>265</v>
          </cell>
          <cell r="AC38">
            <v>2423</v>
          </cell>
          <cell r="AE38">
            <v>2688</v>
          </cell>
        </row>
        <row r="39">
          <cell r="C39">
            <v>443</v>
          </cell>
          <cell r="E39">
            <v>4314</v>
          </cell>
          <cell r="G39">
            <v>4757</v>
          </cell>
          <cell r="K39">
            <v>364</v>
          </cell>
          <cell r="O39">
            <v>3256</v>
          </cell>
          <cell r="S39">
            <v>152</v>
          </cell>
          <cell r="U39">
            <v>2695</v>
          </cell>
          <cell r="W39">
            <v>2847</v>
          </cell>
          <cell r="AA39">
            <v>280</v>
          </cell>
          <cell r="AC39">
            <v>2424</v>
          </cell>
          <cell r="AE39">
            <v>2704</v>
          </cell>
        </row>
        <row r="40">
          <cell r="C40">
            <v>451</v>
          </cell>
          <cell r="E40">
            <v>4320</v>
          </cell>
          <cell r="G40">
            <v>4771</v>
          </cell>
          <cell r="K40">
            <v>364</v>
          </cell>
          <cell r="O40">
            <v>3256</v>
          </cell>
          <cell r="S40">
            <v>154</v>
          </cell>
          <cell r="U40">
            <v>2695</v>
          </cell>
          <cell r="W40">
            <v>2849</v>
          </cell>
          <cell r="AA40">
            <v>300</v>
          </cell>
          <cell r="AC40">
            <v>2425</v>
          </cell>
          <cell r="AE40">
            <v>2725</v>
          </cell>
        </row>
        <row r="41">
          <cell r="C41">
            <v>495</v>
          </cell>
          <cell r="E41">
            <v>4328</v>
          </cell>
          <cell r="G41">
            <v>4823</v>
          </cell>
          <cell r="K41">
            <v>393</v>
          </cell>
          <cell r="O41">
            <v>3285</v>
          </cell>
          <cell r="S41">
            <v>163</v>
          </cell>
          <cell r="U41">
            <v>2699</v>
          </cell>
          <cell r="W41">
            <v>2862</v>
          </cell>
          <cell r="AA41">
            <v>313</v>
          </cell>
          <cell r="AC41">
            <v>2426</v>
          </cell>
          <cell r="AE41">
            <v>2739</v>
          </cell>
        </row>
        <row r="42">
          <cell r="C42">
            <v>521</v>
          </cell>
          <cell r="E42">
            <v>4334</v>
          </cell>
          <cell r="G42">
            <v>4855</v>
          </cell>
          <cell r="K42">
            <v>404</v>
          </cell>
          <cell r="O42">
            <v>3298</v>
          </cell>
          <cell r="S42">
            <v>163</v>
          </cell>
          <cell r="U42">
            <v>2699</v>
          </cell>
          <cell r="W42">
            <v>2862</v>
          </cell>
        </row>
        <row r="43">
          <cell r="C43">
            <v>552</v>
          </cell>
          <cell r="E43">
            <v>4346</v>
          </cell>
          <cell r="G43">
            <v>4898</v>
          </cell>
          <cell r="K43">
            <v>415</v>
          </cell>
          <cell r="O43">
            <v>3310</v>
          </cell>
          <cell r="S43">
            <v>165</v>
          </cell>
          <cell r="U43">
            <v>2697</v>
          </cell>
          <cell r="W43">
            <v>2862</v>
          </cell>
        </row>
        <row r="44">
          <cell r="C44">
            <v>619</v>
          </cell>
          <cell r="E44">
            <v>4363</v>
          </cell>
          <cell r="G44">
            <v>4982</v>
          </cell>
          <cell r="K44">
            <v>434</v>
          </cell>
          <cell r="O44">
            <v>3329</v>
          </cell>
        </row>
        <row r="45">
          <cell r="C45">
            <v>647</v>
          </cell>
          <cell r="E45">
            <v>4369</v>
          </cell>
          <cell r="G45">
            <v>5016</v>
          </cell>
          <cell r="K45">
            <v>440</v>
          </cell>
          <cell r="O45">
            <v>3336</v>
          </cell>
        </row>
        <row r="46">
          <cell r="C46">
            <v>661</v>
          </cell>
          <cell r="E46">
            <v>4370</v>
          </cell>
          <cell r="G46">
            <v>5031</v>
          </cell>
          <cell r="K46">
            <v>443</v>
          </cell>
          <cell r="O46">
            <v>3342</v>
          </cell>
        </row>
        <row r="47">
          <cell r="C47">
            <v>687</v>
          </cell>
          <cell r="E47">
            <v>4375</v>
          </cell>
          <cell r="G47">
            <v>5062</v>
          </cell>
          <cell r="K47">
            <v>444</v>
          </cell>
          <cell r="O47">
            <v>3345</v>
          </cell>
        </row>
        <row r="48">
          <cell r="C48">
            <v>698</v>
          </cell>
          <cell r="E48">
            <v>4377</v>
          </cell>
          <cell r="G48">
            <v>5075</v>
          </cell>
          <cell r="K48">
            <v>452</v>
          </cell>
          <cell r="O48">
            <v>3356</v>
          </cell>
        </row>
        <row r="49">
          <cell r="C49">
            <v>732</v>
          </cell>
          <cell r="E49">
            <v>4380</v>
          </cell>
          <cell r="G49">
            <v>5112</v>
          </cell>
          <cell r="K49">
            <v>465</v>
          </cell>
          <cell r="O49">
            <v>3365</v>
          </cell>
        </row>
        <row r="50">
          <cell r="C50">
            <v>759</v>
          </cell>
          <cell r="E50">
            <v>4384</v>
          </cell>
          <cell r="G50">
            <v>5143</v>
          </cell>
          <cell r="K50">
            <v>477</v>
          </cell>
          <cell r="O50">
            <v>3377</v>
          </cell>
        </row>
        <row r="51">
          <cell r="C51">
            <v>772</v>
          </cell>
          <cell r="E51">
            <v>4386</v>
          </cell>
          <cell r="G51">
            <v>5158</v>
          </cell>
          <cell r="K51">
            <v>495</v>
          </cell>
          <cell r="O51">
            <v>3395</v>
          </cell>
        </row>
        <row r="52">
          <cell r="C52">
            <v>780</v>
          </cell>
          <cell r="E52">
            <v>4386</v>
          </cell>
          <cell r="G52">
            <v>5166</v>
          </cell>
          <cell r="K52">
            <v>503</v>
          </cell>
          <cell r="O52">
            <v>3405</v>
          </cell>
        </row>
        <row r="53">
          <cell r="C53">
            <v>805</v>
          </cell>
          <cell r="E53">
            <v>4386</v>
          </cell>
          <cell r="G53">
            <v>5191</v>
          </cell>
          <cell r="K53">
            <v>517</v>
          </cell>
          <cell r="O53">
            <v>3419</v>
          </cell>
        </row>
        <row r="54">
          <cell r="C54">
            <v>820</v>
          </cell>
          <cell r="E54">
            <v>4386</v>
          </cell>
          <cell r="G54">
            <v>5206</v>
          </cell>
          <cell r="K54">
            <v>528</v>
          </cell>
          <cell r="O54">
            <v>3430</v>
          </cell>
        </row>
        <row r="55">
          <cell r="C55">
            <v>846</v>
          </cell>
          <cell r="E55">
            <v>4386</v>
          </cell>
          <cell r="G55">
            <v>5232</v>
          </cell>
          <cell r="K55">
            <v>540</v>
          </cell>
          <cell r="O55">
            <v>3442</v>
          </cell>
        </row>
        <row r="56">
          <cell r="C56">
            <v>852</v>
          </cell>
          <cell r="E56">
            <v>4388</v>
          </cell>
          <cell r="G56">
            <v>5240</v>
          </cell>
          <cell r="K56">
            <v>547</v>
          </cell>
          <cell r="O56">
            <v>3449</v>
          </cell>
        </row>
        <row r="57">
          <cell r="C57">
            <v>855</v>
          </cell>
          <cell r="E57">
            <v>4388</v>
          </cell>
          <cell r="G57">
            <v>5243</v>
          </cell>
          <cell r="K57">
            <v>555</v>
          </cell>
          <cell r="O57">
            <v>3455</v>
          </cell>
        </row>
        <row r="58">
          <cell r="C58">
            <v>882</v>
          </cell>
          <cell r="E58">
            <v>4390</v>
          </cell>
          <cell r="G58">
            <v>5272</v>
          </cell>
          <cell r="K58">
            <v>566</v>
          </cell>
          <cell r="O58">
            <v>3466</v>
          </cell>
        </row>
        <row r="59">
          <cell r="C59">
            <v>897</v>
          </cell>
          <cell r="E59">
            <v>4386</v>
          </cell>
          <cell r="G59">
            <v>5283</v>
          </cell>
          <cell r="K59">
            <v>579</v>
          </cell>
          <cell r="O59">
            <v>3479</v>
          </cell>
        </row>
        <row r="60">
          <cell r="C60">
            <v>903</v>
          </cell>
          <cell r="E60">
            <v>4388</v>
          </cell>
          <cell r="G60">
            <v>5291</v>
          </cell>
          <cell r="K60">
            <v>585</v>
          </cell>
          <cell r="O60">
            <v>3485</v>
          </cell>
        </row>
        <row r="61">
          <cell r="C61">
            <v>912</v>
          </cell>
          <cell r="E61">
            <v>4390</v>
          </cell>
          <cell r="G61">
            <v>5302</v>
          </cell>
          <cell r="K61">
            <v>604</v>
          </cell>
          <cell r="O61">
            <v>3504</v>
          </cell>
        </row>
        <row r="62">
          <cell r="C62">
            <v>918</v>
          </cell>
          <cell r="E62">
            <v>4394</v>
          </cell>
          <cell r="G62">
            <v>5312</v>
          </cell>
          <cell r="K62">
            <v>610</v>
          </cell>
          <cell r="O62">
            <v>3513</v>
          </cell>
        </row>
        <row r="63">
          <cell r="C63">
            <v>929</v>
          </cell>
          <cell r="E63">
            <v>4394</v>
          </cell>
          <cell r="G63">
            <v>5323</v>
          </cell>
          <cell r="K63">
            <v>617</v>
          </cell>
          <cell r="O63">
            <v>3520</v>
          </cell>
        </row>
        <row r="64">
          <cell r="C64">
            <v>940</v>
          </cell>
          <cell r="E64">
            <v>4396</v>
          </cell>
          <cell r="G64">
            <v>5336</v>
          </cell>
          <cell r="K64">
            <v>633</v>
          </cell>
          <cell r="O64">
            <v>3536</v>
          </cell>
        </row>
        <row r="65">
          <cell r="C65">
            <v>950</v>
          </cell>
          <cell r="E65">
            <v>4398</v>
          </cell>
          <cell r="G65">
            <v>5348</v>
          </cell>
          <cell r="K65">
            <v>634</v>
          </cell>
          <cell r="O65">
            <v>3537</v>
          </cell>
        </row>
        <row r="66">
          <cell r="C66">
            <v>962</v>
          </cell>
          <cell r="E66">
            <v>4398</v>
          </cell>
          <cell r="G66">
            <v>5360</v>
          </cell>
        </row>
        <row r="67">
          <cell r="C67">
            <v>966</v>
          </cell>
          <cell r="E67">
            <v>4398</v>
          </cell>
          <cell r="G67">
            <v>5364</v>
          </cell>
        </row>
      </sheetData>
      <sheetData sheetId="2">
        <row r="1">
          <cell r="C1" t="str">
            <v>2019-20</v>
          </cell>
          <cell r="H1" t="str">
            <v>2023-24</v>
          </cell>
          <cell r="M1" t="str">
            <v>2024-25</v>
          </cell>
          <cell r="R1" t="str">
            <v>2025-26</v>
          </cell>
        </row>
        <row r="3">
          <cell r="A3">
            <v>1</v>
          </cell>
          <cell r="D3"/>
          <cell r="I3"/>
          <cell r="N3"/>
        </row>
        <row r="4">
          <cell r="A4">
            <v>2</v>
          </cell>
          <cell r="D4"/>
          <cell r="I4"/>
          <cell r="N4"/>
        </row>
        <row r="5">
          <cell r="A5">
            <v>3</v>
          </cell>
          <cell r="D5"/>
          <cell r="I5"/>
          <cell r="N5"/>
        </row>
        <row r="6">
          <cell r="A6">
            <v>4</v>
          </cell>
          <cell r="D6"/>
          <cell r="I6"/>
          <cell r="N6"/>
        </row>
        <row r="7">
          <cell r="A7">
            <v>5</v>
          </cell>
          <cell r="D7"/>
          <cell r="I7"/>
          <cell r="N7"/>
        </row>
        <row r="8">
          <cell r="A8">
            <v>6</v>
          </cell>
          <cell r="D8"/>
          <cell r="I8">
            <v>332.94152791430736</v>
          </cell>
          <cell r="N8"/>
        </row>
        <row r="9">
          <cell r="A9">
            <v>7</v>
          </cell>
          <cell r="D9"/>
          <cell r="I9">
            <v>458.8431030856305</v>
          </cell>
          <cell r="N9"/>
        </row>
        <row r="10">
          <cell r="A10">
            <v>8</v>
          </cell>
          <cell r="D10">
            <v>495.13447099329198</v>
          </cell>
          <cell r="I10">
            <v>614.40684218261799</v>
          </cell>
          <cell r="N10"/>
        </row>
        <row r="11">
          <cell r="A11">
            <v>9</v>
          </cell>
          <cell r="D11">
            <v>749.54311632281599</v>
          </cell>
          <cell r="I11">
            <v>761.08168939267125</v>
          </cell>
          <cell r="N11"/>
        </row>
        <row r="12">
          <cell r="A12">
            <v>10</v>
          </cell>
          <cell r="D12">
            <v>870.89041831557154</v>
          </cell>
          <cell r="I12">
            <v>960.69959629372931</v>
          </cell>
          <cell r="N12"/>
        </row>
        <row r="13">
          <cell r="A13">
            <v>11</v>
          </cell>
          <cell r="D13">
            <v>1007.9044919245102</v>
          </cell>
          <cell r="I13">
            <v>1204.6383702797687</v>
          </cell>
          <cell r="N13"/>
        </row>
        <row r="14">
          <cell r="A14">
            <v>12</v>
          </cell>
          <cell r="D14">
            <v>1189.0245107105338</v>
          </cell>
          <cell r="I14">
            <v>1478.6653765548781</v>
          </cell>
          <cell r="N14"/>
        </row>
        <row r="15">
          <cell r="A15">
            <v>13</v>
          </cell>
          <cell r="D15">
            <v>1475.081552067616</v>
          </cell>
          <cell r="I15">
            <v>1547.3599559708821</v>
          </cell>
          <cell r="N15"/>
        </row>
        <row r="16">
          <cell r="A16">
            <v>14</v>
          </cell>
          <cell r="D16">
            <v>1711.1756275756068</v>
          </cell>
          <cell r="I16">
            <v>1597.6002461199762</v>
          </cell>
          <cell r="N16"/>
        </row>
        <row r="17">
          <cell r="A17">
            <v>15</v>
          </cell>
          <cell r="D17">
            <v>1833.9226968144571</v>
          </cell>
          <cell r="I17">
            <v>1628.5015859727982</v>
          </cell>
          <cell r="N17"/>
          <cell r="R17">
            <v>674</v>
          </cell>
        </row>
        <row r="18">
          <cell r="A18">
            <v>16</v>
          </cell>
          <cell r="D18">
            <v>1898.6154627084975</v>
          </cell>
          <cell r="I18">
            <v>1671.4499274901664</v>
          </cell>
          <cell r="N18">
            <v>297.51927713140338</v>
          </cell>
          <cell r="R18">
            <v>829</v>
          </cell>
        </row>
        <row r="19">
          <cell r="A19">
            <v>17</v>
          </cell>
          <cell r="D19">
            <v>1949.7733518164503</v>
          </cell>
          <cell r="I19">
            <v>1712.6191896580456</v>
          </cell>
          <cell r="N19">
            <v>402.99876598628373</v>
          </cell>
          <cell r="R19">
            <v>947</v>
          </cell>
        </row>
        <row r="20">
          <cell r="A20">
            <v>18</v>
          </cell>
          <cell r="D20">
            <v>2006.9855187693008</v>
          </cell>
          <cell r="I20">
            <v>1737.210814816154</v>
          </cell>
          <cell r="N20">
            <v>496.08802920036953</v>
          </cell>
          <cell r="R20">
            <v>1127</v>
          </cell>
        </row>
        <row r="21">
          <cell r="A21">
            <v>19</v>
          </cell>
          <cell r="D21">
            <v>2045.3330718608249</v>
          </cell>
          <cell r="I21">
            <v>1763.6433154985964</v>
          </cell>
          <cell r="N21">
            <v>862.52285611781372</v>
          </cell>
          <cell r="R21">
            <v>1418</v>
          </cell>
        </row>
        <row r="22">
          <cell r="A22">
            <v>20</v>
          </cell>
          <cell r="D22">
            <v>2087.9406212053696</v>
          </cell>
          <cell r="I22">
            <v>1785.3760544625536</v>
          </cell>
          <cell r="N22">
            <v>1078.7102303550043</v>
          </cell>
          <cell r="R22">
            <v>1515</v>
          </cell>
        </row>
        <row r="23">
          <cell r="A23">
            <v>21</v>
          </cell>
          <cell r="D23">
            <v>2112.3094688718002</v>
          </cell>
          <cell r="I23">
            <v>1805.5768987764022</v>
          </cell>
          <cell r="N23">
            <v>1370.9865956993235</v>
          </cell>
          <cell r="R23">
            <v>1530</v>
          </cell>
        </row>
        <row r="24">
          <cell r="A24">
            <v>22</v>
          </cell>
          <cell r="D24">
            <v>2141.5528447529518</v>
          </cell>
          <cell r="I24">
            <v>1817.7247257788538</v>
          </cell>
          <cell r="N24">
            <v>1527.106922435652</v>
          </cell>
          <cell r="R24">
            <v>1561</v>
          </cell>
        </row>
        <row r="25">
          <cell r="A25">
            <v>23</v>
          </cell>
          <cell r="D25">
            <v>2150.9263538724649</v>
          </cell>
          <cell r="I25">
            <v>1818.6158916687257</v>
          </cell>
          <cell r="N25">
            <v>1578.0990296007308</v>
          </cell>
          <cell r="R25">
            <v>1588</v>
          </cell>
        </row>
        <row r="26">
          <cell r="A26">
            <v>24</v>
          </cell>
          <cell r="D26">
            <v>2161.6768697950465</v>
          </cell>
          <cell r="I26">
            <v>1838.9143088902247</v>
          </cell>
          <cell r="N26">
            <v>1615.0810081476102</v>
          </cell>
          <cell r="R26">
            <v>1613</v>
          </cell>
        </row>
        <row r="27">
          <cell r="A27">
            <v>25</v>
          </cell>
          <cell r="D27">
            <v>2174.267188195558</v>
          </cell>
          <cell r="I27">
            <v>1857.2157339351493</v>
          </cell>
          <cell r="N27">
            <v>1648.3557893788163</v>
          </cell>
          <cell r="R27">
            <v>1662</v>
          </cell>
        </row>
        <row r="28">
          <cell r="A28">
            <v>26</v>
          </cell>
          <cell r="D28">
            <v>2175.936287350793</v>
          </cell>
          <cell r="I28">
            <v>1859.3298136009039</v>
          </cell>
          <cell r="N28">
            <v>1655.2766651819218</v>
          </cell>
          <cell r="R28">
            <v>1653</v>
          </cell>
        </row>
        <row r="29">
          <cell r="A29">
            <v>27</v>
          </cell>
          <cell r="D29">
            <v>2195.2067957794152</v>
          </cell>
          <cell r="I29">
            <v>1848.9480562269214</v>
          </cell>
          <cell r="N29">
            <v>1655.2766651819218</v>
          </cell>
          <cell r="R29">
            <v>1663</v>
          </cell>
        </row>
        <row r="30">
          <cell r="A30">
            <v>28</v>
          </cell>
          <cell r="D30">
            <v>2207.1332679250036</v>
          </cell>
          <cell r="I30">
            <v>1863.974284005054</v>
          </cell>
          <cell r="N30">
            <v>1658.8474190568461</v>
          </cell>
          <cell r="R30">
            <v>1673</v>
          </cell>
        </row>
        <row r="31">
          <cell r="A31">
            <v>29</v>
          </cell>
          <cell r="D31">
            <v>2232.4808146415494</v>
          </cell>
          <cell r="I31">
            <v>1859.4403962295742</v>
          </cell>
          <cell r="N31">
            <v>1664.6361046069269</v>
          </cell>
          <cell r="R31">
            <v>1683</v>
          </cell>
        </row>
        <row r="32">
          <cell r="A32">
            <v>30</v>
          </cell>
          <cell r="D32">
            <v>2241.6912072527098</v>
          </cell>
          <cell r="I32">
            <v>1859.3883573454941</v>
          </cell>
          <cell r="N32">
            <v>1658.7051695122354</v>
          </cell>
          <cell r="R32">
            <v>1693</v>
          </cell>
        </row>
        <row r="33">
          <cell r="A33">
            <v>31</v>
          </cell>
          <cell r="D33">
            <v>2274.5269397247876</v>
          </cell>
          <cell r="I33">
            <v>1863.0180695100819</v>
          </cell>
          <cell r="N33">
            <v>1659.5238301567301</v>
          </cell>
          <cell r="R33">
            <v>1703</v>
          </cell>
        </row>
        <row r="34">
          <cell r="A34">
            <v>32</v>
          </cell>
          <cell r="D34">
            <v>2282.9938245304343</v>
          </cell>
          <cell r="I34">
            <v>1868.7195797471093</v>
          </cell>
          <cell r="N34">
            <v>1659.7386559996119</v>
          </cell>
          <cell r="R34">
            <v>1713</v>
          </cell>
        </row>
        <row r="35">
          <cell r="A35">
            <v>33</v>
          </cell>
          <cell r="D35">
            <v>2292.6139051160612</v>
          </cell>
          <cell r="I35">
            <v>1872.1151169333366</v>
          </cell>
          <cell r="N35">
            <v>1662.322372218053</v>
          </cell>
          <cell r="R35">
            <v>1723</v>
          </cell>
        </row>
        <row r="36">
          <cell r="A36">
            <v>34</v>
          </cell>
          <cell r="D36">
            <v>2299.0626973067419</v>
          </cell>
          <cell r="I36">
            <v>1872.7818651356131</v>
          </cell>
          <cell r="N36">
            <v>1665.0222105137277</v>
          </cell>
          <cell r="R36">
            <v>1733</v>
          </cell>
        </row>
        <row r="37">
          <cell r="A37">
            <v>35</v>
          </cell>
          <cell r="D37">
            <v>2299.0626973067419</v>
          </cell>
          <cell r="I37">
            <v>1874.9154593828978</v>
          </cell>
          <cell r="N37">
            <v>1668.5697399732053</v>
          </cell>
          <cell r="R37">
            <v>1743</v>
          </cell>
        </row>
        <row r="38">
          <cell r="A38">
            <v>36</v>
          </cell>
          <cell r="D38">
            <v>2300.094504057251</v>
          </cell>
          <cell r="I38">
            <v>1876.8831796871771</v>
          </cell>
          <cell r="N38">
            <v>1669.7309607455384</v>
          </cell>
          <cell r="R38">
            <v>1753</v>
          </cell>
        </row>
        <row r="39">
          <cell r="A39">
            <v>37</v>
          </cell>
          <cell r="D39">
            <v>2302.051902157481</v>
          </cell>
          <cell r="I39">
            <v>1879.2249294707822</v>
          </cell>
          <cell r="N39">
            <v>1670.5409122342407</v>
          </cell>
          <cell r="R39">
            <v>1763</v>
          </cell>
        </row>
        <row r="40">
          <cell r="A40">
            <v>38</v>
          </cell>
          <cell r="D40">
            <v>2303.0837089079901</v>
          </cell>
          <cell r="I40">
            <v>1885.7297899807961</v>
          </cell>
          <cell r="N40">
            <v>1674.4600323408652</v>
          </cell>
          <cell r="R40">
            <v>1773</v>
          </cell>
        </row>
        <row r="41">
          <cell r="A41">
            <v>39</v>
          </cell>
          <cell r="D41">
            <v>2310.9208881232526</v>
          </cell>
          <cell r="I41">
            <v>1885.7297899807961</v>
          </cell>
          <cell r="N41">
            <v>1674.4193896138336</v>
          </cell>
          <cell r="R41">
            <v>1784</v>
          </cell>
        </row>
        <row r="42">
          <cell r="A42">
            <v>40</v>
          </cell>
          <cell r="D42">
            <v>2317.8286825816226</v>
          </cell>
          <cell r="I42">
            <v>1885.7297899807961</v>
          </cell>
          <cell r="N42">
            <v>1675</v>
          </cell>
        </row>
        <row r="43">
          <cell r="A43">
            <v>41</v>
          </cell>
          <cell r="D43">
            <v>2321.4248325797203</v>
          </cell>
          <cell r="I43">
            <v>1885.7297899807961</v>
          </cell>
        </row>
        <row r="44">
          <cell r="A44">
            <v>42</v>
          </cell>
          <cell r="D44">
            <v>2323.450512009028</v>
          </cell>
          <cell r="I44">
            <v>1888.2113942653666</v>
          </cell>
        </row>
        <row r="45">
          <cell r="A45">
            <v>43</v>
          </cell>
          <cell r="D45">
            <v>2324.4292110591432</v>
          </cell>
          <cell r="I45">
            <v>1890.6019305027969</v>
          </cell>
        </row>
        <row r="46">
          <cell r="A46">
            <v>44</v>
          </cell>
          <cell r="D46">
            <v>2326.807677355353</v>
          </cell>
          <cell r="I46">
            <v>1891.145086355383</v>
          </cell>
        </row>
        <row r="47">
          <cell r="A47">
            <v>45</v>
          </cell>
          <cell r="D47">
            <v>2327.6270533042866</v>
          </cell>
          <cell r="I47">
            <v>1891.8476112904646</v>
          </cell>
        </row>
        <row r="48">
          <cell r="A48">
            <v>46</v>
          </cell>
          <cell r="D48">
            <v>2330.3014053598336</v>
          </cell>
          <cell r="I48">
            <v>1891.8476112904646</v>
          </cell>
        </row>
        <row r="49">
          <cell r="A49">
            <v>47</v>
          </cell>
          <cell r="D49">
            <v>2335.9346150087517</v>
          </cell>
          <cell r="I49">
            <v>1892.9371754258918</v>
          </cell>
        </row>
        <row r="50">
          <cell r="A50">
            <v>48</v>
          </cell>
          <cell r="D50">
            <v>2336.6743294070943</v>
          </cell>
          <cell r="I50">
            <v>1893.4803312784779</v>
          </cell>
        </row>
        <row r="51">
          <cell r="A51">
            <v>49</v>
          </cell>
          <cell r="D51">
            <v>2339.1210770323819</v>
          </cell>
          <cell r="I51">
            <v>1893.4803312784779</v>
          </cell>
        </row>
        <row r="52">
          <cell r="A52">
            <v>50</v>
          </cell>
          <cell r="D52">
            <v>2344.3673591498591</v>
          </cell>
          <cell r="I52">
            <v>1896.202615401919</v>
          </cell>
        </row>
        <row r="53">
          <cell r="A53">
            <v>51</v>
          </cell>
          <cell r="D53">
            <v>2347.4172585153342</v>
          </cell>
          <cell r="I53">
            <v>1896.202615401919</v>
          </cell>
        </row>
        <row r="54">
          <cell r="A54">
            <v>52</v>
          </cell>
          <cell r="D54">
            <v>2352.0603888926244</v>
          </cell>
          <cell r="I54">
            <v>1898.134558973393</v>
          </cell>
        </row>
        <row r="55">
          <cell r="A55">
            <v>53</v>
          </cell>
          <cell r="D55">
            <v>2352.0603888926244</v>
          </cell>
          <cell r="I55">
            <v>1898.7395110008245</v>
          </cell>
        </row>
        <row r="56">
          <cell r="A56">
            <v>54</v>
          </cell>
          <cell r="D56">
            <v>2353.5170572462839</v>
          </cell>
          <cell r="I56">
            <v>1900.1445608709876</v>
          </cell>
        </row>
        <row r="57">
          <cell r="A57">
            <v>55</v>
          </cell>
          <cell r="D57">
            <v>2357.5949699550965</v>
          </cell>
          <cell r="I57">
            <v>1900.1445608709876</v>
          </cell>
        </row>
        <row r="58">
          <cell r="A58">
            <v>56</v>
          </cell>
          <cell r="D58">
            <v>2359.3475240680937</v>
          </cell>
          <cell r="I58">
            <v>1900.1445608709876</v>
          </cell>
        </row>
        <row r="59">
          <cell r="A59">
            <v>57</v>
          </cell>
          <cell r="D59">
            <v>2360.2238011245918</v>
          </cell>
          <cell r="I59">
            <v>1900.1445608709876</v>
          </cell>
        </row>
        <row r="60">
          <cell r="A60">
            <v>58</v>
          </cell>
          <cell r="D60">
            <v>2360.2238011245918</v>
          </cell>
          <cell r="I60">
            <v>1900.8698528178541</v>
          </cell>
        </row>
        <row r="61">
          <cell r="A61">
            <v>59</v>
          </cell>
          <cell r="D61">
            <v>2360.2238011245918</v>
          </cell>
          <cell r="I61">
            <v>1902.0797568727166</v>
          </cell>
        </row>
        <row r="62">
          <cell r="A62">
            <v>60</v>
          </cell>
          <cell r="I62">
            <v>1902.4440290612774</v>
          </cell>
        </row>
        <row r="63">
          <cell r="A63">
            <v>61</v>
          </cell>
          <cell r="I63">
            <v>1902.4440290612774</v>
          </cell>
        </row>
        <row r="64">
          <cell r="A64">
            <v>62</v>
          </cell>
          <cell r="I64">
            <v>1902.4440290612774</v>
          </cell>
        </row>
        <row r="65">
          <cell r="A65">
            <v>63</v>
          </cell>
        </row>
        <row r="66">
          <cell r="A66">
            <v>64</v>
          </cell>
        </row>
        <row r="67">
          <cell r="A67">
            <v>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conta.cc/4mdHLVC" TargetMode="External"/><Relationship Id="rId1" Type="http://schemas.openxmlformats.org/officeDocument/2006/relationships/hyperlink" Target="https://conta.cc/3Hoy3k2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1D9D-DF6D-458E-8EEC-6179E128FC3E}">
  <sheetPr>
    <tabColor rgb="FFFFFF00"/>
  </sheetPr>
  <dimension ref="A1:AT136"/>
  <sheetViews>
    <sheetView tabSelected="1" workbookViewId="0">
      <pane xSplit="8" ySplit="5" topLeftCell="I6" activePane="bottomRight" state="frozen"/>
      <selection pane="topRight"/>
      <selection pane="bottomLeft"/>
      <selection pane="bottomRight" activeCell="D16" sqref="D16"/>
    </sheetView>
  </sheetViews>
  <sheetFormatPr defaultRowHeight="15" customHeight="1" x14ac:dyDescent="0.3"/>
  <cols>
    <col min="3" max="3" width="12.6640625" bestFit="1" customWidth="1"/>
    <col min="6" max="6" width="20.109375" customWidth="1"/>
    <col min="7" max="7" width="12.5546875" bestFit="1" customWidth="1"/>
    <col min="8" max="8" width="11" customWidth="1"/>
    <col min="11" max="11" width="9.88671875" customWidth="1"/>
    <col min="13" max="13" width="11.5546875" customWidth="1"/>
    <col min="14" max="14" width="9" customWidth="1"/>
    <col min="20" max="20" width="9.44140625" customWidth="1"/>
    <col min="21" max="21" width="10.6640625" customWidth="1"/>
    <col min="22" max="22" width="9.109375" customWidth="1"/>
    <col min="25" max="25" width="9.33203125" customWidth="1"/>
    <col min="26" max="26" width="11.88671875" bestFit="1" customWidth="1"/>
    <col min="34" max="34" width="15.109375" customWidth="1"/>
    <col min="35" max="35" width="16" customWidth="1"/>
  </cols>
  <sheetData>
    <row r="1" spans="1:36" ht="54" customHeight="1" x14ac:dyDescent="0.3">
      <c r="A1" s="507"/>
      <c r="B1" s="507"/>
      <c r="C1" s="507"/>
      <c r="D1" s="507"/>
      <c r="E1" s="2" t="s">
        <v>0</v>
      </c>
      <c r="F1" s="2" t="s">
        <v>1</v>
      </c>
      <c r="G1" s="1"/>
      <c r="H1" s="241" t="s">
        <v>2</v>
      </c>
      <c r="I1" s="509" t="s">
        <v>3</v>
      </c>
      <c r="J1" s="510" t="s">
        <v>4</v>
      </c>
      <c r="K1" s="381" t="s">
        <v>5</v>
      </c>
      <c r="L1" s="381"/>
      <c r="M1" s="1"/>
      <c r="N1" s="1"/>
      <c r="O1" s="381" t="s">
        <v>6</v>
      </c>
      <c r="P1" s="381"/>
      <c r="Q1" s="381"/>
      <c r="R1" s="1"/>
      <c r="S1" s="381" t="s">
        <v>7</v>
      </c>
      <c r="T1" s="381"/>
      <c r="U1" s="3" t="s">
        <v>8</v>
      </c>
      <c r="V1" s="3"/>
      <c r="W1" s="1"/>
      <c r="X1" s="4"/>
      <c r="Y1" s="1"/>
      <c r="Z1" s="1"/>
      <c r="AA1" s="1"/>
      <c r="AB1" s="506"/>
      <c r="AC1" s="506"/>
      <c r="AD1" s="506"/>
      <c r="AE1" s="506"/>
      <c r="AF1" s="506"/>
      <c r="AG1" s="506"/>
    </row>
    <row r="2" spans="1:36" ht="14.4" x14ac:dyDescent="0.3">
      <c r="A2" s="507"/>
      <c r="B2" s="507"/>
      <c r="C2" s="507"/>
      <c r="D2" s="507"/>
      <c r="E2" s="1"/>
      <c r="F2" s="1"/>
      <c r="G2" s="1"/>
      <c r="H2" s="1"/>
      <c r="I2" s="509"/>
      <c r="J2" s="510"/>
      <c r="K2" s="5" t="s">
        <v>9</v>
      </c>
      <c r="L2" s="5"/>
      <c r="M2" s="6"/>
      <c r="N2" s="6"/>
      <c r="O2" s="5" t="s">
        <v>10</v>
      </c>
      <c r="P2" s="5"/>
      <c r="Q2" s="5"/>
      <c r="R2" s="1"/>
      <c r="S2" s="5" t="s">
        <v>11</v>
      </c>
      <c r="T2" s="5"/>
      <c r="U2" s="7"/>
      <c r="V2" s="7"/>
      <c r="W2" s="1"/>
      <c r="X2" s="4"/>
      <c r="Y2" s="1"/>
      <c r="Z2" s="1"/>
      <c r="AA2" s="1"/>
      <c r="AB2" s="4"/>
      <c r="AC2" s="507"/>
      <c r="AD2" s="507"/>
      <c r="AE2" s="507"/>
      <c r="AF2" s="507"/>
      <c r="AG2" s="1"/>
    </row>
    <row r="3" spans="1:36" ht="14.4" x14ac:dyDescent="0.3">
      <c r="A3" s="507"/>
      <c r="B3" s="507"/>
      <c r="C3" s="507"/>
      <c r="D3" s="507"/>
      <c r="E3" s="1"/>
      <c r="F3" s="1"/>
      <c r="G3" s="8" t="s">
        <v>12</v>
      </c>
      <c r="H3" s="1"/>
      <c r="I3" s="509"/>
      <c r="J3" s="510"/>
      <c r="K3" s="9" t="s">
        <v>13</v>
      </c>
      <c r="L3" s="9"/>
      <c r="M3" s="6"/>
      <c r="N3" s="6"/>
      <c r="O3" s="9" t="s">
        <v>14</v>
      </c>
      <c r="P3" s="9"/>
      <c r="Q3" s="9"/>
      <c r="R3" s="1"/>
      <c r="S3" s="9" t="s">
        <v>15</v>
      </c>
      <c r="T3" s="9"/>
      <c r="U3" s="7"/>
      <c r="V3" s="7"/>
      <c r="W3" s="1"/>
      <c r="X3" s="4"/>
      <c r="Y3" s="1"/>
      <c r="Z3" s="1"/>
      <c r="AA3" s="1"/>
      <c r="AB3" s="4"/>
      <c r="AC3" s="507"/>
      <c r="AD3" s="507"/>
      <c r="AE3" s="507"/>
      <c r="AF3" s="507"/>
      <c r="AG3" s="1"/>
    </row>
    <row r="4" spans="1:36" ht="14.4" x14ac:dyDescent="0.3">
      <c r="A4" s="507"/>
      <c r="B4" s="507"/>
      <c r="C4" s="1"/>
      <c r="D4" s="146" t="s">
        <v>16</v>
      </c>
      <c r="E4" s="146"/>
      <c r="F4" s="145"/>
      <c r="G4" s="10">
        <v>4</v>
      </c>
      <c r="H4" s="1"/>
      <c r="I4" s="511" t="s">
        <v>17</v>
      </c>
      <c r="J4" s="511"/>
      <c r="K4" s="511"/>
      <c r="L4" s="511"/>
      <c r="M4" s="511"/>
      <c r="N4" s="511"/>
      <c r="O4" s="511"/>
      <c r="P4" s="512" t="s">
        <v>18</v>
      </c>
      <c r="Q4" s="512"/>
      <c r="R4" s="512"/>
      <c r="S4" s="512"/>
      <c r="T4" s="512"/>
      <c r="U4" s="512"/>
      <c r="V4" s="512"/>
      <c r="W4" s="512"/>
      <c r="X4" s="513" t="s">
        <v>19</v>
      </c>
      <c r="Y4" s="513"/>
      <c r="Z4" s="513"/>
      <c r="AA4" s="513"/>
      <c r="AB4" s="512" t="s">
        <v>20</v>
      </c>
      <c r="AC4" s="512"/>
      <c r="AD4" s="512"/>
      <c r="AE4" s="514" t="s">
        <v>21</v>
      </c>
      <c r="AF4" s="514"/>
      <c r="AG4" s="514"/>
      <c r="AH4" s="344" t="s">
        <v>22</v>
      </c>
      <c r="AI4" s="344" t="s">
        <v>23</v>
      </c>
      <c r="AJ4" s="345"/>
    </row>
    <row r="5" spans="1:36" ht="70.8" x14ac:dyDescent="0.45">
      <c r="A5" s="7" t="s">
        <v>24</v>
      </c>
      <c r="B5" s="7" t="s">
        <v>25</v>
      </c>
      <c r="C5" s="11" t="s">
        <v>26</v>
      </c>
      <c r="D5" s="508" t="s">
        <v>27</v>
      </c>
      <c r="E5" s="508"/>
      <c r="F5" s="508"/>
      <c r="G5" s="189" t="s">
        <v>28</v>
      </c>
      <c r="H5" s="189" t="s">
        <v>29</v>
      </c>
      <c r="I5" s="188" t="s">
        <v>30</v>
      </c>
      <c r="J5" s="190" t="s">
        <v>31</v>
      </c>
      <c r="K5" s="190" t="s">
        <v>32</v>
      </c>
      <c r="L5" s="190" t="s">
        <v>33</v>
      </c>
      <c r="M5" s="188" t="s">
        <v>34</v>
      </c>
      <c r="N5" s="190" t="s">
        <v>35</v>
      </c>
      <c r="O5" s="190" t="s">
        <v>36</v>
      </c>
      <c r="P5" s="188" t="s">
        <v>37</v>
      </c>
      <c r="Q5" s="190" t="s">
        <v>38</v>
      </c>
      <c r="R5" s="190" t="s">
        <v>39</v>
      </c>
      <c r="S5" s="190" t="s">
        <v>40</v>
      </c>
      <c r="T5" s="190" t="s">
        <v>41</v>
      </c>
      <c r="U5" s="188" t="s">
        <v>42</v>
      </c>
      <c r="V5" s="190" t="s">
        <v>35</v>
      </c>
      <c r="W5" s="190" t="s">
        <v>36</v>
      </c>
      <c r="X5" s="188" t="s">
        <v>43</v>
      </c>
      <c r="Y5" s="190" t="s">
        <v>41</v>
      </c>
      <c r="Z5" s="188" t="s">
        <v>42</v>
      </c>
      <c r="AA5" s="190" t="s">
        <v>44</v>
      </c>
      <c r="AB5" s="188" t="s">
        <v>45</v>
      </c>
      <c r="AC5" s="191" t="s">
        <v>46</v>
      </c>
      <c r="AD5" s="190" t="s">
        <v>47</v>
      </c>
      <c r="AE5" s="15" t="s">
        <v>48</v>
      </c>
      <c r="AF5" s="14" t="s">
        <v>49</v>
      </c>
      <c r="AG5" s="16" t="s">
        <v>50</v>
      </c>
      <c r="AH5" s="270"/>
    </row>
    <row r="6" spans="1:36" s="143" customFormat="1" ht="14.25" customHeight="1" x14ac:dyDescent="0.35">
      <c r="A6" s="143">
        <v>1</v>
      </c>
      <c r="B6" s="143">
        <f>A6-$G$4</f>
        <v>-3</v>
      </c>
      <c r="C6" s="144">
        <v>45901</v>
      </c>
      <c r="D6" s="143" t="s">
        <v>51</v>
      </c>
      <c r="G6" s="144">
        <v>45902.833333333336</v>
      </c>
      <c r="H6" s="143" t="s">
        <v>52</v>
      </c>
      <c r="I6" s="37">
        <f t="shared" ref="I6" si="0">P6+X6</f>
        <v>1169</v>
      </c>
      <c r="J6" s="38" t="e">
        <f>IF(R6="Too early",R6,R6+X6)</f>
        <v>#N/A</v>
      </c>
      <c r="K6" s="31" t="e">
        <f>IF(J6="Too early",J6,J6/AB6)</f>
        <v>#N/A</v>
      </c>
      <c r="L6" s="39">
        <f>T6+Y6</f>
        <v>137698</v>
      </c>
      <c r="M6" s="32">
        <f>U6+Z6</f>
        <v>153473</v>
      </c>
      <c r="N6" s="195">
        <f>L6/M6</f>
        <v>0.89721319059378524</v>
      </c>
      <c r="O6" s="31" t="e">
        <f>IF($J6="Too early",J6,J6*AD6/M6)</f>
        <v>#N/A</v>
      </c>
      <c r="P6" s="242">
        <v>1169</v>
      </c>
      <c r="Q6" s="387">
        <f>(AB6-X6)*0.85</f>
        <v>1106.7</v>
      </c>
      <c r="R6" s="206" t="e">
        <f>IF(B6&lt;7,(P6/VLOOKUP(B6,'Sales Pacing'!$A$23:$E$36,2)),"Too early")</f>
        <v>#N/A</v>
      </c>
      <c r="S6" s="386" t="e">
        <f>IF(R6="Too early","Too early",R6/Q6)</f>
        <v>#N/A</v>
      </c>
      <c r="T6" s="354">
        <v>137698</v>
      </c>
      <c r="U6" s="230">
        <v>153473</v>
      </c>
      <c r="V6" s="195">
        <f>IF(T6&gt;0,T6/U6,"")</f>
        <v>0.89721319059378524</v>
      </c>
      <c r="W6" s="31" t="e">
        <f t="shared" ref="W6:W8" si="1">IF($R6="Too early",R6,R6*AD6/U6)</f>
        <v>#N/A</v>
      </c>
      <c r="X6" s="222"/>
      <c r="Y6" s="226"/>
      <c r="Z6" s="230">
        <v>0</v>
      </c>
      <c r="AA6" s="207" t="str">
        <f>IF(Y6&gt;0,Y6/Z6,"")</f>
        <v/>
      </c>
      <c r="AB6" s="233">
        <v>1302</v>
      </c>
      <c r="AC6" s="207">
        <f t="shared" ref="AC6:AC69" si="2">I6/AB6</f>
        <v>0.89784946236559138</v>
      </c>
      <c r="AD6" s="208">
        <f t="shared" ref="AD6" si="3">L6/I6</f>
        <v>117.7912745936698</v>
      </c>
      <c r="AE6" s="218">
        <v>228</v>
      </c>
      <c r="AF6" s="218">
        <v>295</v>
      </c>
      <c r="AG6" s="218">
        <v>523</v>
      </c>
      <c r="AH6" s="346">
        <v>137698</v>
      </c>
      <c r="AI6" s="350">
        <f>L6-AH6</f>
        <v>0</v>
      </c>
    </row>
    <row r="7" spans="1:36" s="143" customFormat="1" ht="14.25" customHeight="1" x14ac:dyDescent="0.35">
      <c r="A7" s="143">
        <v>1</v>
      </c>
      <c r="B7" s="143">
        <f t="shared" ref="B7:B70" si="4">A7-$G$4</f>
        <v>-3</v>
      </c>
      <c r="C7" s="144">
        <v>45901</v>
      </c>
      <c r="D7" s="143" t="s">
        <v>51</v>
      </c>
      <c r="G7" s="144">
        <v>45903.833333333336</v>
      </c>
      <c r="H7" s="143" t="s">
        <v>52</v>
      </c>
      <c r="I7" s="37">
        <f t="shared" ref="I7:I70" si="5">P7+X7</f>
        <v>1148</v>
      </c>
      <c r="J7" s="38" t="e">
        <f t="shared" ref="J7:J70" si="6">IF(R7="Too early",R7,R7+X7)</f>
        <v>#N/A</v>
      </c>
      <c r="K7" s="31" t="e">
        <f>IF(J7="Too early",J7,J7/AB7)</f>
        <v>#N/A</v>
      </c>
      <c r="L7" s="39">
        <f t="shared" ref="L7:L70" si="7">T7+Y7</f>
        <v>134386</v>
      </c>
      <c r="M7" s="32">
        <f t="shared" ref="M7:M70" si="8">U7+Z7</f>
        <v>153473</v>
      </c>
      <c r="N7" s="195">
        <f t="shared" ref="N7:N70" si="9">L7/M7</f>
        <v>0.87563284747154224</v>
      </c>
      <c r="O7" s="31" t="e">
        <f t="shared" ref="O7:O70" si="10">IF($J7="Too early",J7,J7*AD7/M7)</f>
        <v>#N/A</v>
      </c>
      <c r="P7" s="242">
        <v>1148</v>
      </c>
      <c r="Q7" s="387">
        <f>(AB7-X7)*0.85</f>
        <v>1106.7</v>
      </c>
      <c r="R7" s="206" t="e">
        <f>IF(B7&lt;7,(P7/VLOOKUP(B7,'Sales Pacing'!$A$23:$E$36,2)),"Too early")</f>
        <v>#N/A</v>
      </c>
      <c r="S7" s="386" t="e">
        <f t="shared" ref="S7:S8" si="11">IF(R7="Too early","Too early",R7/Q7)</f>
        <v>#N/A</v>
      </c>
      <c r="T7" s="370">
        <v>134386</v>
      </c>
      <c r="U7" s="230">
        <v>153473</v>
      </c>
      <c r="V7" s="237">
        <f t="shared" ref="V7:V70" si="12">IF(T7&gt;0,T7/U7,"")</f>
        <v>0.87563284747154224</v>
      </c>
      <c r="W7" s="207" t="e">
        <f t="shared" si="1"/>
        <v>#N/A</v>
      </c>
      <c r="X7" s="222"/>
      <c r="Y7" s="226"/>
      <c r="Z7" s="230">
        <v>0</v>
      </c>
      <c r="AA7" s="207" t="str">
        <f t="shared" ref="AA7:AA70" si="13">IF(Y7&gt;0,Y7/Z7,"")</f>
        <v/>
      </c>
      <c r="AB7" s="233">
        <v>1302</v>
      </c>
      <c r="AC7" s="207">
        <f t="shared" si="2"/>
        <v>0.88172043010752688</v>
      </c>
      <c r="AD7" s="208">
        <f t="shared" ref="AD7:AD70" si="14">L7/I7</f>
        <v>117.0609756097561</v>
      </c>
      <c r="AE7" s="218">
        <v>227</v>
      </c>
      <c r="AF7" s="218">
        <v>289</v>
      </c>
      <c r="AG7" s="218">
        <v>516</v>
      </c>
      <c r="AH7" s="346">
        <v>134386</v>
      </c>
      <c r="AI7" s="350">
        <f>L7-AH7</f>
        <v>0</v>
      </c>
    </row>
    <row r="8" spans="1:36" s="147" customFormat="1" ht="14.25" customHeight="1" x14ac:dyDescent="0.35">
      <c r="A8" s="147">
        <v>1</v>
      </c>
      <c r="B8" s="147">
        <f t="shared" si="4"/>
        <v>-3</v>
      </c>
      <c r="C8" s="148">
        <v>45901</v>
      </c>
      <c r="D8" s="147" t="s">
        <v>53</v>
      </c>
      <c r="G8" s="148">
        <v>45905.833333333336</v>
      </c>
      <c r="H8" s="147" t="s">
        <v>52</v>
      </c>
      <c r="I8" s="149">
        <f t="shared" si="5"/>
        <v>699</v>
      </c>
      <c r="J8" s="33" t="e">
        <f t="shared" si="6"/>
        <v>#N/A</v>
      </c>
      <c r="K8" s="34" t="e">
        <f>IF(J8="Too early",J8,J8/AB8)</f>
        <v>#N/A</v>
      </c>
      <c r="L8" s="35">
        <f t="shared" si="7"/>
        <v>20005</v>
      </c>
      <c r="M8" s="36">
        <f t="shared" si="8"/>
        <v>15000</v>
      </c>
      <c r="N8" s="196">
        <f t="shared" si="9"/>
        <v>1.3336666666666666</v>
      </c>
      <c r="O8" s="34" t="e">
        <f t="shared" si="10"/>
        <v>#N/A</v>
      </c>
      <c r="P8" s="244">
        <v>699</v>
      </c>
      <c r="Q8" s="387">
        <f>(AB8-X8)*0.85</f>
        <v>510</v>
      </c>
      <c r="R8" s="206" t="e">
        <f>IF(B8&lt;7,(P8/VLOOKUP(B8,'Sales Pacing'!$A$23:$E$36,2)),"Too early")</f>
        <v>#N/A</v>
      </c>
      <c r="S8" s="386" t="e">
        <f t="shared" si="11"/>
        <v>#N/A</v>
      </c>
      <c r="T8" s="355">
        <v>20005</v>
      </c>
      <c r="U8" s="231">
        <v>15000</v>
      </c>
      <c r="V8" s="238">
        <f t="shared" si="12"/>
        <v>1.3336666666666666</v>
      </c>
      <c r="W8" s="210" t="e">
        <f t="shared" si="1"/>
        <v>#N/A</v>
      </c>
      <c r="X8" s="223"/>
      <c r="Y8" s="227"/>
      <c r="Z8" s="231">
        <v>0</v>
      </c>
      <c r="AA8" s="210" t="str">
        <f t="shared" si="13"/>
        <v/>
      </c>
      <c r="AB8" s="234">
        <v>600</v>
      </c>
      <c r="AC8" s="207">
        <f t="shared" si="2"/>
        <v>1.165</v>
      </c>
      <c r="AD8" s="211">
        <f t="shared" si="14"/>
        <v>28.619456366237483</v>
      </c>
      <c r="AE8" s="219">
        <v>86</v>
      </c>
      <c r="AF8" s="219">
        <v>209</v>
      </c>
      <c r="AG8" s="219">
        <v>295</v>
      </c>
      <c r="AH8" s="346">
        <v>20005</v>
      </c>
      <c r="AI8" s="350">
        <f t="shared" ref="AI8:AI70" si="15">L8-AH8</f>
        <v>0</v>
      </c>
    </row>
    <row r="9" spans="1:36" s="186" customFormat="1" ht="14.25" customHeight="1" x14ac:dyDescent="0.35">
      <c r="A9" s="186">
        <v>2</v>
      </c>
      <c r="B9" s="186">
        <f t="shared" si="4"/>
        <v>-2</v>
      </c>
      <c r="C9" s="187">
        <v>45908</v>
      </c>
      <c r="D9" s="186" t="s">
        <v>54</v>
      </c>
      <c r="G9" s="198"/>
      <c r="H9" s="199"/>
      <c r="I9" s="200">
        <f t="shared" si="5"/>
        <v>0</v>
      </c>
      <c r="J9" s="201" t="e">
        <f t="shared" si="6"/>
        <v>#N/A</v>
      </c>
      <c r="K9" s="202"/>
      <c r="L9" s="203"/>
      <c r="M9" s="204"/>
      <c r="N9" s="205" t="e">
        <f t="shared" si="9"/>
        <v>#DIV/0!</v>
      </c>
      <c r="O9" s="202"/>
      <c r="P9" s="224"/>
      <c r="Q9" s="224"/>
      <c r="R9" s="212" t="e">
        <f>IF(B9&lt;7,(P9/VLOOKUP(B9,'Sales Pacing'!$A$23:$E$36,2)),"Too early")</f>
        <v>#N/A</v>
      </c>
      <c r="S9" s="212"/>
      <c r="T9" s="228"/>
      <c r="U9" s="228"/>
      <c r="V9" s="239" t="str">
        <f t="shared" si="12"/>
        <v/>
      </c>
      <c r="W9" s="213"/>
      <c r="X9" s="224"/>
      <c r="Y9" s="228"/>
      <c r="Z9" s="228"/>
      <c r="AA9" s="213" t="s">
        <v>55</v>
      </c>
      <c r="AB9" s="224"/>
      <c r="AC9" s="213" t="e">
        <f t="shared" si="2"/>
        <v>#DIV/0!</v>
      </c>
      <c r="AD9" s="214"/>
      <c r="AE9" s="220"/>
      <c r="AF9" s="220"/>
      <c r="AG9" s="220"/>
      <c r="AH9" s="347"/>
      <c r="AI9" s="351"/>
    </row>
    <row r="10" spans="1:36" s="143" customFormat="1" ht="14.25" customHeight="1" x14ac:dyDescent="0.35">
      <c r="A10" s="143">
        <v>3</v>
      </c>
      <c r="B10" s="143">
        <f t="shared" si="4"/>
        <v>-1</v>
      </c>
      <c r="C10" s="144">
        <v>45915</v>
      </c>
      <c r="D10" s="143" t="s">
        <v>56</v>
      </c>
      <c r="G10" s="144">
        <v>45919.833333333336</v>
      </c>
      <c r="H10" s="143" t="s">
        <v>57</v>
      </c>
      <c r="I10" s="312">
        <f>P10+X10</f>
        <v>1130</v>
      </c>
      <c r="J10" s="38" t="e">
        <f t="shared" si="6"/>
        <v>#N/A</v>
      </c>
      <c r="K10" s="31" t="e">
        <f>IF(J10="Too early",J10,J10/AB10)</f>
        <v>#N/A</v>
      </c>
      <c r="L10" s="39">
        <f t="shared" si="7"/>
        <v>75516.600000000006</v>
      </c>
      <c r="M10" s="32">
        <f t="shared" si="8"/>
        <v>100666</v>
      </c>
      <c r="N10" s="195">
        <f t="shared" si="9"/>
        <v>0.75016986867462709</v>
      </c>
      <c r="O10" s="31" t="e">
        <f t="shared" si="10"/>
        <v>#N/A</v>
      </c>
      <c r="P10" s="242">
        <v>515</v>
      </c>
      <c r="Q10" s="387">
        <f>(AB10-X10)*0.85</f>
        <v>828.75</v>
      </c>
      <c r="R10" s="206" t="e">
        <f>IF(B10&lt;7,(P10/VLOOKUP(B10,'Sales Pacing'!$A$23:$E$36,2)),"Too early")</f>
        <v>#N/A</v>
      </c>
      <c r="S10" s="386" t="e">
        <f t="shared" ref="S10:S20" si="16">IF(R10="Too early","Too early",R10/Q10)</f>
        <v>#N/A</v>
      </c>
      <c r="T10" s="226">
        <v>30148</v>
      </c>
      <c r="U10" s="230">
        <v>59333</v>
      </c>
      <c r="V10" s="237">
        <f t="shared" si="12"/>
        <v>0.50811521413041649</v>
      </c>
      <c r="W10" s="207" t="e">
        <f>IF($R10="Too early",R10,R10*AD10/U10)</f>
        <v>#N/A</v>
      </c>
      <c r="X10" s="222">
        <v>615</v>
      </c>
      <c r="Y10" s="226">
        <v>45368.6</v>
      </c>
      <c r="Z10" s="230">
        <v>41333</v>
      </c>
      <c r="AA10" s="207">
        <f t="shared" si="13"/>
        <v>1.0976362712602521</v>
      </c>
      <c r="AB10" s="233">
        <v>1590</v>
      </c>
      <c r="AC10" s="207">
        <f t="shared" si="2"/>
        <v>0.71069182389937102</v>
      </c>
      <c r="AD10" s="208">
        <f t="shared" si="14"/>
        <v>66.828849557522133</v>
      </c>
      <c r="AE10" s="218">
        <v>67</v>
      </c>
      <c r="AF10" s="218">
        <v>416</v>
      </c>
      <c r="AG10" s="218">
        <v>483</v>
      </c>
      <c r="AH10" s="346">
        <v>71854.600000000006</v>
      </c>
      <c r="AI10" s="350">
        <f t="shared" si="15"/>
        <v>3662</v>
      </c>
    </row>
    <row r="11" spans="1:36" s="143" customFormat="1" ht="14.25" customHeight="1" x14ac:dyDescent="0.35">
      <c r="A11" s="143">
        <v>3</v>
      </c>
      <c r="B11" s="143">
        <f t="shared" si="4"/>
        <v>-1</v>
      </c>
      <c r="C11" s="144">
        <v>45915</v>
      </c>
      <c r="D11" s="143" t="s">
        <v>56</v>
      </c>
      <c r="G11" s="144">
        <v>45920.833333333336</v>
      </c>
      <c r="H11" s="143" t="s">
        <v>57</v>
      </c>
      <c r="I11" s="312">
        <f t="shared" si="5"/>
        <v>1068</v>
      </c>
      <c r="J11" s="38" t="e">
        <f t="shared" si="6"/>
        <v>#N/A</v>
      </c>
      <c r="K11" s="31" t="e">
        <f>IF(J11="Too early",J11,J11/AB11)</f>
        <v>#N/A</v>
      </c>
      <c r="L11" s="39">
        <f t="shared" si="7"/>
        <v>74220.3</v>
      </c>
      <c r="M11" s="32">
        <f t="shared" si="8"/>
        <v>100667</v>
      </c>
      <c r="N11" s="195">
        <f t="shared" si="9"/>
        <v>0.73728530700229478</v>
      </c>
      <c r="O11" s="31" t="e">
        <f t="shared" si="10"/>
        <v>#N/A</v>
      </c>
      <c r="P11" s="242">
        <v>554</v>
      </c>
      <c r="Q11" s="387">
        <f>(AB11-X11)*0.85</f>
        <v>914.6</v>
      </c>
      <c r="R11" s="206" t="e">
        <f>IF(B11&lt;7,(P11/VLOOKUP(B11,'Sales Pacing'!$A$23:$E$36,2)),"Too early")</f>
        <v>#N/A</v>
      </c>
      <c r="S11" s="386" t="e">
        <f t="shared" si="16"/>
        <v>#N/A</v>
      </c>
      <c r="T11" s="226">
        <v>35672</v>
      </c>
      <c r="U11" s="230">
        <v>59333</v>
      </c>
      <c r="V11" s="237">
        <f t="shared" si="12"/>
        <v>0.6012168607688807</v>
      </c>
      <c r="W11" s="207" t="e">
        <f t="shared" ref="W11:W74" si="17">IF($R11="Too early",R11,R11*AD11/U11)</f>
        <v>#N/A</v>
      </c>
      <c r="X11" s="222">
        <v>514</v>
      </c>
      <c r="Y11" s="226">
        <v>38548.300000000003</v>
      </c>
      <c r="Z11" s="230">
        <v>41334</v>
      </c>
      <c r="AA11" s="207">
        <f t="shared" si="13"/>
        <v>0.93260511927226986</v>
      </c>
      <c r="AB11" s="233">
        <v>1590</v>
      </c>
      <c r="AC11" s="207">
        <f t="shared" si="2"/>
        <v>0.67169811320754713</v>
      </c>
      <c r="AD11" s="208">
        <f t="shared" si="14"/>
        <v>69.494662921348322</v>
      </c>
      <c r="AE11" s="218">
        <v>78</v>
      </c>
      <c r="AF11" s="218">
        <v>376</v>
      </c>
      <c r="AG11" s="218">
        <v>454</v>
      </c>
      <c r="AH11" s="346">
        <v>70013.3</v>
      </c>
      <c r="AI11" s="350">
        <f t="shared" si="15"/>
        <v>4207</v>
      </c>
    </row>
    <row r="12" spans="1:36" s="147" customFormat="1" ht="14.25" customHeight="1" x14ac:dyDescent="0.35">
      <c r="A12" s="147">
        <v>3</v>
      </c>
      <c r="B12" s="147">
        <f t="shared" si="4"/>
        <v>-1</v>
      </c>
      <c r="C12" s="148">
        <v>45915</v>
      </c>
      <c r="D12" s="147" t="s">
        <v>56</v>
      </c>
      <c r="G12" s="148">
        <v>45921.583333333336</v>
      </c>
      <c r="H12" s="147" t="s">
        <v>57</v>
      </c>
      <c r="I12" s="313">
        <f t="shared" si="5"/>
        <v>1008</v>
      </c>
      <c r="J12" s="33" t="e">
        <f t="shared" si="6"/>
        <v>#N/A</v>
      </c>
      <c r="K12" s="34" t="e">
        <f>IF(J12="Too early",J12,J12/AB12)</f>
        <v>#N/A</v>
      </c>
      <c r="L12" s="35">
        <f t="shared" si="7"/>
        <v>64499.8</v>
      </c>
      <c r="M12" s="36">
        <f t="shared" si="8"/>
        <v>100666</v>
      </c>
      <c r="N12" s="196">
        <f t="shared" si="9"/>
        <v>0.64073073331611474</v>
      </c>
      <c r="O12" s="34" t="e">
        <f t="shared" si="10"/>
        <v>#N/A</v>
      </c>
      <c r="P12" s="244">
        <v>664</v>
      </c>
      <c r="Q12" s="402">
        <f>(AB12-X12)*0.85</f>
        <v>1059.0999999999999</v>
      </c>
      <c r="R12" s="209" t="e">
        <f>IF(B12&lt;7,(P12/VLOOKUP(B12,'Sales Pacing'!$A$23:$E$36,2)),"Too early")</f>
        <v>#N/A</v>
      </c>
      <c r="S12" s="403" t="e">
        <f t="shared" si="16"/>
        <v>#N/A</v>
      </c>
      <c r="T12" s="227">
        <v>40352</v>
      </c>
      <c r="U12" s="231">
        <v>59333</v>
      </c>
      <c r="V12" s="238">
        <f t="shared" si="12"/>
        <v>0.6800937083916202</v>
      </c>
      <c r="W12" s="210" t="e">
        <f t="shared" si="17"/>
        <v>#N/A</v>
      </c>
      <c r="X12" s="223">
        <v>344</v>
      </c>
      <c r="Y12" s="227">
        <v>24147.8</v>
      </c>
      <c r="Z12" s="231">
        <v>41333</v>
      </c>
      <c r="AA12" s="210">
        <f t="shared" si="13"/>
        <v>0.58422567923934865</v>
      </c>
      <c r="AB12" s="234">
        <v>1590</v>
      </c>
      <c r="AC12" s="207">
        <f t="shared" si="2"/>
        <v>0.63396226415094337</v>
      </c>
      <c r="AD12" s="211">
        <f t="shared" si="14"/>
        <v>63.987896825396831</v>
      </c>
      <c r="AE12" s="219">
        <v>74</v>
      </c>
      <c r="AF12" s="219">
        <v>286</v>
      </c>
      <c r="AG12" s="219">
        <v>360</v>
      </c>
      <c r="AH12" s="348">
        <v>56072.3</v>
      </c>
      <c r="AI12" s="350">
        <f t="shared" si="15"/>
        <v>8427.5</v>
      </c>
    </row>
    <row r="13" spans="1:36" s="147" customFormat="1" ht="14.25" customHeight="1" x14ac:dyDescent="0.35">
      <c r="A13" s="147">
        <v>4</v>
      </c>
      <c r="B13" s="147">
        <f t="shared" si="4"/>
        <v>0</v>
      </c>
      <c r="C13" s="148">
        <v>45922</v>
      </c>
      <c r="D13" s="147" t="s">
        <v>58</v>
      </c>
      <c r="G13" s="148">
        <v>45928.583333333336</v>
      </c>
      <c r="H13" s="147" t="s">
        <v>59</v>
      </c>
      <c r="I13" s="149">
        <f t="shared" si="5"/>
        <v>539</v>
      </c>
      <c r="J13" s="33">
        <f t="shared" si="6"/>
        <v>539</v>
      </c>
      <c r="K13" s="34">
        <f>IF(J13="Too early",J13,J13/AB13)</f>
        <v>0.41397849462365593</v>
      </c>
      <c r="L13" s="35">
        <f t="shared" si="7"/>
        <v>14134</v>
      </c>
      <c r="M13" s="36">
        <f t="shared" si="8"/>
        <v>19500</v>
      </c>
      <c r="N13" s="196">
        <f t="shared" si="9"/>
        <v>0.72482051282051285</v>
      </c>
      <c r="O13" s="34">
        <f t="shared" si="10"/>
        <v>0.72482051282051285</v>
      </c>
      <c r="P13" s="244">
        <v>343</v>
      </c>
      <c r="Q13" s="402">
        <f t="shared" ref="Q13:Q29" si="18">(AB13-X13)*0.85</f>
        <v>940.1</v>
      </c>
      <c r="R13" s="209">
        <f>IF(B13&lt;7,(P13/VLOOKUP(B13,'Sales Pacing'!$A$23:$E$36,2)),"Too early")</f>
        <v>343</v>
      </c>
      <c r="S13" s="403">
        <f t="shared" si="16"/>
        <v>0.36485480268056592</v>
      </c>
      <c r="T13" s="227">
        <v>8917</v>
      </c>
      <c r="U13" s="231">
        <v>10000</v>
      </c>
      <c r="V13" s="238">
        <f t="shared" si="12"/>
        <v>0.89170000000000005</v>
      </c>
      <c r="W13" s="210">
        <f t="shared" si="17"/>
        <v>0.89943636363636359</v>
      </c>
      <c r="X13" s="223">
        <v>196</v>
      </c>
      <c r="Y13" s="227">
        <v>5217</v>
      </c>
      <c r="Z13" s="231">
        <v>9500</v>
      </c>
      <c r="AA13" s="210">
        <f t="shared" si="13"/>
        <v>0.54915789473684207</v>
      </c>
      <c r="AB13" s="234">
        <v>1302</v>
      </c>
      <c r="AC13" s="207">
        <f t="shared" si="2"/>
        <v>0.41397849462365593</v>
      </c>
      <c r="AD13" s="211">
        <f t="shared" si="14"/>
        <v>26.222634508348794</v>
      </c>
      <c r="AE13" s="219">
        <v>21</v>
      </c>
      <c r="AF13" s="219">
        <v>104</v>
      </c>
      <c r="AG13" s="219">
        <v>125</v>
      </c>
      <c r="AH13" s="348">
        <v>12684</v>
      </c>
      <c r="AI13" s="350">
        <f t="shared" si="15"/>
        <v>1450</v>
      </c>
    </row>
    <row r="14" spans="1:36" s="147" customFormat="1" ht="14.25" customHeight="1" x14ac:dyDescent="0.35">
      <c r="A14" s="147">
        <v>5</v>
      </c>
      <c r="B14" s="147">
        <f t="shared" si="4"/>
        <v>1</v>
      </c>
      <c r="C14" s="148">
        <v>45929</v>
      </c>
      <c r="D14" s="406" t="s">
        <v>60</v>
      </c>
      <c r="E14" s="407"/>
      <c r="G14" s="148">
        <v>45934</v>
      </c>
      <c r="H14" s="147" t="s">
        <v>52</v>
      </c>
      <c r="I14" s="149">
        <f t="shared" si="5"/>
        <v>52</v>
      </c>
      <c r="J14" s="33">
        <f t="shared" si="6"/>
        <v>88.13559322033899</v>
      </c>
      <c r="K14" s="34">
        <f>IF(J14="Too early",J14,J14/AB14)</f>
        <v>5.5431190704615718E-2</v>
      </c>
      <c r="L14" s="35">
        <f t="shared" si="7"/>
        <v>4410</v>
      </c>
      <c r="M14" s="36">
        <f t="shared" si="8"/>
        <v>58000</v>
      </c>
      <c r="N14" s="196">
        <f t="shared" si="9"/>
        <v>7.6034482758620694E-2</v>
      </c>
      <c r="O14" s="34">
        <f t="shared" si="10"/>
        <v>0.12887200467562829</v>
      </c>
      <c r="P14" s="223">
        <v>52</v>
      </c>
      <c r="Q14" s="402">
        <f t="shared" si="18"/>
        <v>1351.5</v>
      </c>
      <c r="R14" s="209">
        <f>IF(B14&lt;7,(P14/VLOOKUP(B14,'Sales Pacing'!$A$23:$E$36,2)),"Too early")</f>
        <v>88.13559322033899</v>
      </c>
      <c r="S14" s="403">
        <f t="shared" si="16"/>
        <v>6.5213165534842021E-2</v>
      </c>
      <c r="T14" s="227">
        <v>4410</v>
      </c>
      <c r="U14" s="231">
        <v>58000</v>
      </c>
      <c r="V14" s="238">
        <f t="shared" si="12"/>
        <v>7.6034482758620694E-2</v>
      </c>
      <c r="W14" s="210">
        <f t="shared" si="17"/>
        <v>0.12887200467562829</v>
      </c>
      <c r="X14" s="223"/>
      <c r="Y14" s="227"/>
      <c r="Z14" s="231"/>
      <c r="AA14" s="210" t="str">
        <f t="shared" si="13"/>
        <v/>
      </c>
      <c r="AB14" s="234">
        <v>1590</v>
      </c>
      <c r="AC14" s="210">
        <f t="shared" si="2"/>
        <v>3.270440251572327E-2</v>
      </c>
      <c r="AD14" s="211">
        <f t="shared" si="14"/>
        <v>84.807692307692307</v>
      </c>
      <c r="AE14" s="219">
        <v>7</v>
      </c>
      <c r="AF14" s="219">
        <v>70</v>
      </c>
      <c r="AG14" s="219">
        <v>77</v>
      </c>
      <c r="AH14" s="348">
        <v>15091</v>
      </c>
      <c r="AI14" s="350">
        <f t="shared" si="15"/>
        <v>-10681</v>
      </c>
    </row>
    <row r="15" spans="1:36" s="143" customFormat="1" ht="14.25" customHeight="1" x14ac:dyDescent="0.35">
      <c r="A15" s="143">
        <v>6</v>
      </c>
      <c r="B15" s="143">
        <f t="shared" si="4"/>
        <v>2</v>
      </c>
      <c r="C15" s="144">
        <v>45936</v>
      </c>
      <c r="D15" s="143" t="s">
        <v>61</v>
      </c>
      <c r="G15" s="144">
        <v>45940.833333333336</v>
      </c>
      <c r="H15" s="143" t="s">
        <v>62</v>
      </c>
      <c r="I15" s="37">
        <f t="shared" si="5"/>
        <v>764</v>
      </c>
      <c r="J15" s="38">
        <f t="shared" si="6"/>
        <v>1063.3478260869565</v>
      </c>
      <c r="K15" s="31">
        <f t="shared" ref="K15:K29" si="19">IF(J15="Too early",J15,J15/AB15)</f>
        <v>0.74204314451287967</v>
      </c>
      <c r="L15" s="39">
        <f t="shared" si="7"/>
        <v>48632</v>
      </c>
      <c r="M15" s="32">
        <f t="shared" si="8"/>
        <v>49999</v>
      </c>
      <c r="N15" s="195">
        <f t="shared" si="9"/>
        <v>0.97265945318906377</v>
      </c>
      <c r="O15" s="31">
        <f t="shared" si="10"/>
        <v>1.3537635014025116</v>
      </c>
      <c r="P15" s="222">
        <v>255</v>
      </c>
      <c r="Q15" s="387">
        <f t="shared" si="18"/>
        <v>785.4</v>
      </c>
      <c r="R15" s="206">
        <f>IF(B15&lt;7,(P15/VLOOKUP(B15,'Sales Pacing'!$A$23:$E$36,2)),"Too early")</f>
        <v>554.3478260869565</v>
      </c>
      <c r="S15" s="386">
        <f t="shared" si="16"/>
        <v>0.70581592320722752</v>
      </c>
      <c r="T15" s="226">
        <v>14669</v>
      </c>
      <c r="U15" s="230">
        <v>16666</v>
      </c>
      <c r="V15" s="237">
        <f t="shared" si="12"/>
        <v>0.88017520700828034</v>
      </c>
      <c r="W15" s="207">
        <f t="shared" si="17"/>
        <v>2.1172870588850414</v>
      </c>
      <c r="X15" s="222">
        <v>509</v>
      </c>
      <c r="Y15" s="226">
        <v>33963</v>
      </c>
      <c r="Z15" s="230">
        <v>33333</v>
      </c>
      <c r="AA15" s="207">
        <f t="shared" si="13"/>
        <v>1.0189001890018901</v>
      </c>
      <c r="AB15" s="233">
        <v>1433</v>
      </c>
      <c r="AC15" s="207">
        <f t="shared" si="2"/>
        <v>0.53314724354501042</v>
      </c>
      <c r="AD15" s="208">
        <f t="shared" si="14"/>
        <v>63.654450261780106</v>
      </c>
      <c r="AE15" s="218">
        <v>13</v>
      </c>
      <c r="AF15" s="218">
        <v>370</v>
      </c>
      <c r="AG15" s="218">
        <v>383</v>
      </c>
      <c r="AH15" s="346">
        <v>47640</v>
      </c>
      <c r="AI15" s="350">
        <f t="shared" si="15"/>
        <v>992</v>
      </c>
    </row>
    <row r="16" spans="1:36" s="143" customFormat="1" ht="14.25" customHeight="1" x14ac:dyDescent="0.35">
      <c r="A16" s="143">
        <v>6</v>
      </c>
      <c r="B16" s="143">
        <f t="shared" si="4"/>
        <v>2</v>
      </c>
      <c r="C16" s="144">
        <v>45936</v>
      </c>
      <c r="D16" s="143" t="s">
        <v>61</v>
      </c>
      <c r="G16" s="144">
        <v>45941.833333333336</v>
      </c>
      <c r="H16" s="143" t="s">
        <v>62</v>
      </c>
      <c r="I16" s="37">
        <f t="shared" si="5"/>
        <v>859</v>
      </c>
      <c r="J16" s="38">
        <f t="shared" si="6"/>
        <v>1198.2608695652175</v>
      </c>
      <c r="K16" s="31">
        <f t="shared" si="19"/>
        <v>0.83619041839861652</v>
      </c>
      <c r="L16" s="39">
        <f t="shared" si="7"/>
        <v>56697.1</v>
      </c>
      <c r="M16" s="32">
        <f t="shared" si="8"/>
        <v>49999</v>
      </c>
      <c r="N16" s="195">
        <f t="shared" si="9"/>
        <v>1.1339646792935858</v>
      </c>
      <c r="O16" s="31">
        <f t="shared" si="10"/>
        <v>1.5818224710903088</v>
      </c>
      <c r="P16" s="222">
        <v>289</v>
      </c>
      <c r="Q16" s="387">
        <f t="shared" si="18"/>
        <v>733.55</v>
      </c>
      <c r="R16" s="206">
        <f>IF(B16&lt;7,(P16/VLOOKUP(B16,'Sales Pacing'!$A$23:$E$36,2)),"Too early")</f>
        <v>628.26086956521738</v>
      </c>
      <c r="S16" s="386">
        <f t="shared" si="16"/>
        <v>0.85646632072144691</v>
      </c>
      <c r="T16" s="226">
        <v>18093</v>
      </c>
      <c r="U16" s="230">
        <v>16666</v>
      </c>
      <c r="V16" s="237">
        <f t="shared" si="12"/>
        <v>1.0856234249369974</v>
      </c>
      <c r="W16" s="207">
        <f t="shared" si="17"/>
        <v>2.4881486072825512</v>
      </c>
      <c r="X16" s="222">
        <v>570</v>
      </c>
      <c r="Y16" s="226">
        <v>38604.1</v>
      </c>
      <c r="Z16" s="230">
        <v>33333</v>
      </c>
      <c r="AA16" s="207">
        <f t="shared" si="13"/>
        <v>1.1581345813458135</v>
      </c>
      <c r="AB16" s="233">
        <v>1433</v>
      </c>
      <c r="AC16" s="207">
        <f t="shared" si="2"/>
        <v>0.59944173063503137</v>
      </c>
      <c r="AD16" s="208">
        <f t="shared" si="14"/>
        <v>66.003608847497091</v>
      </c>
      <c r="AE16" s="218">
        <v>21</v>
      </c>
      <c r="AF16" s="218">
        <v>386</v>
      </c>
      <c r="AG16" s="218">
        <v>407</v>
      </c>
      <c r="AH16" s="346">
        <v>55614.1</v>
      </c>
      <c r="AI16" s="350">
        <f t="shared" si="15"/>
        <v>1083</v>
      </c>
    </row>
    <row r="17" spans="1:35" s="147" customFormat="1" ht="14.25" customHeight="1" x14ac:dyDescent="0.35">
      <c r="A17" s="147">
        <v>6</v>
      </c>
      <c r="B17" s="147">
        <f t="shared" si="4"/>
        <v>2</v>
      </c>
      <c r="C17" s="148">
        <v>45936</v>
      </c>
      <c r="D17" s="147" t="s">
        <v>61</v>
      </c>
      <c r="G17" s="148">
        <v>45942.583333333336</v>
      </c>
      <c r="H17" s="147" t="s">
        <v>62</v>
      </c>
      <c r="I17" s="149">
        <f t="shared" si="5"/>
        <v>950</v>
      </c>
      <c r="J17" s="33">
        <f t="shared" si="6"/>
        <v>1362.0434782608695</v>
      </c>
      <c r="K17" s="34">
        <f t="shared" si="19"/>
        <v>0.95048393458539393</v>
      </c>
      <c r="L17" s="35">
        <f t="shared" si="7"/>
        <v>59240.6</v>
      </c>
      <c r="M17" s="36">
        <f t="shared" si="8"/>
        <v>50000</v>
      </c>
      <c r="N17" s="196">
        <f t="shared" si="9"/>
        <v>1.184812</v>
      </c>
      <c r="O17" s="34">
        <f t="shared" si="10"/>
        <v>1.698700481647597</v>
      </c>
      <c r="P17" s="223">
        <v>351</v>
      </c>
      <c r="Q17" s="402">
        <f t="shared" si="18"/>
        <v>708.9</v>
      </c>
      <c r="R17" s="209">
        <f>IF(B17&lt;7,(P17/VLOOKUP(B17,'Sales Pacing'!$A$23:$E$36,2)),"Too early")</f>
        <v>763.04347826086951</v>
      </c>
      <c r="S17" s="403">
        <f t="shared" si="16"/>
        <v>1.0763767502621944</v>
      </c>
      <c r="T17" s="227">
        <v>20577</v>
      </c>
      <c r="U17" s="231">
        <v>16666</v>
      </c>
      <c r="V17" s="238">
        <f t="shared" si="12"/>
        <v>1.234669386775471</v>
      </c>
      <c r="W17" s="210">
        <f t="shared" si="17"/>
        <v>2.8550502111617639</v>
      </c>
      <c r="X17" s="223">
        <v>599</v>
      </c>
      <c r="Y17" s="227">
        <v>38663.599999999999</v>
      </c>
      <c r="Z17" s="231">
        <v>33334</v>
      </c>
      <c r="AA17" s="210">
        <f t="shared" si="13"/>
        <v>1.1598848023039539</v>
      </c>
      <c r="AB17" s="234">
        <v>1433</v>
      </c>
      <c r="AC17" s="210">
        <f t="shared" si="2"/>
        <v>0.66294487090020937</v>
      </c>
      <c r="AD17" s="211">
        <f t="shared" si="14"/>
        <v>62.358526315789469</v>
      </c>
      <c r="AE17" s="219">
        <v>17</v>
      </c>
      <c r="AF17" s="219">
        <v>455</v>
      </c>
      <c r="AG17" s="219">
        <v>472</v>
      </c>
      <c r="AH17" s="348">
        <v>57932.6</v>
      </c>
      <c r="AI17" s="350">
        <f t="shared" si="15"/>
        <v>1308</v>
      </c>
    </row>
    <row r="18" spans="1:35" s="143" customFormat="1" ht="14.25" customHeight="1" x14ac:dyDescent="0.35">
      <c r="A18" s="143">
        <v>7</v>
      </c>
      <c r="B18" s="143">
        <f t="shared" si="4"/>
        <v>3</v>
      </c>
      <c r="C18" s="144">
        <v>45943</v>
      </c>
      <c r="D18" s="143" t="s">
        <v>63</v>
      </c>
      <c r="G18" s="144">
        <v>45947.791666666664</v>
      </c>
      <c r="H18" s="143" t="s">
        <v>64</v>
      </c>
      <c r="I18" s="312">
        <f t="shared" si="5"/>
        <v>716</v>
      </c>
      <c r="J18" s="38">
        <f t="shared" si="6"/>
        <v>1835.8974358974358</v>
      </c>
      <c r="K18" s="31">
        <f t="shared" si="19"/>
        <v>1.4100594745756034</v>
      </c>
      <c r="L18" s="39">
        <f t="shared" si="7"/>
        <v>53565.5</v>
      </c>
      <c r="M18" s="32">
        <f t="shared" si="8"/>
        <v>103497</v>
      </c>
      <c r="N18" s="195">
        <f t="shared" si="9"/>
        <v>0.5175560644269882</v>
      </c>
      <c r="O18" s="31">
        <f t="shared" si="10"/>
        <v>1.3270668318640721</v>
      </c>
      <c r="P18" s="242">
        <v>716</v>
      </c>
      <c r="Q18" s="387">
        <f t="shared" si="18"/>
        <v>1106.7</v>
      </c>
      <c r="R18" s="206">
        <f>IF(B18&lt;7,(P18/VLOOKUP(B18,'Sales Pacing'!$A$23:$E$36,2)),"Too early")</f>
        <v>1835.8974358974358</v>
      </c>
      <c r="S18" s="386">
        <f t="shared" si="16"/>
        <v>1.6588934995007101</v>
      </c>
      <c r="T18" s="226">
        <v>53565.5</v>
      </c>
      <c r="U18" s="230">
        <v>103497</v>
      </c>
      <c r="V18" s="237">
        <f t="shared" si="12"/>
        <v>0.5175560644269882</v>
      </c>
      <c r="W18" s="207">
        <f t="shared" si="17"/>
        <v>1.3270668318640721</v>
      </c>
      <c r="X18" s="222"/>
      <c r="Y18" s="226"/>
      <c r="Z18" s="230"/>
      <c r="AA18" s="207" t="str">
        <f t="shared" si="13"/>
        <v/>
      </c>
      <c r="AB18" s="233">
        <v>1302</v>
      </c>
      <c r="AC18" s="207">
        <f t="shared" si="2"/>
        <v>0.54992319508448539</v>
      </c>
      <c r="AD18" s="208">
        <f t="shared" si="14"/>
        <v>74.812150837988824</v>
      </c>
      <c r="AE18" s="218">
        <v>51</v>
      </c>
      <c r="AF18" s="218">
        <v>179</v>
      </c>
      <c r="AG18" s="218">
        <v>230</v>
      </c>
      <c r="AH18" s="346">
        <v>48750</v>
      </c>
      <c r="AI18" s="350">
        <f t="shared" si="15"/>
        <v>4815.5</v>
      </c>
    </row>
    <row r="19" spans="1:35" s="143" customFormat="1" ht="14.25" customHeight="1" x14ac:dyDescent="0.35">
      <c r="A19" s="143">
        <v>7</v>
      </c>
      <c r="B19" s="143">
        <f t="shared" si="4"/>
        <v>3</v>
      </c>
      <c r="C19" s="144">
        <v>45943</v>
      </c>
      <c r="D19" s="143" t="s">
        <v>63</v>
      </c>
      <c r="G19" s="144">
        <v>45948.791666666664</v>
      </c>
      <c r="H19" s="143" t="s">
        <v>64</v>
      </c>
      <c r="I19" s="312">
        <f t="shared" si="5"/>
        <v>861</v>
      </c>
      <c r="J19" s="38">
        <f t="shared" si="6"/>
        <v>2207.6923076923076</v>
      </c>
      <c r="K19" s="31">
        <f t="shared" si="19"/>
        <v>1.695616211745244</v>
      </c>
      <c r="L19" s="39">
        <f t="shared" si="7"/>
        <v>64353</v>
      </c>
      <c r="M19" s="32">
        <f t="shared" si="8"/>
        <v>103497</v>
      </c>
      <c r="N19" s="195">
        <f t="shared" si="9"/>
        <v>0.62178613872865884</v>
      </c>
      <c r="O19" s="31">
        <f t="shared" si="10"/>
        <v>1.5943234326375868</v>
      </c>
      <c r="P19" s="242">
        <v>861</v>
      </c>
      <c r="Q19" s="387">
        <f t="shared" si="18"/>
        <v>1106.7</v>
      </c>
      <c r="R19" s="206">
        <f>IF(B19&lt;7,(P19/VLOOKUP(B19,'Sales Pacing'!$A$23:$E$36,2)),"Too early")</f>
        <v>2207.6923076923076</v>
      </c>
      <c r="S19" s="386">
        <f t="shared" si="16"/>
        <v>1.9948426020532282</v>
      </c>
      <c r="T19" s="226">
        <v>64353</v>
      </c>
      <c r="U19" s="230">
        <v>103497</v>
      </c>
      <c r="V19" s="237">
        <f t="shared" si="12"/>
        <v>0.62178613872865884</v>
      </c>
      <c r="W19" s="207">
        <f t="shared" si="17"/>
        <v>1.5943234326375868</v>
      </c>
      <c r="X19" s="222"/>
      <c r="Y19" s="226"/>
      <c r="Z19" s="230"/>
      <c r="AA19" s="207" t="str">
        <f t="shared" si="13"/>
        <v/>
      </c>
      <c r="AB19" s="233">
        <v>1302</v>
      </c>
      <c r="AC19" s="207">
        <f t="shared" si="2"/>
        <v>0.66129032258064513</v>
      </c>
      <c r="AD19" s="208">
        <f t="shared" si="14"/>
        <v>74.742160278745644</v>
      </c>
      <c r="AE19" s="218">
        <v>74</v>
      </c>
      <c r="AF19" s="218">
        <v>184</v>
      </c>
      <c r="AG19" s="218">
        <v>258</v>
      </c>
      <c r="AH19" s="346">
        <v>60628</v>
      </c>
      <c r="AI19" s="350">
        <f t="shared" si="15"/>
        <v>3725</v>
      </c>
    </row>
    <row r="20" spans="1:35" s="147" customFormat="1" ht="14.25" customHeight="1" x14ac:dyDescent="0.35">
      <c r="A20" s="147">
        <v>7</v>
      </c>
      <c r="B20" s="147">
        <f t="shared" si="4"/>
        <v>3</v>
      </c>
      <c r="C20" s="148">
        <v>45943</v>
      </c>
      <c r="D20" s="147" t="s">
        <v>63</v>
      </c>
      <c r="G20" s="148">
        <v>45949.583333333336</v>
      </c>
      <c r="H20" s="147" t="s">
        <v>64</v>
      </c>
      <c r="I20" s="313">
        <f t="shared" si="5"/>
        <v>650</v>
      </c>
      <c r="J20" s="33">
        <f t="shared" si="6"/>
        <v>1666.6666666666665</v>
      </c>
      <c r="K20" s="34">
        <f t="shared" si="19"/>
        <v>1.2800819252432154</v>
      </c>
      <c r="L20" s="35">
        <f t="shared" si="7"/>
        <v>48516</v>
      </c>
      <c r="M20" s="36">
        <f t="shared" si="8"/>
        <v>103496</v>
      </c>
      <c r="N20" s="196">
        <f t="shared" si="9"/>
        <v>0.46877173997062688</v>
      </c>
      <c r="O20" s="34">
        <f t="shared" si="10"/>
        <v>1.2019788204375046</v>
      </c>
      <c r="P20" s="244">
        <v>650</v>
      </c>
      <c r="Q20" s="402">
        <f t="shared" si="18"/>
        <v>1106.7</v>
      </c>
      <c r="R20" s="209">
        <f>IF(B20&lt;7,(P20/VLOOKUP(B20,'Sales Pacing'!$A$23:$E$36,2)),"Too early")</f>
        <v>1666.6666666666665</v>
      </c>
      <c r="S20" s="403">
        <f t="shared" si="16"/>
        <v>1.5059787355802534</v>
      </c>
      <c r="T20" s="227">
        <v>48516</v>
      </c>
      <c r="U20" s="231">
        <v>103496</v>
      </c>
      <c r="V20" s="238">
        <f t="shared" si="12"/>
        <v>0.46877173997062688</v>
      </c>
      <c r="W20" s="210">
        <f t="shared" si="17"/>
        <v>1.2019788204375046</v>
      </c>
      <c r="X20" s="223"/>
      <c r="Y20" s="227"/>
      <c r="Z20" s="231"/>
      <c r="AA20" s="210" t="str">
        <f t="shared" si="13"/>
        <v/>
      </c>
      <c r="AB20" s="234">
        <v>1302</v>
      </c>
      <c r="AC20" s="207">
        <f t="shared" si="2"/>
        <v>0.49923195084485406</v>
      </c>
      <c r="AD20" s="211">
        <f t="shared" si="14"/>
        <v>74.64</v>
      </c>
      <c r="AE20" s="219">
        <v>38</v>
      </c>
      <c r="AF20" s="219">
        <v>149</v>
      </c>
      <c r="AG20" s="219">
        <v>187</v>
      </c>
      <c r="AH20" s="348">
        <v>44494</v>
      </c>
      <c r="AI20" s="350">
        <f t="shared" si="15"/>
        <v>4022</v>
      </c>
    </row>
    <row r="21" spans="1:35" s="143" customFormat="1" ht="14.25" customHeight="1" x14ac:dyDescent="0.35">
      <c r="A21" s="143">
        <v>8</v>
      </c>
      <c r="B21" s="143">
        <f t="shared" si="4"/>
        <v>4</v>
      </c>
      <c r="C21" s="144">
        <v>45950</v>
      </c>
      <c r="D21" s="143" t="s">
        <v>65</v>
      </c>
      <c r="G21" s="144">
        <v>45952.791666666664</v>
      </c>
      <c r="H21" s="143" t="s">
        <v>64</v>
      </c>
      <c r="I21" s="37">
        <f t="shared" si="5"/>
        <v>216</v>
      </c>
      <c r="J21" s="38">
        <f t="shared" si="6"/>
        <v>654.5454545454545</v>
      </c>
      <c r="K21" s="31">
        <f t="shared" si="19"/>
        <v>0.50272308336824467</v>
      </c>
      <c r="L21" s="39">
        <f t="shared" si="7"/>
        <v>11006</v>
      </c>
      <c r="M21" s="32">
        <f t="shared" si="8"/>
        <v>50000</v>
      </c>
      <c r="N21" s="195">
        <f t="shared" si="9"/>
        <v>0.22012000000000001</v>
      </c>
      <c r="O21" s="31">
        <f t="shared" si="10"/>
        <v>0.66703030303030308</v>
      </c>
      <c r="P21" s="222">
        <v>216</v>
      </c>
      <c r="Q21" s="402">
        <f t="shared" si="18"/>
        <v>1106.7</v>
      </c>
      <c r="R21" s="206">
        <f>IF(B21&lt;7,(P21/VLOOKUP(B21,'Sales Pacing'!$A$23:$E$36,2)),"Too early")</f>
        <v>654.5454545454545</v>
      </c>
      <c r="S21" s="403">
        <f>IF(R21="Too early","Too early",R21/Q21)</f>
        <v>0.59143892160969957</v>
      </c>
      <c r="T21" s="226">
        <v>11006</v>
      </c>
      <c r="U21" s="230">
        <v>50000</v>
      </c>
      <c r="V21" s="237">
        <f t="shared" si="12"/>
        <v>0.22012000000000001</v>
      </c>
      <c r="W21" s="207">
        <f t="shared" si="17"/>
        <v>0.66703030303030308</v>
      </c>
      <c r="X21" s="222"/>
      <c r="Y21" s="226"/>
      <c r="Z21" s="230"/>
      <c r="AA21" s="207" t="str">
        <f t="shared" si="13"/>
        <v/>
      </c>
      <c r="AB21" s="233">
        <v>1302</v>
      </c>
      <c r="AC21" s="210">
        <f t="shared" si="2"/>
        <v>0.16589861751152074</v>
      </c>
      <c r="AD21" s="208">
        <f t="shared" si="14"/>
        <v>50.953703703703702</v>
      </c>
      <c r="AE21" s="218">
        <v>5</v>
      </c>
      <c r="AF21" s="218">
        <v>78</v>
      </c>
      <c r="AG21" s="218">
        <v>83</v>
      </c>
      <c r="AH21" s="346">
        <v>10588</v>
      </c>
      <c r="AI21" s="350">
        <f t="shared" si="15"/>
        <v>418</v>
      </c>
    </row>
    <row r="22" spans="1:35" s="179" customFormat="1" ht="14.25" customHeight="1" x14ac:dyDescent="0.35">
      <c r="A22" s="179">
        <v>8</v>
      </c>
      <c r="B22" s="179">
        <f t="shared" si="4"/>
        <v>4</v>
      </c>
      <c r="C22" s="180">
        <v>45950</v>
      </c>
      <c r="D22" s="179" t="s">
        <v>66</v>
      </c>
      <c r="G22" s="180">
        <v>45954.833333333336</v>
      </c>
      <c r="H22" s="179" t="s">
        <v>57</v>
      </c>
      <c r="I22" s="181">
        <f t="shared" si="5"/>
        <v>829</v>
      </c>
      <c r="J22" s="182">
        <f t="shared" si="6"/>
        <v>1074.6666666666665</v>
      </c>
      <c r="K22" s="183">
        <f t="shared" si="19"/>
        <v>0.67589098532494751</v>
      </c>
      <c r="L22" s="184">
        <f t="shared" si="7"/>
        <v>58685.9</v>
      </c>
      <c r="M22" s="185">
        <f t="shared" si="8"/>
        <v>92333</v>
      </c>
      <c r="N22" s="197">
        <f t="shared" si="9"/>
        <v>0.63558965916844468</v>
      </c>
      <c r="O22" s="183">
        <f t="shared" si="10"/>
        <v>0.82394091723323892</v>
      </c>
      <c r="P22" s="307">
        <v>121</v>
      </c>
      <c r="Q22" s="387">
        <f t="shared" si="18"/>
        <v>749.69999999999993</v>
      </c>
      <c r="R22" s="215">
        <f>IF(B22&lt;7,(P22/VLOOKUP(B22,'Sales Pacing'!$A$23:$E$36,2)),"Too early")</f>
        <v>366.66666666666663</v>
      </c>
      <c r="S22" s="386">
        <f t="shared" ref="S22:S29" si="20">IF(R22="Too early","Too early",R22/Q22)</f>
        <v>0.48908452269796809</v>
      </c>
      <c r="T22" s="229">
        <v>7406</v>
      </c>
      <c r="U22" s="232">
        <v>53333</v>
      </c>
      <c r="V22" s="240">
        <f t="shared" si="12"/>
        <v>0.13886336789604936</v>
      </c>
      <c r="W22" s="216">
        <f t="shared" si="17"/>
        <v>0.48669250202114123</v>
      </c>
      <c r="X22" s="225">
        <v>708</v>
      </c>
      <c r="Y22" s="229">
        <v>51279.9</v>
      </c>
      <c r="Z22" s="232">
        <v>39000</v>
      </c>
      <c r="AA22" s="216">
        <f t="shared" si="13"/>
        <v>1.3148692307692309</v>
      </c>
      <c r="AB22" s="235">
        <v>1590</v>
      </c>
      <c r="AC22" s="207">
        <f t="shared" si="2"/>
        <v>0.52138364779874213</v>
      </c>
      <c r="AD22" s="217">
        <f t="shared" si="14"/>
        <v>70.791194209891444</v>
      </c>
      <c r="AE22" s="221">
        <v>7</v>
      </c>
      <c r="AF22" s="221">
        <v>350</v>
      </c>
      <c r="AG22" s="221">
        <v>357</v>
      </c>
      <c r="AH22" s="349">
        <v>57609.1</v>
      </c>
      <c r="AI22" s="350">
        <f t="shared" si="15"/>
        <v>1076.8000000000029</v>
      </c>
    </row>
    <row r="23" spans="1:35" s="143" customFormat="1" ht="14.25" customHeight="1" x14ac:dyDescent="0.35">
      <c r="A23" s="143">
        <v>8</v>
      </c>
      <c r="B23" s="143">
        <f t="shared" si="4"/>
        <v>4</v>
      </c>
      <c r="C23" s="144">
        <v>45950</v>
      </c>
      <c r="D23" s="143" t="s">
        <v>66</v>
      </c>
      <c r="G23" s="144">
        <v>45955.833333333336</v>
      </c>
      <c r="H23" s="143" t="s">
        <v>57</v>
      </c>
      <c r="I23" s="37">
        <f t="shared" si="5"/>
        <v>787</v>
      </c>
      <c r="J23" s="38">
        <f t="shared" si="6"/>
        <v>1107.7878787878788</v>
      </c>
      <c r="K23" s="31">
        <f t="shared" si="19"/>
        <v>0.6967219363445778</v>
      </c>
      <c r="L23" s="39">
        <f t="shared" si="7"/>
        <v>54528.800000000003</v>
      </c>
      <c r="M23" s="32">
        <f t="shared" si="8"/>
        <v>92333</v>
      </c>
      <c r="N23" s="195">
        <f t="shared" si="9"/>
        <v>0.59056675294856664</v>
      </c>
      <c r="O23" s="31">
        <f t="shared" si="10"/>
        <v>0.83128677322940003</v>
      </c>
      <c r="P23" s="242">
        <v>158</v>
      </c>
      <c r="Q23" s="387">
        <f t="shared" si="18"/>
        <v>816.85</v>
      </c>
      <c r="R23" s="206">
        <f>IF(B23&lt;7,(P23/VLOOKUP(B23,'Sales Pacing'!$A$23:$E$36,2)),"Too early")</f>
        <v>478.78787878787875</v>
      </c>
      <c r="S23" s="386">
        <f t="shared" si="20"/>
        <v>0.58613928969563411</v>
      </c>
      <c r="T23" s="226">
        <v>9368</v>
      </c>
      <c r="U23" s="230">
        <v>53333</v>
      </c>
      <c r="V23" s="237">
        <f t="shared" si="12"/>
        <v>0.17565109781936136</v>
      </c>
      <c r="W23" s="207">
        <f t="shared" si="17"/>
        <v>0.62201139594595023</v>
      </c>
      <c r="X23" s="222">
        <v>629</v>
      </c>
      <c r="Y23" s="226">
        <v>45160.800000000003</v>
      </c>
      <c r="Z23" s="230">
        <v>39000</v>
      </c>
      <c r="AA23" s="207">
        <f t="shared" si="13"/>
        <v>1.1579692307692309</v>
      </c>
      <c r="AB23" s="233">
        <v>1590</v>
      </c>
      <c r="AC23" s="207">
        <f t="shared" si="2"/>
        <v>0.4949685534591195</v>
      </c>
      <c r="AD23" s="208">
        <f t="shared" si="14"/>
        <v>69.286912325285897</v>
      </c>
      <c r="AE23" s="218">
        <v>11</v>
      </c>
      <c r="AF23" s="218">
        <v>320</v>
      </c>
      <c r="AG23" s="218">
        <v>311</v>
      </c>
      <c r="AH23" s="346">
        <v>52382.8</v>
      </c>
      <c r="AI23" s="350">
        <f t="shared" si="15"/>
        <v>2146</v>
      </c>
    </row>
    <row r="24" spans="1:35" s="147" customFormat="1" ht="14.25" customHeight="1" x14ac:dyDescent="0.35">
      <c r="A24" s="147">
        <v>8</v>
      </c>
      <c r="B24" s="147">
        <f t="shared" si="4"/>
        <v>4</v>
      </c>
      <c r="C24" s="148">
        <v>45950</v>
      </c>
      <c r="D24" s="379" t="s">
        <v>66</v>
      </c>
      <c r="G24" s="148">
        <v>45956.583333333336</v>
      </c>
      <c r="H24" s="147" t="s">
        <v>57</v>
      </c>
      <c r="I24" s="149">
        <f t="shared" si="5"/>
        <v>501</v>
      </c>
      <c r="J24" s="33">
        <f t="shared" si="6"/>
        <v>742.60606060606051</v>
      </c>
      <c r="K24" s="34">
        <f t="shared" si="19"/>
        <v>0.46704783685915757</v>
      </c>
      <c r="L24" s="35">
        <f t="shared" si="7"/>
        <v>33546.5</v>
      </c>
      <c r="M24" s="36">
        <f t="shared" si="8"/>
        <v>92333</v>
      </c>
      <c r="N24" s="196">
        <f t="shared" si="9"/>
        <v>0.36332080621229679</v>
      </c>
      <c r="O24" s="34">
        <f t="shared" si="10"/>
        <v>0.53853140247012299</v>
      </c>
      <c r="P24" s="244">
        <v>119</v>
      </c>
      <c r="Q24" s="402">
        <f t="shared" si="18"/>
        <v>1026.8</v>
      </c>
      <c r="R24" s="209">
        <f>IF(B24&lt;7,(P24/VLOOKUP(B24,'Sales Pacing'!$A$23:$E$36,2)),"Too early")</f>
        <v>360.60606060606057</v>
      </c>
      <c r="S24" s="403">
        <f t="shared" si="20"/>
        <v>0.35119405980333129</v>
      </c>
      <c r="T24" s="227">
        <v>7648</v>
      </c>
      <c r="U24" s="231">
        <v>53333</v>
      </c>
      <c r="V24" s="238">
        <f t="shared" si="12"/>
        <v>0.1434008962556016</v>
      </c>
      <c r="W24" s="210">
        <f t="shared" si="17"/>
        <v>0.45273753066200711</v>
      </c>
      <c r="X24" s="223">
        <v>382</v>
      </c>
      <c r="Y24" s="227">
        <v>25898.5</v>
      </c>
      <c r="Z24" s="231">
        <v>39000</v>
      </c>
      <c r="AA24" s="210">
        <f t="shared" si="13"/>
        <v>0.66406410256410253</v>
      </c>
      <c r="AB24" s="234">
        <v>1590</v>
      </c>
      <c r="AC24" s="210">
        <f t="shared" si="2"/>
        <v>0.31509433962264149</v>
      </c>
      <c r="AD24" s="211">
        <f t="shared" si="14"/>
        <v>66.959081836327343</v>
      </c>
      <c r="AE24" s="219">
        <v>6</v>
      </c>
      <c r="AF24" s="219">
        <v>209</v>
      </c>
      <c r="AG24" s="219">
        <v>203</v>
      </c>
      <c r="AH24" s="348">
        <v>31818.5</v>
      </c>
      <c r="AI24" s="350">
        <f t="shared" si="15"/>
        <v>1728</v>
      </c>
    </row>
    <row r="25" spans="1:35" s="143" customFormat="1" ht="14.25" customHeight="1" x14ac:dyDescent="0.35">
      <c r="A25" s="143">
        <v>9</v>
      </c>
      <c r="B25" s="143">
        <f t="shared" si="4"/>
        <v>5</v>
      </c>
      <c r="C25" s="144">
        <v>45957</v>
      </c>
      <c r="D25" s="143" t="s">
        <v>67</v>
      </c>
      <c r="G25" s="144">
        <v>45959.833333333336</v>
      </c>
      <c r="H25" s="143" t="s">
        <v>68</v>
      </c>
      <c r="I25" s="37">
        <f t="shared" si="5"/>
        <v>25</v>
      </c>
      <c r="J25" s="38">
        <f t="shared" si="6"/>
        <v>83.333333333333343</v>
      </c>
      <c r="K25" s="31">
        <f t="shared" si="19"/>
        <v>0.83333333333333348</v>
      </c>
      <c r="L25" s="39">
        <f t="shared" si="7"/>
        <v>2800</v>
      </c>
      <c r="M25" s="32">
        <v>11200</v>
      </c>
      <c r="N25" s="195">
        <f t="shared" si="9"/>
        <v>0.25</v>
      </c>
      <c r="O25" s="31">
        <f t="shared" si="10"/>
        <v>0.83333333333333337</v>
      </c>
      <c r="P25" s="222">
        <v>25</v>
      </c>
      <c r="Q25" s="387">
        <f t="shared" si="18"/>
        <v>85</v>
      </c>
      <c r="R25" s="206">
        <f>IF(B25&lt;7,(P25/VLOOKUP(B25,'Sales Pacing'!$A$23:$E$36,2)),"Too early")</f>
        <v>83.333333333333343</v>
      </c>
      <c r="S25" s="386">
        <f t="shared" si="20"/>
        <v>0.98039215686274517</v>
      </c>
      <c r="T25" s="226">
        <v>2800</v>
      </c>
      <c r="U25" s="230">
        <v>11200</v>
      </c>
      <c r="V25" s="237">
        <f t="shared" si="12"/>
        <v>0.25</v>
      </c>
      <c r="W25" s="207">
        <f t="shared" si="17"/>
        <v>0.83333333333333337</v>
      </c>
      <c r="X25" s="222"/>
      <c r="Y25" s="226"/>
      <c r="Z25" s="230"/>
      <c r="AA25" s="207" t="str">
        <f t="shared" si="13"/>
        <v/>
      </c>
      <c r="AB25" s="233">
        <v>100</v>
      </c>
      <c r="AC25" s="207">
        <f t="shared" si="2"/>
        <v>0.25</v>
      </c>
      <c r="AD25" s="208">
        <f t="shared" si="14"/>
        <v>112</v>
      </c>
      <c r="AE25" s="218">
        <v>0</v>
      </c>
      <c r="AF25" s="218">
        <v>11</v>
      </c>
      <c r="AG25" s="218">
        <v>11</v>
      </c>
      <c r="AH25" s="346">
        <v>2800</v>
      </c>
      <c r="AI25" s="350">
        <f t="shared" si="15"/>
        <v>0</v>
      </c>
    </row>
    <row r="26" spans="1:35" s="143" customFormat="1" ht="14.25" customHeight="1" x14ac:dyDescent="0.35">
      <c r="A26" s="143">
        <v>9</v>
      </c>
      <c r="B26" s="143">
        <f t="shared" si="4"/>
        <v>5</v>
      </c>
      <c r="C26" s="177">
        <v>45957</v>
      </c>
      <c r="D26" s="178" t="s">
        <v>69</v>
      </c>
      <c r="E26" s="178"/>
      <c r="F26" s="178"/>
      <c r="G26" s="177">
        <v>45961.833333333336</v>
      </c>
      <c r="H26" s="178" t="s">
        <v>62</v>
      </c>
      <c r="I26" s="37">
        <f t="shared" si="5"/>
        <v>479</v>
      </c>
      <c r="J26" s="38">
        <f t="shared" si="6"/>
        <v>798.66666666666674</v>
      </c>
      <c r="K26" s="31">
        <f t="shared" si="19"/>
        <v>0.55733891602698304</v>
      </c>
      <c r="L26" s="39">
        <f t="shared" si="7"/>
        <v>31327</v>
      </c>
      <c r="M26" s="32">
        <f t="shared" si="8"/>
        <v>52000</v>
      </c>
      <c r="N26" s="195">
        <f t="shared" si="9"/>
        <v>0.60244230769230767</v>
      </c>
      <c r="O26" s="31">
        <f t="shared" si="10"/>
        <v>1.0044897489427762</v>
      </c>
      <c r="P26" s="222">
        <v>137</v>
      </c>
      <c r="Q26" s="387">
        <f t="shared" si="18"/>
        <v>927.35</v>
      </c>
      <c r="R26" s="206">
        <f>IF(B26&lt;7,(P26/VLOOKUP(B26,'Sales Pacing'!$A$23:$E$36,2)),"Too early")</f>
        <v>456.66666666666669</v>
      </c>
      <c r="S26" s="386">
        <f t="shared" si="20"/>
        <v>0.49244262324544852</v>
      </c>
      <c r="T26" s="226">
        <v>7526</v>
      </c>
      <c r="U26" s="230">
        <v>22000</v>
      </c>
      <c r="V26" s="237">
        <f t="shared" si="12"/>
        <v>0.34209090909090911</v>
      </c>
      <c r="W26" s="207">
        <f t="shared" si="17"/>
        <v>1.3575627886379451</v>
      </c>
      <c r="X26" s="222">
        <v>342</v>
      </c>
      <c r="Y26" s="226">
        <v>23801</v>
      </c>
      <c r="Z26" s="230">
        <v>30000</v>
      </c>
      <c r="AA26" s="207">
        <f t="shared" si="13"/>
        <v>0.79336666666666666</v>
      </c>
      <c r="AB26" s="233">
        <v>1433</v>
      </c>
      <c r="AC26" s="207">
        <f t="shared" si="2"/>
        <v>0.33426378227494769</v>
      </c>
      <c r="AD26" s="208">
        <f t="shared" si="14"/>
        <v>65.40083507306889</v>
      </c>
      <c r="AE26" s="218">
        <v>10</v>
      </c>
      <c r="AF26" s="218">
        <v>222</v>
      </c>
      <c r="AG26" s="218">
        <v>232</v>
      </c>
      <c r="AH26" s="346">
        <v>30757</v>
      </c>
      <c r="AI26" s="350">
        <f t="shared" si="15"/>
        <v>570</v>
      </c>
    </row>
    <row r="27" spans="1:35" s="143" customFormat="1" ht="14.25" customHeight="1" x14ac:dyDescent="0.35">
      <c r="A27" s="143">
        <v>9</v>
      </c>
      <c r="B27" s="143">
        <f t="shared" si="4"/>
        <v>5</v>
      </c>
      <c r="C27" s="144">
        <v>45957</v>
      </c>
      <c r="D27" s="143" t="s">
        <v>69</v>
      </c>
      <c r="G27" s="144">
        <v>45962.833333333336</v>
      </c>
      <c r="H27" s="143" t="s">
        <v>62</v>
      </c>
      <c r="I27" s="37">
        <f t="shared" si="5"/>
        <v>964</v>
      </c>
      <c r="J27" s="38">
        <f t="shared" si="6"/>
        <v>1911.3333333333335</v>
      </c>
      <c r="K27" s="31">
        <f t="shared" si="19"/>
        <v>1.3337985578041407</v>
      </c>
      <c r="L27" s="39">
        <f t="shared" si="7"/>
        <v>60170</v>
      </c>
      <c r="M27" s="32">
        <f t="shared" si="8"/>
        <v>86500</v>
      </c>
      <c r="N27" s="195">
        <f t="shared" si="9"/>
        <v>0.69560693641618498</v>
      </c>
      <c r="O27" s="31">
        <f t="shared" si="10"/>
        <v>1.3791874735167375</v>
      </c>
      <c r="P27" s="222">
        <v>406</v>
      </c>
      <c r="Q27" s="387">
        <f t="shared" si="18"/>
        <v>743.75</v>
      </c>
      <c r="R27" s="206">
        <f>IF(B27&lt;7,(P27/VLOOKUP(B27,'Sales Pacing'!$A$23:$E$36,2)),"Too early")</f>
        <v>1353.3333333333335</v>
      </c>
      <c r="S27" s="386">
        <f t="shared" si="20"/>
        <v>1.8196078431372551</v>
      </c>
      <c r="T27" s="226">
        <v>23689</v>
      </c>
      <c r="U27" s="230">
        <v>31500</v>
      </c>
      <c r="V27" s="237">
        <f t="shared" si="12"/>
        <v>0.75203174603174605</v>
      </c>
      <c r="W27" s="207">
        <f t="shared" si="17"/>
        <v>2.6816197940679274</v>
      </c>
      <c r="X27" s="222">
        <v>558</v>
      </c>
      <c r="Y27" s="226">
        <v>36481</v>
      </c>
      <c r="Z27" s="230">
        <v>55000</v>
      </c>
      <c r="AA27" s="207">
        <f t="shared" si="13"/>
        <v>0.66329090909090904</v>
      </c>
      <c r="AB27" s="233">
        <v>1433</v>
      </c>
      <c r="AC27" s="207">
        <f t="shared" si="2"/>
        <v>0.67271458478715984</v>
      </c>
      <c r="AD27" s="208">
        <f t="shared" si="14"/>
        <v>62.41701244813278</v>
      </c>
      <c r="AE27" s="218">
        <v>26</v>
      </c>
      <c r="AF27" s="218">
        <v>397</v>
      </c>
      <c r="AG27" s="218">
        <v>423</v>
      </c>
      <c r="AH27" s="346">
        <v>57693</v>
      </c>
      <c r="AI27" s="350">
        <f t="shared" si="15"/>
        <v>2477</v>
      </c>
    </row>
    <row r="28" spans="1:35" s="147" customFormat="1" ht="14.25" customHeight="1" x14ac:dyDescent="0.35">
      <c r="A28" s="147">
        <v>9</v>
      </c>
      <c r="B28" s="147">
        <f t="shared" si="4"/>
        <v>5</v>
      </c>
      <c r="C28" s="148">
        <v>45957</v>
      </c>
      <c r="D28" s="147" t="s">
        <v>69</v>
      </c>
      <c r="G28" s="148">
        <v>45963.583333333336</v>
      </c>
      <c r="H28" s="147" t="s">
        <v>62</v>
      </c>
      <c r="I28" s="149">
        <f t="shared" si="5"/>
        <v>852</v>
      </c>
      <c r="J28" s="33">
        <f t="shared" si="6"/>
        <v>1531</v>
      </c>
      <c r="K28" s="34">
        <f t="shared" si="19"/>
        <v>1.0683879972086532</v>
      </c>
      <c r="L28" s="35">
        <f t="shared" si="7"/>
        <v>53260.1</v>
      </c>
      <c r="M28" s="36">
        <f t="shared" si="8"/>
        <v>86500</v>
      </c>
      <c r="N28" s="196">
        <f t="shared" si="9"/>
        <v>0.61572369942196525</v>
      </c>
      <c r="O28" s="34">
        <f t="shared" si="10"/>
        <v>1.1064236899237427</v>
      </c>
      <c r="P28" s="223">
        <v>291</v>
      </c>
      <c r="Q28" s="402">
        <f t="shared" si="18"/>
        <v>741.19999999999993</v>
      </c>
      <c r="R28" s="209">
        <f>IF(B28&lt;7,(P28/VLOOKUP(B28,'Sales Pacing'!$A$23:$E$36,2)),"Too early")</f>
        <v>970</v>
      </c>
      <c r="S28" s="403">
        <f t="shared" si="20"/>
        <v>1.3086886130599029</v>
      </c>
      <c r="T28" s="227">
        <v>17068</v>
      </c>
      <c r="U28" s="231">
        <v>31500</v>
      </c>
      <c r="V28" s="238">
        <f t="shared" si="12"/>
        <v>0.54184126984126979</v>
      </c>
      <c r="W28" s="210">
        <f t="shared" si="17"/>
        <v>1.9249682167076532</v>
      </c>
      <c r="X28" s="223">
        <v>561</v>
      </c>
      <c r="Y28" s="227">
        <v>36192.1</v>
      </c>
      <c r="Z28" s="231">
        <v>55000</v>
      </c>
      <c r="AA28" s="210">
        <f t="shared" si="13"/>
        <v>0.65803818181818174</v>
      </c>
      <c r="AB28" s="234">
        <v>1433</v>
      </c>
      <c r="AC28" s="210">
        <f t="shared" si="2"/>
        <v>0.59455687369155619</v>
      </c>
      <c r="AD28" s="211">
        <f t="shared" si="14"/>
        <v>62.511854460093893</v>
      </c>
      <c r="AE28" s="219">
        <v>17</v>
      </c>
      <c r="AF28" s="219">
        <v>407</v>
      </c>
      <c r="AG28" s="219">
        <v>424</v>
      </c>
      <c r="AH28" s="348">
        <v>51432.1</v>
      </c>
      <c r="AI28" s="350">
        <f t="shared" si="15"/>
        <v>1828</v>
      </c>
    </row>
    <row r="29" spans="1:35" s="147" customFormat="1" ht="14.25" customHeight="1" x14ac:dyDescent="0.35">
      <c r="A29" s="147">
        <v>10</v>
      </c>
      <c r="B29" s="147">
        <f t="shared" si="4"/>
        <v>6</v>
      </c>
      <c r="C29" s="148">
        <v>45964</v>
      </c>
      <c r="D29" s="147" t="s">
        <v>70</v>
      </c>
      <c r="G29" s="148">
        <v>45970.583333333336</v>
      </c>
      <c r="H29" s="147" t="s">
        <v>59</v>
      </c>
      <c r="I29" s="149">
        <f t="shared" si="5"/>
        <v>465</v>
      </c>
      <c r="J29" s="33">
        <f t="shared" si="6"/>
        <v>892.18518518518511</v>
      </c>
      <c r="K29" s="34">
        <f t="shared" si="19"/>
        <v>0.68629629629629618</v>
      </c>
      <c r="L29" s="35">
        <f t="shared" si="7"/>
        <v>11301</v>
      </c>
      <c r="M29" s="36">
        <f t="shared" si="8"/>
        <v>19500</v>
      </c>
      <c r="N29" s="196">
        <f t="shared" si="9"/>
        <v>0.57953846153846156</v>
      </c>
      <c r="O29" s="34">
        <f t="shared" si="10"/>
        <v>1.1119475906013541</v>
      </c>
      <c r="P29" s="223">
        <v>158</v>
      </c>
      <c r="Q29" s="387">
        <f t="shared" si="18"/>
        <v>844.05</v>
      </c>
      <c r="R29" s="209">
        <f>IF(B29&lt;7,(P29/VLOOKUP(B29,'Sales Pacing'!$A$23:$E$36,2)),"Too early")</f>
        <v>585.18518518518511</v>
      </c>
      <c r="S29" s="386">
        <f t="shared" si="20"/>
        <v>0.69330630316353903</v>
      </c>
      <c r="T29" s="227">
        <v>4465</v>
      </c>
      <c r="U29" s="231">
        <v>10000</v>
      </c>
      <c r="V29" s="238">
        <f t="shared" si="12"/>
        <v>0.44650000000000001</v>
      </c>
      <c r="W29" s="210">
        <f t="shared" si="17"/>
        <v>1.4221887694145758</v>
      </c>
      <c r="X29" s="223">
        <v>307</v>
      </c>
      <c r="Y29" s="227">
        <v>6836</v>
      </c>
      <c r="Z29" s="231">
        <v>9500</v>
      </c>
      <c r="AA29" s="210">
        <f t="shared" si="13"/>
        <v>0.7195789473684211</v>
      </c>
      <c r="AB29" s="234">
        <v>1300</v>
      </c>
      <c r="AC29" s="207">
        <f t="shared" si="2"/>
        <v>0.3576923076923077</v>
      </c>
      <c r="AD29" s="211">
        <f t="shared" si="14"/>
        <v>24.303225806451614</v>
      </c>
      <c r="AE29" s="219">
        <v>9</v>
      </c>
      <c r="AF29" s="219">
        <v>103</v>
      </c>
      <c r="AG29" s="219">
        <v>112</v>
      </c>
      <c r="AH29" s="348">
        <v>10703</v>
      </c>
      <c r="AI29" s="350">
        <f t="shared" si="15"/>
        <v>598</v>
      </c>
    </row>
    <row r="30" spans="1:35" s="186" customFormat="1" ht="14.25" customHeight="1" x14ac:dyDescent="0.35">
      <c r="A30" s="186">
        <v>11</v>
      </c>
      <c r="B30" s="186">
        <f t="shared" si="4"/>
        <v>7</v>
      </c>
      <c r="C30" s="187">
        <v>45971</v>
      </c>
      <c r="D30" s="186" t="s">
        <v>71</v>
      </c>
      <c r="G30" s="198"/>
      <c r="H30" s="199"/>
      <c r="I30" s="200">
        <f t="shared" si="5"/>
        <v>0</v>
      </c>
      <c r="J30" s="201" t="str">
        <f t="shared" si="6"/>
        <v>Too early</v>
      </c>
      <c r="K30" s="202"/>
      <c r="L30" s="203">
        <f t="shared" si="7"/>
        <v>0</v>
      </c>
      <c r="M30" s="204">
        <f t="shared" si="8"/>
        <v>0</v>
      </c>
      <c r="N30" s="205" t="e">
        <f t="shared" si="9"/>
        <v>#DIV/0!</v>
      </c>
      <c r="O30" s="202"/>
      <c r="P30" s="224"/>
      <c r="Q30" s="224"/>
      <c r="R30" s="212" t="str">
        <f>IF(B30&lt;7,(P30/VLOOKUP(B30,'Sales Pacing'!$A$23:$E$36,2)),"Too early")</f>
        <v>Too early</v>
      </c>
      <c r="S30" s="212"/>
      <c r="T30" s="228"/>
      <c r="U30" s="228"/>
      <c r="V30" s="239" t="str">
        <f t="shared" si="12"/>
        <v/>
      </c>
      <c r="W30" s="213"/>
      <c r="X30" s="224"/>
      <c r="Y30" s="228"/>
      <c r="Z30" s="228"/>
      <c r="AA30" s="213" t="s">
        <v>55</v>
      </c>
      <c r="AB30" s="224"/>
      <c r="AC30" s="213" t="e">
        <f t="shared" ref="AC30" si="21">I30/AB30</f>
        <v>#DIV/0!</v>
      </c>
      <c r="AD30" s="214" t="e">
        <f t="shared" si="14"/>
        <v>#DIV/0!</v>
      </c>
      <c r="AE30" s="220"/>
      <c r="AF30" s="220"/>
      <c r="AG30" s="220"/>
      <c r="AH30" s="347">
        <v>0</v>
      </c>
      <c r="AI30" s="351"/>
    </row>
    <row r="31" spans="1:35" s="143" customFormat="1" ht="14.25" customHeight="1" x14ac:dyDescent="0.35">
      <c r="A31" s="143">
        <v>12</v>
      </c>
      <c r="B31" s="143">
        <f t="shared" si="4"/>
        <v>8</v>
      </c>
      <c r="C31" s="177">
        <v>45978</v>
      </c>
      <c r="D31" s="178" t="s">
        <v>72</v>
      </c>
      <c r="E31" s="178"/>
      <c r="F31" s="178"/>
      <c r="G31" s="177">
        <v>45982.833333333336</v>
      </c>
      <c r="H31" s="178" t="s">
        <v>62</v>
      </c>
      <c r="I31" s="37">
        <f t="shared" si="5"/>
        <v>446</v>
      </c>
      <c r="J31" s="38" t="str">
        <f t="shared" si="6"/>
        <v>Too early</v>
      </c>
      <c r="K31" s="31" t="str">
        <f t="shared" ref="K31:K50" si="22">IF(J31="Too early",J31,J31/AB31)</f>
        <v>Too early</v>
      </c>
      <c r="L31" s="39">
        <f t="shared" si="7"/>
        <v>29373</v>
      </c>
      <c r="M31" s="32">
        <f t="shared" si="8"/>
        <v>40000</v>
      </c>
      <c r="N31" s="195">
        <f t="shared" si="9"/>
        <v>0.73432500000000001</v>
      </c>
      <c r="O31" s="31" t="str">
        <f t="shared" si="10"/>
        <v>Too early</v>
      </c>
      <c r="P31" s="242">
        <v>79</v>
      </c>
      <c r="Q31" s="387">
        <f t="shared" ref="Q31:Q50" si="23">(AB31-X31)*0.85</f>
        <v>1039.55</v>
      </c>
      <c r="R31" s="206" t="str">
        <f>IF(B31&lt;7,(P31/VLOOKUP(B31,'Sales Pacing'!$A$23:$E$36,2)),"Too early")</f>
        <v>Too early</v>
      </c>
      <c r="S31" s="386" t="str">
        <f t="shared" ref="S31:S50" si="24">IF(R31="Too early","Too early",R31/Q31)</f>
        <v>Too early</v>
      </c>
      <c r="T31" s="226">
        <v>4025</v>
      </c>
      <c r="U31" s="230">
        <v>15000</v>
      </c>
      <c r="V31" s="237">
        <f t="shared" si="12"/>
        <v>0.26833333333333331</v>
      </c>
      <c r="W31" s="207" t="str">
        <f t="shared" si="17"/>
        <v>Too early</v>
      </c>
      <c r="X31" s="222">
        <v>367</v>
      </c>
      <c r="Y31" s="226">
        <v>25348</v>
      </c>
      <c r="Z31" s="230">
        <v>25000</v>
      </c>
      <c r="AA31" s="207">
        <f t="shared" si="13"/>
        <v>1.0139199999999999</v>
      </c>
      <c r="AB31" s="233">
        <v>1590</v>
      </c>
      <c r="AC31" s="207">
        <f t="shared" si="2"/>
        <v>0.28050314465408804</v>
      </c>
      <c r="AD31" s="208">
        <f t="shared" si="14"/>
        <v>65.858744394618839</v>
      </c>
      <c r="AE31" s="218">
        <v>1</v>
      </c>
      <c r="AF31" s="218">
        <v>221</v>
      </c>
      <c r="AG31" s="218">
        <v>222</v>
      </c>
      <c r="AH31" s="346">
        <v>29114</v>
      </c>
      <c r="AI31" s="350">
        <f t="shared" si="15"/>
        <v>259</v>
      </c>
    </row>
    <row r="32" spans="1:35" s="143" customFormat="1" ht="14.25" customHeight="1" x14ac:dyDescent="0.35">
      <c r="A32" s="143">
        <v>12</v>
      </c>
      <c r="B32" s="143">
        <f t="shared" si="4"/>
        <v>8</v>
      </c>
      <c r="C32" s="144">
        <v>45978</v>
      </c>
      <c r="D32" s="143" t="s">
        <v>72</v>
      </c>
      <c r="G32" s="144">
        <v>45983.833333333336</v>
      </c>
      <c r="H32" s="143" t="s">
        <v>62</v>
      </c>
      <c r="I32" s="37">
        <f t="shared" si="5"/>
        <v>705</v>
      </c>
      <c r="J32" s="38" t="str">
        <f t="shared" si="6"/>
        <v>Too early</v>
      </c>
      <c r="K32" s="31" t="str">
        <f t="shared" si="22"/>
        <v>Too early</v>
      </c>
      <c r="L32" s="39">
        <f t="shared" si="7"/>
        <v>47252.9</v>
      </c>
      <c r="M32" s="32">
        <f t="shared" si="8"/>
        <v>66500</v>
      </c>
      <c r="N32" s="195">
        <f t="shared" si="9"/>
        <v>0.71056992481203007</v>
      </c>
      <c r="O32" s="31" t="str">
        <f t="shared" si="10"/>
        <v>Too early</v>
      </c>
      <c r="P32" s="242">
        <v>122</v>
      </c>
      <c r="Q32" s="387">
        <f t="shared" si="23"/>
        <v>855.94999999999993</v>
      </c>
      <c r="R32" s="206" t="str">
        <f>IF(B32&lt;7,(P32/VLOOKUP(B32,'Sales Pacing'!$A$23:$E$36,2)),"Too early")</f>
        <v>Too early</v>
      </c>
      <c r="S32" s="386" t="str">
        <f t="shared" si="24"/>
        <v>Too early</v>
      </c>
      <c r="T32" s="226">
        <v>7546</v>
      </c>
      <c r="U32" s="230">
        <v>11500</v>
      </c>
      <c r="V32" s="237">
        <f t="shared" si="12"/>
        <v>0.65617391304347827</v>
      </c>
      <c r="W32" s="207" t="str">
        <f t="shared" si="17"/>
        <v>Too early</v>
      </c>
      <c r="X32" s="222">
        <v>583</v>
      </c>
      <c r="Y32" s="226">
        <v>39706.9</v>
      </c>
      <c r="Z32" s="230">
        <v>55000</v>
      </c>
      <c r="AA32" s="207">
        <f t="shared" si="13"/>
        <v>0.72194363636363634</v>
      </c>
      <c r="AB32" s="233">
        <v>1590</v>
      </c>
      <c r="AC32" s="207">
        <f t="shared" si="2"/>
        <v>0.44339622641509435</v>
      </c>
      <c r="AD32" s="208">
        <f t="shared" si="14"/>
        <v>67.025390070921986</v>
      </c>
      <c r="AE32" s="218">
        <v>4</v>
      </c>
      <c r="AF32" s="218">
        <v>347</v>
      </c>
      <c r="AG32" s="218">
        <v>351</v>
      </c>
      <c r="AH32" s="346">
        <v>47477.9</v>
      </c>
      <c r="AI32" s="350">
        <f t="shared" si="15"/>
        <v>-225</v>
      </c>
    </row>
    <row r="33" spans="1:35" s="147" customFormat="1" ht="14.25" customHeight="1" x14ac:dyDescent="0.35">
      <c r="A33" s="147">
        <v>12</v>
      </c>
      <c r="B33" s="147">
        <f t="shared" si="4"/>
        <v>8</v>
      </c>
      <c r="C33" s="148">
        <v>45978</v>
      </c>
      <c r="D33" s="147" t="s">
        <v>72</v>
      </c>
      <c r="G33" s="148">
        <v>45984.583333333336</v>
      </c>
      <c r="H33" s="147" t="s">
        <v>62</v>
      </c>
      <c r="I33" s="149">
        <f t="shared" si="5"/>
        <v>722</v>
      </c>
      <c r="J33" s="33" t="str">
        <f t="shared" si="6"/>
        <v>Too early</v>
      </c>
      <c r="K33" s="34" t="str">
        <f t="shared" si="22"/>
        <v>Too early</v>
      </c>
      <c r="L33" s="35">
        <f t="shared" si="7"/>
        <v>46768.2</v>
      </c>
      <c r="M33" s="36">
        <f t="shared" si="8"/>
        <v>66500</v>
      </c>
      <c r="N33" s="196">
        <f t="shared" si="9"/>
        <v>0.70328120300751873</v>
      </c>
      <c r="O33" s="34" t="str">
        <f t="shared" si="10"/>
        <v>Too early</v>
      </c>
      <c r="P33" s="244">
        <v>100</v>
      </c>
      <c r="Q33" s="402">
        <f t="shared" si="23"/>
        <v>822.8</v>
      </c>
      <c r="R33" s="209" t="str">
        <f>IF(B33&lt;7,(P33/VLOOKUP(B33,'Sales Pacing'!$A$23:$E$36,2)),"Too early")</f>
        <v>Too early</v>
      </c>
      <c r="S33" s="403" t="str">
        <f t="shared" si="24"/>
        <v>Too early</v>
      </c>
      <c r="T33" s="227">
        <v>6613</v>
      </c>
      <c r="U33" s="231">
        <v>11500</v>
      </c>
      <c r="V33" s="238">
        <f t="shared" si="12"/>
        <v>0.57504347826086954</v>
      </c>
      <c r="W33" s="210" t="str">
        <f t="shared" si="17"/>
        <v>Too early</v>
      </c>
      <c r="X33" s="223">
        <v>622</v>
      </c>
      <c r="Y33" s="227">
        <v>40155.199999999997</v>
      </c>
      <c r="Z33" s="231">
        <v>55000</v>
      </c>
      <c r="AA33" s="210">
        <f t="shared" si="13"/>
        <v>0.73009454545454544</v>
      </c>
      <c r="AB33" s="234">
        <v>1590</v>
      </c>
      <c r="AC33" s="210">
        <f t="shared" si="2"/>
        <v>0.45408805031446542</v>
      </c>
      <c r="AD33" s="211">
        <f t="shared" si="14"/>
        <v>64.775900277008304</v>
      </c>
      <c r="AE33" s="219">
        <v>3</v>
      </c>
      <c r="AF33" s="219">
        <v>391</v>
      </c>
      <c r="AG33" s="219">
        <v>394</v>
      </c>
      <c r="AH33" s="348">
        <v>46613.2</v>
      </c>
      <c r="AI33" s="350">
        <f t="shared" si="15"/>
        <v>155</v>
      </c>
    </row>
    <row r="34" spans="1:35" s="143" customFormat="1" x14ac:dyDescent="0.35">
      <c r="A34" s="143">
        <v>13</v>
      </c>
      <c r="B34" s="143">
        <f t="shared" si="4"/>
        <v>9</v>
      </c>
      <c r="C34" s="144">
        <v>45985</v>
      </c>
      <c r="D34" s="143" t="s">
        <v>73</v>
      </c>
      <c r="G34" s="144">
        <v>45989.791666666664</v>
      </c>
      <c r="H34" s="143" t="s">
        <v>64</v>
      </c>
      <c r="I34" s="312">
        <f t="shared" si="5"/>
        <v>327</v>
      </c>
      <c r="J34" s="38" t="str">
        <f t="shared" si="6"/>
        <v>Too early</v>
      </c>
      <c r="K34" s="31" t="str">
        <f t="shared" si="22"/>
        <v>Too early</v>
      </c>
      <c r="L34" s="39">
        <f t="shared" si="7"/>
        <v>22459</v>
      </c>
      <c r="M34" s="32">
        <f t="shared" si="8"/>
        <v>107500</v>
      </c>
      <c r="N34" s="195">
        <f t="shared" si="9"/>
        <v>0.20892093023255814</v>
      </c>
      <c r="O34" s="31" t="str">
        <f t="shared" si="10"/>
        <v>Too early</v>
      </c>
      <c r="P34" s="242">
        <v>327</v>
      </c>
      <c r="Q34" s="387">
        <f t="shared" si="23"/>
        <v>1106.7</v>
      </c>
      <c r="R34" s="206" t="str">
        <f>IF(B34&lt;7,(P34/VLOOKUP(B34,'Sales Pacing'!$A$23:$E$36,2)),"Too early")</f>
        <v>Too early</v>
      </c>
      <c r="S34" s="386" t="str">
        <f t="shared" si="24"/>
        <v>Too early</v>
      </c>
      <c r="T34" s="226">
        <v>22459</v>
      </c>
      <c r="U34" s="230">
        <v>107500</v>
      </c>
      <c r="V34" s="237">
        <f t="shared" si="12"/>
        <v>0.20892093023255814</v>
      </c>
      <c r="W34" s="207" t="str">
        <f t="shared" si="17"/>
        <v>Too early</v>
      </c>
      <c r="X34" s="222"/>
      <c r="Y34" s="226"/>
      <c r="Z34" s="230"/>
      <c r="AA34" s="207" t="str">
        <f t="shared" si="13"/>
        <v/>
      </c>
      <c r="AB34" s="233">
        <v>1302</v>
      </c>
      <c r="AC34" s="207">
        <f t="shared" si="2"/>
        <v>0.25115207373271892</v>
      </c>
      <c r="AD34" s="208">
        <f t="shared" si="14"/>
        <v>68.681957186544338</v>
      </c>
      <c r="AE34" s="218">
        <v>17</v>
      </c>
      <c r="AF34" s="218">
        <v>45</v>
      </c>
      <c r="AG34" s="218">
        <v>62</v>
      </c>
      <c r="AH34" s="346">
        <v>20977.599999999999</v>
      </c>
      <c r="AI34" s="350">
        <f t="shared" si="15"/>
        <v>1481.4000000000015</v>
      </c>
    </row>
    <row r="35" spans="1:35" s="143" customFormat="1" x14ac:dyDescent="0.35">
      <c r="A35" s="143">
        <v>13</v>
      </c>
      <c r="B35" s="143">
        <f t="shared" si="4"/>
        <v>9</v>
      </c>
      <c r="C35" s="144">
        <v>45985</v>
      </c>
      <c r="D35" s="143" t="s">
        <v>73</v>
      </c>
      <c r="G35" s="144">
        <v>45990.541666666664</v>
      </c>
      <c r="H35" s="143" t="s">
        <v>64</v>
      </c>
      <c r="I35" s="312">
        <f t="shared" si="5"/>
        <v>374</v>
      </c>
      <c r="J35" s="38" t="str">
        <f t="shared" si="6"/>
        <v>Too early</v>
      </c>
      <c r="K35" s="31" t="str">
        <f t="shared" si="22"/>
        <v>Too early</v>
      </c>
      <c r="L35" s="39">
        <f t="shared" si="7"/>
        <v>24726.6</v>
      </c>
      <c r="M35" s="32">
        <f t="shared" si="8"/>
        <v>107500</v>
      </c>
      <c r="N35" s="195">
        <f t="shared" si="9"/>
        <v>0.23001488372093021</v>
      </c>
      <c r="O35" s="31" t="str">
        <f t="shared" si="10"/>
        <v>Too early</v>
      </c>
      <c r="P35" s="242">
        <v>374</v>
      </c>
      <c r="Q35" s="387">
        <f t="shared" si="23"/>
        <v>1106.7</v>
      </c>
      <c r="R35" s="206" t="str">
        <f>IF(B35&lt;7,(P35/VLOOKUP(B35,'Sales Pacing'!$A$23:$E$36,2)),"Too early")</f>
        <v>Too early</v>
      </c>
      <c r="S35" s="386" t="str">
        <f t="shared" si="24"/>
        <v>Too early</v>
      </c>
      <c r="T35" s="226">
        <v>24726.6</v>
      </c>
      <c r="U35" s="230">
        <v>107500</v>
      </c>
      <c r="V35" s="237">
        <f t="shared" si="12"/>
        <v>0.23001488372093021</v>
      </c>
      <c r="W35" s="207" t="str">
        <f t="shared" si="17"/>
        <v>Too early</v>
      </c>
      <c r="X35" s="222"/>
      <c r="Y35" s="226"/>
      <c r="Z35" s="230"/>
      <c r="AA35" s="207" t="str">
        <f t="shared" si="13"/>
        <v/>
      </c>
      <c r="AB35" s="233">
        <v>1302</v>
      </c>
      <c r="AC35" s="207">
        <f t="shared" si="2"/>
        <v>0.28725038402457759</v>
      </c>
      <c r="AD35" s="208">
        <f t="shared" si="14"/>
        <v>66.113903743315504</v>
      </c>
      <c r="AE35" s="218">
        <v>22</v>
      </c>
      <c r="AF35" s="218">
        <v>53</v>
      </c>
      <c r="AG35" s="218">
        <v>75</v>
      </c>
      <c r="AH35" s="346">
        <v>24414.6</v>
      </c>
      <c r="AI35" s="350">
        <f t="shared" si="15"/>
        <v>312</v>
      </c>
    </row>
    <row r="36" spans="1:35" s="143" customFormat="1" x14ac:dyDescent="0.35">
      <c r="A36" s="143">
        <v>13</v>
      </c>
      <c r="B36" s="143">
        <f t="shared" si="4"/>
        <v>9</v>
      </c>
      <c r="C36" s="144">
        <v>45985</v>
      </c>
      <c r="D36" s="143" t="s">
        <v>73</v>
      </c>
      <c r="G36" s="144">
        <v>45990.791666666664</v>
      </c>
      <c r="H36" s="143" t="s">
        <v>64</v>
      </c>
      <c r="I36" s="312">
        <f t="shared" si="5"/>
        <v>303</v>
      </c>
      <c r="J36" s="38" t="str">
        <f t="shared" si="6"/>
        <v>Too early</v>
      </c>
      <c r="K36" s="31" t="str">
        <f t="shared" si="22"/>
        <v>Too early</v>
      </c>
      <c r="L36" s="39">
        <f t="shared" si="7"/>
        <v>20120</v>
      </c>
      <c r="M36" s="32">
        <f t="shared" si="8"/>
        <v>107500</v>
      </c>
      <c r="N36" s="195">
        <f t="shared" si="9"/>
        <v>0.18716279069767441</v>
      </c>
      <c r="O36" s="31" t="str">
        <f t="shared" si="10"/>
        <v>Too early</v>
      </c>
      <c r="P36" s="242">
        <v>303</v>
      </c>
      <c r="Q36" s="387">
        <f t="shared" si="23"/>
        <v>1106.7</v>
      </c>
      <c r="R36" s="206" t="str">
        <f>IF(B36&lt;7,(P36/VLOOKUP(B36,'Sales Pacing'!$A$23:$E$36,2)),"Too early")</f>
        <v>Too early</v>
      </c>
      <c r="S36" s="386" t="str">
        <f t="shared" si="24"/>
        <v>Too early</v>
      </c>
      <c r="T36" s="226">
        <v>20120</v>
      </c>
      <c r="U36" s="230">
        <v>107500</v>
      </c>
      <c r="V36" s="237">
        <f t="shared" si="12"/>
        <v>0.18716279069767441</v>
      </c>
      <c r="W36" s="207" t="str">
        <f t="shared" si="17"/>
        <v>Too early</v>
      </c>
      <c r="X36" s="222"/>
      <c r="Y36" s="226"/>
      <c r="Z36" s="230"/>
      <c r="AA36" s="207" t="str">
        <f t="shared" si="13"/>
        <v/>
      </c>
      <c r="AB36" s="233">
        <v>1302</v>
      </c>
      <c r="AC36" s="207">
        <f t="shared" si="2"/>
        <v>0.23271889400921658</v>
      </c>
      <c r="AD36" s="208">
        <f t="shared" si="14"/>
        <v>66.402640264026402</v>
      </c>
      <c r="AE36" s="218">
        <v>12</v>
      </c>
      <c r="AF36" s="218">
        <v>56</v>
      </c>
      <c r="AG36" s="218">
        <v>68</v>
      </c>
      <c r="AH36" s="346">
        <v>19000</v>
      </c>
      <c r="AI36" s="350">
        <f t="shared" si="15"/>
        <v>1120</v>
      </c>
    </row>
    <row r="37" spans="1:35" s="147" customFormat="1" x14ac:dyDescent="0.35">
      <c r="A37" s="147">
        <v>13</v>
      </c>
      <c r="B37" s="147">
        <f t="shared" si="4"/>
        <v>9</v>
      </c>
      <c r="C37" s="148">
        <v>45985</v>
      </c>
      <c r="D37" s="147" t="s">
        <v>73</v>
      </c>
      <c r="G37" s="148">
        <v>45991.583333333336</v>
      </c>
      <c r="H37" s="147" t="s">
        <v>64</v>
      </c>
      <c r="I37" s="313">
        <f t="shared" si="5"/>
        <v>524</v>
      </c>
      <c r="J37" s="33" t="str">
        <f t="shared" si="6"/>
        <v>Too early</v>
      </c>
      <c r="K37" s="34" t="str">
        <f t="shared" si="22"/>
        <v>Too early</v>
      </c>
      <c r="L37" s="35">
        <f t="shared" si="7"/>
        <v>36614.6</v>
      </c>
      <c r="M37" s="36">
        <f t="shared" si="8"/>
        <v>107500</v>
      </c>
      <c r="N37" s="196">
        <f t="shared" si="9"/>
        <v>0.34060093023255811</v>
      </c>
      <c r="O37" s="34" t="str">
        <f t="shared" si="10"/>
        <v>Too early</v>
      </c>
      <c r="P37" s="244">
        <v>524</v>
      </c>
      <c r="Q37" s="402">
        <f t="shared" si="23"/>
        <v>1106.7</v>
      </c>
      <c r="R37" s="209" t="str">
        <f>IF(B37&lt;7,(P37/VLOOKUP(B37,'Sales Pacing'!$A$23:$E$36,2)),"Too early")</f>
        <v>Too early</v>
      </c>
      <c r="S37" s="403" t="str">
        <f t="shared" si="24"/>
        <v>Too early</v>
      </c>
      <c r="T37" s="227">
        <v>36614.6</v>
      </c>
      <c r="U37" s="231">
        <v>107500</v>
      </c>
      <c r="V37" s="238">
        <f t="shared" si="12"/>
        <v>0.34060093023255811</v>
      </c>
      <c r="W37" s="210" t="str">
        <f t="shared" si="17"/>
        <v>Too early</v>
      </c>
      <c r="X37" s="223"/>
      <c r="Y37" s="227"/>
      <c r="Z37" s="231"/>
      <c r="AA37" s="210" t="str">
        <f t="shared" si="13"/>
        <v/>
      </c>
      <c r="AB37" s="234">
        <v>1302</v>
      </c>
      <c r="AC37" s="210">
        <f t="shared" si="2"/>
        <v>0.40245775729646699</v>
      </c>
      <c r="AD37" s="211">
        <f t="shared" si="14"/>
        <v>69.875190839694653</v>
      </c>
      <c r="AE37" s="219">
        <v>21</v>
      </c>
      <c r="AF37" s="219">
        <v>88</v>
      </c>
      <c r="AG37" s="219">
        <v>109</v>
      </c>
      <c r="AH37" s="346">
        <v>34569.599999999999</v>
      </c>
      <c r="AI37" s="350">
        <f t="shared" si="15"/>
        <v>2045</v>
      </c>
    </row>
    <row r="38" spans="1:35" s="143" customFormat="1" x14ac:dyDescent="0.35">
      <c r="A38" s="143">
        <v>14</v>
      </c>
      <c r="B38" s="143">
        <f t="shared" si="4"/>
        <v>10</v>
      </c>
      <c r="C38" s="144">
        <v>45992</v>
      </c>
      <c r="D38" s="143" t="s">
        <v>74</v>
      </c>
      <c r="G38" s="144">
        <v>45996.791666666664</v>
      </c>
      <c r="H38" s="143" t="s">
        <v>75</v>
      </c>
      <c r="I38" s="37">
        <f t="shared" si="5"/>
        <v>373</v>
      </c>
      <c r="J38" s="38" t="str">
        <f t="shared" si="6"/>
        <v>Too early</v>
      </c>
      <c r="K38" s="31" t="str">
        <f t="shared" si="22"/>
        <v>Too early</v>
      </c>
      <c r="L38" s="39">
        <f t="shared" si="7"/>
        <v>19843.5</v>
      </c>
      <c r="M38" s="32">
        <f t="shared" si="8"/>
        <v>78333</v>
      </c>
      <c r="N38" s="195">
        <f t="shared" si="9"/>
        <v>0.25332235456321089</v>
      </c>
      <c r="O38" s="31" t="str">
        <f t="shared" si="10"/>
        <v>Too early</v>
      </c>
      <c r="P38" s="222">
        <v>373</v>
      </c>
      <c r="Q38" s="387">
        <f t="shared" si="23"/>
        <v>1218.05</v>
      </c>
      <c r="R38" s="206" t="str">
        <f>IF(B38&lt;7,(P38/VLOOKUP(B38,'Sales Pacing'!$A$23:$E$36,2)),"Too early")</f>
        <v>Too early</v>
      </c>
      <c r="S38" s="386" t="str">
        <f t="shared" si="24"/>
        <v>Too early</v>
      </c>
      <c r="T38" s="226">
        <v>19843.5</v>
      </c>
      <c r="U38" s="230">
        <v>78333</v>
      </c>
      <c r="V38" s="237">
        <f t="shared" si="12"/>
        <v>0.25332235456321089</v>
      </c>
      <c r="W38" s="207" t="str">
        <f t="shared" si="17"/>
        <v>Too early</v>
      </c>
      <c r="X38" s="222"/>
      <c r="Y38" s="226"/>
      <c r="Z38" s="230"/>
      <c r="AA38" s="207" t="str">
        <f t="shared" si="13"/>
        <v/>
      </c>
      <c r="AB38" s="233">
        <v>1433</v>
      </c>
      <c r="AC38" s="207">
        <f t="shared" si="2"/>
        <v>0.2602930914166085</v>
      </c>
      <c r="AD38" s="208">
        <f t="shared" si="14"/>
        <v>53.199731903485258</v>
      </c>
      <c r="AE38" s="218">
        <v>19</v>
      </c>
      <c r="AF38" s="218">
        <v>86</v>
      </c>
      <c r="AG38" s="218">
        <v>105</v>
      </c>
      <c r="AH38" s="346">
        <v>18853.5</v>
      </c>
      <c r="AI38" s="350">
        <f t="shared" si="15"/>
        <v>990</v>
      </c>
    </row>
    <row r="39" spans="1:35" s="143" customFormat="1" x14ac:dyDescent="0.35">
      <c r="A39" s="143">
        <v>14</v>
      </c>
      <c r="B39" s="143">
        <f t="shared" si="4"/>
        <v>10</v>
      </c>
      <c r="C39" s="144">
        <v>45992</v>
      </c>
      <c r="D39" s="143" t="s">
        <v>74</v>
      </c>
      <c r="G39" s="144">
        <v>45997.791666666664</v>
      </c>
      <c r="H39" s="143" t="s">
        <v>75</v>
      </c>
      <c r="I39" s="37">
        <f t="shared" si="5"/>
        <v>378</v>
      </c>
      <c r="J39" s="38" t="str">
        <f t="shared" si="6"/>
        <v>Too early</v>
      </c>
      <c r="K39" s="31" t="str">
        <f t="shared" si="22"/>
        <v>Too early</v>
      </c>
      <c r="L39" s="39">
        <f t="shared" si="7"/>
        <v>22606.5</v>
      </c>
      <c r="M39" s="32">
        <f t="shared" si="8"/>
        <v>78334</v>
      </c>
      <c r="N39" s="195">
        <f t="shared" si="9"/>
        <v>0.28859116092629</v>
      </c>
      <c r="O39" s="31" t="str">
        <f t="shared" si="10"/>
        <v>Too early</v>
      </c>
      <c r="P39" s="222">
        <v>378</v>
      </c>
      <c r="Q39" s="387">
        <f t="shared" si="23"/>
        <v>1218.05</v>
      </c>
      <c r="R39" s="206" t="str">
        <f>IF(B39&lt;7,(P39/VLOOKUP(B39,'Sales Pacing'!$A$23:$E$36,2)),"Too early")</f>
        <v>Too early</v>
      </c>
      <c r="S39" s="386" t="str">
        <f t="shared" si="24"/>
        <v>Too early</v>
      </c>
      <c r="T39" s="226">
        <v>22606.5</v>
      </c>
      <c r="U39" s="230">
        <v>78334</v>
      </c>
      <c r="V39" s="237">
        <f t="shared" si="12"/>
        <v>0.28859116092629</v>
      </c>
      <c r="W39" s="207" t="str">
        <f t="shared" si="17"/>
        <v>Too early</v>
      </c>
      <c r="X39" s="222"/>
      <c r="Y39" s="226"/>
      <c r="Z39" s="230"/>
      <c r="AA39" s="207" t="str">
        <f t="shared" si="13"/>
        <v/>
      </c>
      <c r="AB39" s="233">
        <v>1433</v>
      </c>
      <c r="AC39" s="207">
        <f t="shared" si="2"/>
        <v>0.26378227494766227</v>
      </c>
      <c r="AD39" s="208">
        <f t="shared" si="14"/>
        <v>59.805555555555557</v>
      </c>
      <c r="AE39" s="218">
        <v>20</v>
      </c>
      <c r="AF39" s="218">
        <v>95</v>
      </c>
      <c r="AG39" s="218">
        <v>115</v>
      </c>
      <c r="AH39" s="346">
        <v>22001.5</v>
      </c>
      <c r="AI39" s="350">
        <f t="shared" si="15"/>
        <v>605</v>
      </c>
    </row>
    <row r="40" spans="1:35" s="147" customFormat="1" x14ac:dyDescent="0.35">
      <c r="A40" s="147">
        <v>14</v>
      </c>
      <c r="B40" s="147">
        <f t="shared" si="4"/>
        <v>10</v>
      </c>
      <c r="C40" s="148">
        <v>45992</v>
      </c>
      <c r="D40" s="147" t="s">
        <v>74</v>
      </c>
      <c r="G40" s="148">
        <v>45998.583333333336</v>
      </c>
      <c r="H40" s="147" t="s">
        <v>75</v>
      </c>
      <c r="I40" s="149">
        <f t="shared" si="5"/>
        <v>425</v>
      </c>
      <c r="J40" s="33" t="str">
        <f t="shared" si="6"/>
        <v>Too early</v>
      </c>
      <c r="K40" s="34" t="str">
        <f t="shared" si="22"/>
        <v>Too early</v>
      </c>
      <c r="L40" s="35">
        <f t="shared" si="7"/>
        <v>22602.5</v>
      </c>
      <c r="M40" s="36">
        <f t="shared" si="8"/>
        <v>78333</v>
      </c>
      <c r="N40" s="196">
        <f t="shared" si="9"/>
        <v>0.28854378103736611</v>
      </c>
      <c r="O40" s="34" t="str">
        <f t="shared" si="10"/>
        <v>Too early</v>
      </c>
      <c r="P40" s="223">
        <v>425</v>
      </c>
      <c r="Q40" s="402">
        <f t="shared" si="23"/>
        <v>1218.05</v>
      </c>
      <c r="R40" s="209" t="str">
        <f>IF(B40&lt;7,(P40/VLOOKUP(B40,'Sales Pacing'!$A$23:$E$36,2)),"Too early")</f>
        <v>Too early</v>
      </c>
      <c r="S40" s="403" t="str">
        <f t="shared" si="24"/>
        <v>Too early</v>
      </c>
      <c r="T40" s="227">
        <v>22602.5</v>
      </c>
      <c r="U40" s="231">
        <v>78333</v>
      </c>
      <c r="V40" s="238">
        <f t="shared" si="12"/>
        <v>0.28854378103736611</v>
      </c>
      <c r="W40" s="210" t="str">
        <f t="shared" si="17"/>
        <v>Too early</v>
      </c>
      <c r="X40" s="223"/>
      <c r="Y40" s="227"/>
      <c r="Z40" s="231"/>
      <c r="AA40" s="210" t="str">
        <f t="shared" si="13"/>
        <v/>
      </c>
      <c r="AB40" s="234">
        <v>1433</v>
      </c>
      <c r="AC40" s="210">
        <f t="shared" si="2"/>
        <v>0.29658060013956733</v>
      </c>
      <c r="AD40" s="211">
        <f t="shared" si="14"/>
        <v>53.182352941176468</v>
      </c>
      <c r="AE40" s="219">
        <v>26</v>
      </c>
      <c r="AF40" s="219">
        <v>105</v>
      </c>
      <c r="AG40" s="219">
        <v>131</v>
      </c>
      <c r="AH40" s="348">
        <v>21652.5</v>
      </c>
      <c r="AI40" s="350">
        <f t="shared" si="15"/>
        <v>950</v>
      </c>
    </row>
    <row r="41" spans="1:35" s="143" customFormat="1" x14ac:dyDescent="0.35">
      <c r="A41" s="143">
        <v>15</v>
      </c>
      <c r="B41" s="143">
        <f t="shared" si="4"/>
        <v>11</v>
      </c>
      <c r="C41" s="144">
        <v>45999</v>
      </c>
      <c r="D41" s="143" t="s">
        <v>76</v>
      </c>
      <c r="G41" s="144">
        <v>46003.791666666664</v>
      </c>
      <c r="H41" s="143" t="s">
        <v>52</v>
      </c>
      <c r="I41" s="37">
        <f t="shared" si="5"/>
        <v>1049</v>
      </c>
      <c r="J41" s="38" t="str">
        <f t="shared" si="6"/>
        <v>Too early</v>
      </c>
      <c r="K41" s="31" t="str">
        <f t="shared" si="22"/>
        <v>Too early</v>
      </c>
      <c r="L41" s="39">
        <f t="shared" si="7"/>
        <v>107292</v>
      </c>
      <c r="M41" s="32">
        <f t="shared" si="8"/>
        <v>150000</v>
      </c>
      <c r="N41" s="195">
        <f t="shared" si="9"/>
        <v>0.71528000000000003</v>
      </c>
      <c r="O41" s="31" t="str">
        <f t="shared" si="10"/>
        <v>Too early</v>
      </c>
      <c r="P41" s="222">
        <v>1049</v>
      </c>
      <c r="Q41" s="387">
        <f t="shared" si="23"/>
        <v>1351.5</v>
      </c>
      <c r="R41" s="206" t="str">
        <f>IF(B41&lt;7,(P41/VLOOKUP(B41,'Sales Pacing'!$A$23:$E$36,2)),"Too early")</f>
        <v>Too early</v>
      </c>
      <c r="S41" s="386" t="str">
        <f t="shared" si="24"/>
        <v>Too early</v>
      </c>
      <c r="T41" s="354">
        <v>107292</v>
      </c>
      <c r="U41" s="230">
        <v>150000</v>
      </c>
      <c r="V41" s="237">
        <f t="shared" si="12"/>
        <v>0.71528000000000003</v>
      </c>
      <c r="W41" s="207" t="str">
        <f t="shared" si="17"/>
        <v>Too early</v>
      </c>
      <c r="X41" s="222"/>
      <c r="Y41" s="226"/>
      <c r="Z41" s="230"/>
      <c r="AA41" s="207" t="str">
        <f t="shared" si="13"/>
        <v/>
      </c>
      <c r="AB41" s="233">
        <v>1590</v>
      </c>
      <c r="AC41" s="207">
        <f t="shared" si="2"/>
        <v>0.65974842767295594</v>
      </c>
      <c r="AD41" s="208">
        <f t="shared" si="14"/>
        <v>102.28026692087703</v>
      </c>
      <c r="AE41" s="218">
        <v>87</v>
      </c>
      <c r="AF41" s="218">
        <v>264</v>
      </c>
      <c r="AG41" s="218">
        <v>351</v>
      </c>
      <c r="AH41" s="346">
        <v>103427</v>
      </c>
      <c r="AI41" s="350">
        <f t="shared" si="15"/>
        <v>3865</v>
      </c>
    </row>
    <row r="42" spans="1:35" s="147" customFormat="1" x14ac:dyDescent="0.35">
      <c r="A42" s="147">
        <v>15</v>
      </c>
      <c r="B42" s="147">
        <f t="shared" si="4"/>
        <v>11</v>
      </c>
      <c r="C42" s="148">
        <v>45999</v>
      </c>
      <c r="D42" s="147" t="s">
        <v>76</v>
      </c>
      <c r="G42" s="148">
        <v>46004.791666666664</v>
      </c>
      <c r="H42" s="147" t="s">
        <v>52</v>
      </c>
      <c r="I42" s="149">
        <f t="shared" si="5"/>
        <v>1285</v>
      </c>
      <c r="J42" s="33" t="str">
        <f t="shared" si="6"/>
        <v>Too early</v>
      </c>
      <c r="K42" s="34" t="str">
        <f t="shared" si="22"/>
        <v>Too early</v>
      </c>
      <c r="L42" s="35">
        <f t="shared" si="7"/>
        <v>127498.5</v>
      </c>
      <c r="M42" s="36">
        <f t="shared" si="8"/>
        <v>150000</v>
      </c>
      <c r="N42" s="196">
        <f t="shared" si="9"/>
        <v>0.84999000000000002</v>
      </c>
      <c r="O42" s="34" t="str">
        <f t="shared" si="10"/>
        <v>Too early</v>
      </c>
      <c r="P42" s="223">
        <v>1285</v>
      </c>
      <c r="Q42" s="402">
        <f t="shared" si="23"/>
        <v>1351.5</v>
      </c>
      <c r="R42" s="209" t="str">
        <f>IF(B42&lt;7,(P42/VLOOKUP(B42,'Sales Pacing'!$A$23:$E$36,2)),"Too early")</f>
        <v>Too early</v>
      </c>
      <c r="S42" s="403" t="str">
        <f t="shared" si="24"/>
        <v>Too early</v>
      </c>
      <c r="T42" s="355">
        <v>127498.5</v>
      </c>
      <c r="U42" s="231">
        <v>150000</v>
      </c>
      <c r="V42" s="238">
        <f t="shared" si="12"/>
        <v>0.84999000000000002</v>
      </c>
      <c r="W42" s="210" t="str">
        <f t="shared" si="17"/>
        <v>Too early</v>
      </c>
      <c r="X42" s="223"/>
      <c r="Y42" s="227"/>
      <c r="Z42" s="231"/>
      <c r="AA42" s="210" t="str">
        <f t="shared" si="13"/>
        <v/>
      </c>
      <c r="AB42" s="234">
        <v>1590</v>
      </c>
      <c r="AC42" s="210">
        <f t="shared" si="2"/>
        <v>0.80817610062893086</v>
      </c>
      <c r="AD42" s="211">
        <f t="shared" si="14"/>
        <v>99.22062256809339</v>
      </c>
      <c r="AE42" s="219">
        <v>128</v>
      </c>
      <c r="AF42" s="219">
        <v>291</v>
      </c>
      <c r="AG42" s="219">
        <v>419</v>
      </c>
      <c r="AH42" s="346">
        <v>123198</v>
      </c>
      <c r="AI42" s="350">
        <f t="shared" si="15"/>
        <v>4300.5</v>
      </c>
    </row>
    <row r="43" spans="1:35" s="143" customFormat="1" x14ac:dyDescent="0.35">
      <c r="A43" s="143">
        <v>16</v>
      </c>
      <c r="B43" s="143">
        <f t="shared" si="4"/>
        <v>12</v>
      </c>
      <c r="C43" s="144">
        <v>46006</v>
      </c>
      <c r="D43" s="143" t="s">
        <v>77</v>
      </c>
      <c r="G43" s="144">
        <v>46009.791666666664</v>
      </c>
      <c r="H43" s="143" t="s">
        <v>75</v>
      </c>
      <c r="I43" s="37">
        <f t="shared" si="5"/>
        <v>224</v>
      </c>
      <c r="J43" s="38" t="str">
        <f t="shared" si="6"/>
        <v>Too early</v>
      </c>
      <c r="K43" s="31" t="str">
        <f t="shared" si="22"/>
        <v>Too early</v>
      </c>
      <c r="L43" s="39">
        <f t="shared" si="7"/>
        <v>13589</v>
      </c>
      <c r="M43" s="32">
        <f t="shared" si="8"/>
        <v>75833</v>
      </c>
      <c r="N43" s="195">
        <f t="shared" si="9"/>
        <v>0.17919639207205307</v>
      </c>
      <c r="O43" s="31" t="str">
        <f t="shared" si="10"/>
        <v>Too early</v>
      </c>
      <c r="P43" s="222">
        <v>224</v>
      </c>
      <c r="Q43" s="387">
        <f t="shared" si="23"/>
        <v>1218.05</v>
      </c>
      <c r="R43" s="206" t="str">
        <f>IF(B43&lt;7,(P43/VLOOKUP(B43,'Sales Pacing'!$A$23:$E$36,2)),"Too early")</f>
        <v>Too early</v>
      </c>
      <c r="S43" s="386" t="str">
        <f t="shared" si="24"/>
        <v>Too early</v>
      </c>
      <c r="T43" s="226">
        <v>13589</v>
      </c>
      <c r="U43" s="230">
        <v>75833</v>
      </c>
      <c r="V43" s="237">
        <f t="shared" si="12"/>
        <v>0.17919639207205307</v>
      </c>
      <c r="W43" s="207" t="str">
        <f t="shared" si="17"/>
        <v>Too early</v>
      </c>
      <c r="X43" s="222"/>
      <c r="Y43" s="226"/>
      <c r="Z43" s="230"/>
      <c r="AA43" s="207" t="str">
        <f t="shared" si="13"/>
        <v/>
      </c>
      <c r="AB43" s="233">
        <v>1433</v>
      </c>
      <c r="AC43" s="207">
        <f t="shared" si="2"/>
        <v>0.15631542219120725</v>
      </c>
      <c r="AD43" s="208">
        <f t="shared" si="14"/>
        <v>60.665178571428569</v>
      </c>
      <c r="AE43" s="218"/>
      <c r="AF43" s="218"/>
      <c r="AG43" s="218"/>
      <c r="AH43" s="346">
        <v>13189</v>
      </c>
      <c r="AI43" s="350">
        <f t="shared" si="15"/>
        <v>400</v>
      </c>
    </row>
    <row r="44" spans="1:35" s="143" customFormat="1" x14ac:dyDescent="0.35">
      <c r="A44" s="143">
        <v>16</v>
      </c>
      <c r="B44" s="143">
        <f t="shared" si="4"/>
        <v>12</v>
      </c>
      <c r="C44" s="144">
        <v>46006</v>
      </c>
      <c r="D44" s="143" t="s">
        <v>77</v>
      </c>
      <c r="G44" s="144">
        <v>46010.791666666664</v>
      </c>
      <c r="H44" s="143" t="s">
        <v>75</v>
      </c>
      <c r="I44" s="37">
        <f t="shared" si="5"/>
        <v>200</v>
      </c>
      <c r="J44" s="38" t="str">
        <f t="shared" si="6"/>
        <v>Too early</v>
      </c>
      <c r="K44" s="31" t="str">
        <f t="shared" si="22"/>
        <v>Too early</v>
      </c>
      <c r="L44" s="39">
        <f t="shared" si="7"/>
        <v>12059.5</v>
      </c>
      <c r="M44" s="32">
        <f t="shared" si="8"/>
        <v>75833</v>
      </c>
      <c r="N44" s="195">
        <f t="shared" si="9"/>
        <v>0.15902707264647317</v>
      </c>
      <c r="O44" s="31" t="str">
        <f t="shared" si="10"/>
        <v>Too early</v>
      </c>
      <c r="P44" s="222">
        <v>200</v>
      </c>
      <c r="Q44" s="387">
        <f t="shared" si="23"/>
        <v>1218.05</v>
      </c>
      <c r="R44" s="206" t="str">
        <f>IF(B44&lt;7,(P44/VLOOKUP(B44,'Sales Pacing'!$A$23:$E$36,2)),"Too early")</f>
        <v>Too early</v>
      </c>
      <c r="S44" s="386" t="str">
        <f t="shared" si="24"/>
        <v>Too early</v>
      </c>
      <c r="T44" s="226">
        <v>12059.5</v>
      </c>
      <c r="U44" s="230">
        <v>75833</v>
      </c>
      <c r="V44" s="237">
        <f t="shared" si="12"/>
        <v>0.15902707264647317</v>
      </c>
      <c r="W44" s="207" t="str">
        <f t="shared" si="17"/>
        <v>Too early</v>
      </c>
      <c r="X44" s="222"/>
      <c r="Y44" s="226"/>
      <c r="Z44" s="230"/>
      <c r="AA44" s="207" t="str">
        <f t="shared" si="13"/>
        <v/>
      </c>
      <c r="AB44" s="233">
        <v>1433</v>
      </c>
      <c r="AC44" s="207">
        <f t="shared" si="2"/>
        <v>0.13956734124214934</v>
      </c>
      <c r="AD44" s="208">
        <f t="shared" si="14"/>
        <v>60.297499999999999</v>
      </c>
      <c r="AE44" s="218"/>
      <c r="AF44" s="218"/>
      <c r="AG44" s="218"/>
      <c r="AH44" s="346">
        <v>11666.5</v>
      </c>
      <c r="AI44" s="350">
        <f t="shared" si="15"/>
        <v>393</v>
      </c>
    </row>
    <row r="45" spans="1:35" s="143" customFormat="1" x14ac:dyDescent="0.35">
      <c r="A45" s="143">
        <v>16</v>
      </c>
      <c r="B45" s="143">
        <f t="shared" si="4"/>
        <v>12</v>
      </c>
      <c r="C45" s="144">
        <v>46006</v>
      </c>
      <c r="D45" s="143" t="s">
        <v>77</v>
      </c>
      <c r="G45" s="144">
        <v>46011.541666666664</v>
      </c>
      <c r="H45" s="143" t="s">
        <v>75</v>
      </c>
      <c r="I45" s="37">
        <f t="shared" si="5"/>
        <v>369</v>
      </c>
      <c r="J45" s="38" t="str">
        <f t="shared" si="6"/>
        <v>Too early</v>
      </c>
      <c r="K45" s="31" t="str">
        <f t="shared" si="22"/>
        <v>Too early</v>
      </c>
      <c r="L45" s="39">
        <f t="shared" si="7"/>
        <v>22722.5</v>
      </c>
      <c r="M45" s="32">
        <f t="shared" si="8"/>
        <v>75833</v>
      </c>
      <c r="N45" s="195">
        <f t="shared" si="9"/>
        <v>0.29963867973046038</v>
      </c>
      <c r="O45" s="31" t="str">
        <f t="shared" si="10"/>
        <v>Too early</v>
      </c>
      <c r="P45" s="222">
        <v>369</v>
      </c>
      <c r="Q45" s="387">
        <f t="shared" si="23"/>
        <v>1218.05</v>
      </c>
      <c r="R45" s="206" t="str">
        <f>IF(B45&lt;7,(P45/VLOOKUP(B45,'Sales Pacing'!$A$23:$E$36,2)),"Too early")</f>
        <v>Too early</v>
      </c>
      <c r="S45" s="386" t="str">
        <f t="shared" si="24"/>
        <v>Too early</v>
      </c>
      <c r="T45" s="226">
        <v>22722.5</v>
      </c>
      <c r="U45" s="230">
        <v>75833</v>
      </c>
      <c r="V45" s="237">
        <f t="shared" si="12"/>
        <v>0.29963867973046038</v>
      </c>
      <c r="W45" s="207" t="str">
        <f t="shared" si="17"/>
        <v>Too early</v>
      </c>
      <c r="X45" s="222"/>
      <c r="Y45" s="226"/>
      <c r="Z45" s="230"/>
      <c r="AA45" s="207" t="str">
        <f t="shared" si="13"/>
        <v/>
      </c>
      <c r="AB45" s="233">
        <v>1433</v>
      </c>
      <c r="AC45" s="207">
        <f t="shared" si="2"/>
        <v>0.2575017445917655</v>
      </c>
      <c r="AD45" s="208">
        <f t="shared" si="14"/>
        <v>61.578590785907856</v>
      </c>
      <c r="AE45" s="218"/>
      <c r="AF45" s="218"/>
      <c r="AG45" s="218"/>
      <c r="AH45" s="346">
        <v>21404.5</v>
      </c>
      <c r="AI45" s="350">
        <f t="shared" si="15"/>
        <v>1318</v>
      </c>
    </row>
    <row r="46" spans="1:35" s="143" customFormat="1" x14ac:dyDescent="0.35">
      <c r="A46" s="143">
        <v>16</v>
      </c>
      <c r="B46" s="143">
        <f t="shared" si="4"/>
        <v>12</v>
      </c>
      <c r="C46" s="144">
        <v>46006</v>
      </c>
      <c r="D46" s="143" t="s">
        <v>77</v>
      </c>
      <c r="G46" s="144">
        <v>46011.791666666664</v>
      </c>
      <c r="H46" s="143" t="s">
        <v>75</v>
      </c>
      <c r="I46" s="37">
        <f t="shared" si="5"/>
        <v>263</v>
      </c>
      <c r="J46" s="38" t="str">
        <f t="shared" si="6"/>
        <v>Too early</v>
      </c>
      <c r="K46" s="31" t="str">
        <f t="shared" si="22"/>
        <v>Too early</v>
      </c>
      <c r="L46" s="39">
        <f t="shared" si="7"/>
        <v>16417</v>
      </c>
      <c r="M46" s="32">
        <f t="shared" si="8"/>
        <v>75833</v>
      </c>
      <c r="N46" s="195">
        <f t="shared" si="9"/>
        <v>0.2164888636873129</v>
      </c>
      <c r="O46" s="31" t="str">
        <f t="shared" si="10"/>
        <v>Too early</v>
      </c>
      <c r="P46" s="222">
        <v>263</v>
      </c>
      <c r="Q46" s="387">
        <f t="shared" si="23"/>
        <v>1218.05</v>
      </c>
      <c r="R46" s="206" t="str">
        <f>IF(B46&lt;7,(P46/VLOOKUP(B46,'Sales Pacing'!$A$23:$E$36,2)),"Too early")</f>
        <v>Too early</v>
      </c>
      <c r="S46" s="386" t="str">
        <f t="shared" si="24"/>
        <v>Too early</v>
      </c>
      <c r="T46" s="226">
        <v>16417</v>
      </c>
      <c r="U46" s="230">
        <v>75833</v>
      </c>
      <c r="V46" s="237">
        <f t="shared" si="12"/>
        <v>0.2164888636873129</v>
      </c>
      <c r="W46" s="207" t="str">
        <f t="shared" si="17"/>
        <v>Too early</v>
      </c>
      <c r="X46" s="222"/>
      <c r="Y46" s="226"/>
      <c r="Z46" s="230"/>
      <c r="AA46" s="207" t="str">
        <f t="shared" si="13"/>
        <v/>
      </c>
      <c r="AB46" s="233">
        <v>1433</v>
      </c>
      <c r="AC46" s="207">
        <f t="shared" si="2"/>
        <v>0.18353105373342637</v>
      </c>
      <c r="AD46" s="208">
        <f t="shared" si="14"/>
        <v>62.422053231939167</v>
      </c>
      <c r="AE46" s="218"/>
      <c r="AF46" s="218"/>
      <c r="AG46" s="218"/>
      <c r="AH46" s="346">
        <v>13817</v>
      </c>
      <c r="AI46" s="350">
        <f t="shared" si="15"/>
        <v>2600</v>
      </c>
    </row>
    <row r="47" spans="1:35" s="143" customFormat="1" x14ac:dyDescent="0.35">
      <c r="A47" s="143">
        <v>16</v>
      </c>
      <c r="B47" s="143">
        <f t="shared" si="4"/>
        <v>12</v>
      </c>
      <c r="C47" s="144">
        <v>46006</v>
      </c>
      <c r="D47" s="143" t="s">
        <v>77</v>
      </c>
      <c r="G47" s="144">
        <v>46012.583333333336</v>
      </c>
      <c r="H47" s="143" t="s">
        <v>75</v>
      </c>
      <c r="I47" s="37">
        <f t="shared" si="5"/>
        <v>616</v>
      </c>
      <c r="J47" s="38" t="str">
        <f t="shared" si="6"/>
        <v>Too early</v>
      </c>
      <c r="K47" s="31" t="str">
        <f t="shared" si="22"/>
        <v>Too early</v>
      </c>
      <c r="L47" s="39">
        <f t="shared" si="7"/>
        <v>25193</v>
      </c>
      <c r="M47" s="32">
        <f t="shared" si="8"/>
        <v>88284</v>
      </c>
      <c r="N47" s="195">
        <f t="shared" si="9"/>
        <v>0.28536314620995878</v>
      </c>
      <c r="O47" s="31" t="str">
        <f t="shared" si="10"/>
        <v>Too early</v>
      </c>
      <c r="P47" s="222">
        <v>315</v>
      </c>
      <c r="Q47" s="387">
        <f t="shared" si="23"/>
        <v>962.19999999999993</v>
      </c>
      <c r="R47" s="206" t="str">
        <f>IF(B47&lt;7,(P47/VLOOKUP(B47,'Sales Pacing'!$A$23:$E$36,2)),"Too early")</f>
        <v>Too early</v>
      </c>
      <c r="S47" s="386" t="str">
        <f t="shared" si="24"/>
        <v>Too early</v>
      </c>
      <c r="T47" s="226">
        <v>18516</v>
      </c>
      <c r="U47" s="230">
        <v>75834</v>
      </c>
      <c r="V47" s="237">
        <f t="shared" si="12"/>
        <v>0.24416488646253659</v>
      </c>
      <c r="W47" s="207" t="str">
        <f t="shared" si="17"/>
        <v>Too early</v>
      </c>
      <c r="X47" s="222">
        <v>301</v>
      </c>
      <c r="Y47" s="226">
        <v>6677</v>
      </c>
      <c r="Z47" s="230">
        <v>12450</v>
      </c>
      <c r="AA47" s="207">
        <f t="shared" si="13"/>
        <v>0.53630522088353416</v>
      </c>
      <c r="AB47" s="233">
        <v>1433</v>
      </c>
      <c r="AC47" s="207">
        <f t="shared" si="2"/>
        <v>0.42986741102581993</v>
      </c>
      <c r="AD47" s="208">
        <f t="shared" si="14"/>
        <v>40.897727272727273</v>
      </c>
      <c r="AE47" s="218"/>
      <c r="AF47" s="218"/>
      <c r="AG47" s="218"/>
      <c r="AH47" s="346">
        <v>23553</v>
      </c>
      <c r="AI47" s="350">
        <f t="shared" si="15"/>
        <v>1640</v>
      </c>
    </row>
    <row r="48" spans="1:35" s="147" customFormat="1" x14ac:dyDescent="0.35">
      <c r="A48" s="147">
        <v>16</v>
      </c>
      <c r="B48" s="147">
        <f t="shared" si="4"/>
        <v>12</v>
      </c>
      <c r="C48" s="148">
        <v>46006</v>
      </c>
      <c r="D48" s="147" t="s">
        <v>77</v>
      </c>
      <c r="G48" s="148">
        <v>46012.791666666664</v>
      </c>
      <c r="H48" s="147" t="s">
        <v>75</v>
      </c>
      <c r="I48" s="149">
        <f t="shared" si="5"/>
        <v>148</v>
      </c>
      <c r="J48" s="33" t="str">
        <f t="shared" si="6"/>
        <v>Too early</v>
      </c>
      <c r="K48" s="34" t="str">
        <f t="shared" si="22"/>
        <v>Too early</v>
      </c>
      <c r="L48" s="35">
        <f t="shared" si="7"/>
        <v>8641</v>
      </c>
      <c r="M48" s="36">
        <f t="shared" si="8"/>
        <v>75834</v>
      </c>
      <c r="N48" s="196">
        <f t="shared" si="9"/>
        <v>0.11394625102196904</v>
      </c>
      <c r="O48" s="34" t="str">
        <f t="shared" si="10"/>
        <v>Too early</v>
      </c>
      <c r="P48" s="223">
        <v>148</v>
      </c>
      <c r="Q48" s="402">
        <f t="shared" si="23"/>
        <v>1218.05</v>
      </c>
      <c r="R48" s="209" t="str">
        <f>IF(B48&lt;7,(P48/VLOOKUP(B48,'Sales Pacing'!$A$23:$E$36,2)),"Too early")</f>
        <v>Too early</v>
      </c>
      <c r="S48" s="403" t="str">
        <f t="shared" si="24"/>
        <v>Too early</v>
      </c>
      <c r="T48" s="227">
        <v>8641</v>
      </c>
      <c r="U48" s="231">
        <v>75834</v>
      </c>
      <c r="V48" s="238">
        <f t="shared" si="12"/>
        <v>0.11394625102196904</v>
      </c>
      <c r="W48" s="210" t="str">
        <f t="shared" si="17"/>
        <v>Too early</v>
      </c>
      <c r="X48" s="223"/>
      <c r="Y48" s="227"/>
      <c r="Z48" s="231"/>
      <c r="AA48" s="210" t="str">
        <f t="shared" si="13"/>
        <v/>
      </c>
      <c r="AB48" s="234">
        <v>1433</v>
      </c>
      <c r="AC48" s="210">
        <f t="shared" si="2"/>
        <v>0.10327983251919051</v>
      </c>
      <c r="AD48" s="211">
        <f t="shared" si="14"/>
        <v>58.385135135135137</v>
      </c>
      <c r="AE48" s="219"/>
      <c r="AF48" s="219"/>
      <c r="AG48" s="219"/>
      <c r="AH48" s="348">
        <v>7896</v>
      </c>
      <c r="AI48" s="350">
        <f t="shared" si="15"/>
        <v>745</v>
      </c>
    </row>
    <row r="49" spans="1:35" s="143" customFormat="1" x14ac:dyDescent="0.35">
      <c r="A49" s="143">
        <v>17</v>
      </c>
      <c r="B49" s="143">
        <f t="shared" si="4"/>
        <v>13</v>
      </c>
      <c r="C49" s="144">
        <v>46013</v>
      </c>
      <c r="D49" s="143" t="s">
        <v>78</v>
      </c>
      <c r="G49" s="144">
        <v>46014.791666666664</v>
      </c>
      <c r="H49" s="143" t="s">
        <v>64</v>
      </c>
      <c r="I49" s="37">
        <f t="shared" si="5"/>
        <v>885</v>
      </c>
      <c r="J49" s="38" t="str">
        <f t="shared" si="6"/>
        <v>Too early</v>
      </c>
      <c r="K49" s="31" t="str">
        <f t="shared" si="22"/>
        <v>Too early</v>
      </c>
      <c r="L49" s="39">
        <f t="shared" si="7"/>
        <v>69185.600000000006</v>
      </c>
      <c r="M49" s="32">
        <f t="shared" si="8"/>
        <v>100000</v>
      </c>
      <c r="N49" s="195">
        <f t="shared" si="9"/>
        <v>0.69185600000000003</v>
      </c>
      <c r="O49" s="31" t="str">
        <f t="shared" si="10"/>
        <v>Too early</v>
      </c>
      <c r="P49" s="242">
        <v>885</v>
      </c>
      <c r="Q49" s="387">
        <f t="shared" si="23"/>
        <v>1106.7</v>
      </c>
      <c r="R49" s="206" t="str">
        <f>IF(B49&lt;7,(P49/VLOOKUP(B49,'Sales Pacing'!$A$23:$E$36,2)),"Too early")</f>
        <v>Too early</v>
      </c>
      <c r="S49" s="386" t="str">
        <f t="shared" si="24"/>
        <v>Too early</v>
      </c>
      <c r="T49" s="226">
        <v>69185.600000000006</v>
      </c>
      <c r="U49" s="230">
        <v>100000</v>
      </c>
      <c r="V49" s="237">
        <f t="shared" si="12"/>
        <v>0.69185600000000003</v>
      </c>
      <c r="W49" s="207" t="str">
        <f t="shared" si="17"/>
        <v>Too early</v>
      </c>
      <c r="X49" s="222"/>
      <c r="Y49" s="226"/>
      <c r="Z49" s="230"/>
      <c r="AA49" s="207" t="str">
        <f t="shared" si="13"/>
        <v/>
      </c>
      <c r="AB49" s="233">
        <v>1302</v>
      </c>
      <c r="AC49" s="207">
        <f t="shared" si="2"/>
        <v>0.67972350230414746</v>
      </c>
      <c r="AD49" s="208">
        <f t="shared" si="14"/>
        <v>78.17581920903956</v>
      </c>
      <c r="AE49" s="218"/>
      <c r="AF49" s="218"/>
      <c r="AG49" s="218"/>
      <c r="AH49" s="346">
        <v>66653.600000000006</v>
      </c>
      <c r="AI49" s="350">
        <f t="shared" si="15"/>
        <v>2532</v>
      </c>
    </row>
    <row r="50" spans="1:35" s="147" customFormat="1" x14ac:dyDescent="0.35">
      <c r="A50" s="147">
        <v>17</v>
      </c>
      <c r="B50" s="147">
        <f t="shared" si="4"/>
        <v>13</v>
      </c>
      <c r="C50" s="148">
        <v>46013</v>
      </c>
      <c r="D50" s="147" t="s">
        <v>78</v>
      </c>
      <c r="G50" s="148">
        <v>46015.458333333336</v>
      </c>
      <c r="H50" s="147" t="s">
        <v>64</v>
      </c>
      <c r="I50" s="149">
        <f t="shared" si="5"/>
        <v>221</v>
      </c>
      <c r="J50" s="33" t="str">
        <f t="shared" si="6"/>
        <v>Too early</v>
      </c>
      <c r="K50" s="34" t="str">
        <f t="shared" si="22"/>
        <v>Too early</v>
      </c>
      <c r="L50" s="35">
        <f t="shared" si="7"/>
        <v>15120.4</v>
      </c>
      <c r="M50" s="36">
        <f t="shared" si="8"/>
        <v>100000</v>
      </c>
      <c r="N50" s="196">
        <f t="shared" si="9"/>
        <v>0.15120400000000001</v>
      </c>
      <c r="O50" s="34" t="str">
        <f t="shared" si="10"/>
        <v>Too early</v>
      </c>
      <c r="P50" s="244">
        <v>221</v>
      </c>
      <c r="Q50" s="387">
        <f t="shared" si="23"/>
        <v>1106.7</v>
      </c>
      <c r="R50" s="209" t="str">
        <f>IF(B50&lt;7,(P50/VLOOKUP(B50,'Sales Pacing'!$A$23:$E$36,2)),"Too early")</f>
        <v>Too early</v>
      </c>
      <c r="S50" s="386" t="str">
        <f t="shared" si="24"/>
        <v>Too early</v>
      </c>
      <c r="T50" s="227">
        <v>15120.4</v>
      </c>
      <c r="U50" s="231">
        <v>100000</v>
      </c>
      <c r="V50" s="238">
        <f t="shared" si="12"/>
        <v>0.15120400000000001</v>
      </c>
      <c r="W50" s="210" t="str">
        <f t="shared" si="17"/>
        <v>Too early</v>
      </c>
      <c r="X50" s="223"/>
      <c r="Y50" s="227"/>
      <c r="Z50" s="231"/>
      <c r="AA50" s="210" t="str">
        <f t="shared" si="13"/>
        <v/>
      </c>
      <c r="AB50" s="234">
        <v>1302</v>
      </c>
      <c r="AC50" s="207">
        <f t="shared" si="2"/>
        <v>0.16973886328725038</v>
      </c>
      <c r="AD50" s="211">
        <f t="shared" si="14"/>
        <v>68.418099547511304</v>
      </c>
      <c r="AE50" s="219"/>
      <c r="AF50" s="219"/>
      <c r="AG50" s="219"/>
      <c r="AH50" s="348">
        <v>14364.4</v>
      </c>
      <c r="AI50" s="350">
        <f t="shared" si="15"/>
        <v>756</v>
      </c>
    </row>
    <row r="51" spans="1:35" s="186" customFormat="1" x14ac:dyDescent="0.35">
      <c r="A51" s="186">
        <v>18</v>
      </c>
      <c r="B51" s="186">
        <f t="shared" si="4"/>
        <v>14</v>
      </c>
      <c r="C51" s="187">
        <v>46020</v>
      </c>
      <c r="D51" s="186" t="s">
        <v>71</v>
      </c>
      <c r="G51" s="198"/>
      <c r="H51" s="199"/>
      <c r="I51" s="200">
        <f t="shared" si="5"/>
        <v>0</v>
      </c>
      <c r="J51" s="201" t="str">
        <f t="shared" si="6"/>
        <v>Too early</v>
      </c>
      <c r="K51" s="202"/>
      <c r="L51" s="203">
        <f t="shared" si="7"/>
        <v>0</v>
      </c>
      <c r="M51" s="204">
        <f t="shared" si="8"/>
        <v>0</v>
      </c>
      <c r="N51" s="205" t="e">
        <f t="shared" si="9"/>
        <v>#DIV/0!</v>
      </c>
      <c r="O51" s="202"/>
      <c r="P51" s="224"/>
      <c r="Q51" s="224"/>
      <c r="R51" s="212" t="str">
        <f>IF(B51&lt;7,(P51/VLOOKUP(B51,'Sales Pacing'!$A$23:$E$36,2)),"Too early")</f>
        <v>Too early</v>
      </c>
      <c r="S51" s="212"/>
      <c r="T51" s="228"/>
      <c r="U51" s="228"/>
      <c r="V51" s="239" t="str">
        <f t="shared" si="12"/>
        <v/>
      </c>
      <c r="W51" s="213"/>
      <c r="X51" s="224"/>
      <c r="Y51" s="228"/>
      <c r="Z51" s="228"/>
      <c r="AA51" s="213" t="s">
        <v>55</v>
      </c>
      <c r="AB51" s="224"/>
      <c r="AC51" s="213" t="e">
        <f t="shared" ref="AC51:AC87" si="25">I51/AB51</f>
        <v>#DIV/0!</v>
      </c>
      <c r="AD51" s="214" t="e">
        <f t="shared" si="14"/>
        <v>#DIV/0!</v>
      </c>
      <c r="AE51" s="220"/>
      <c r="AF51" s="220"/>
      <c r="AG51" s="220"/>
      <c r="AH51" s="347">
        <v>0</v>
      </c>
    </row>
    <row r="52" spans="1:35" s="143" customFormat="1" x14ac:dyDescent="0.35">
      <c r="A52" s="143">
        <v>19</v>
      </c>
      <c r="B52" s="143">
        <f t="shared" si="4"/>
        <v>15</v>
      </c>
      <c r="C52" s="144">
        <v>46027</v>
      </c>
      <c r="D52" s="143" t="s">
        <v>79</v>
      </c>
      <c r="G52" s="144">
        <v>46031.833333333336</v>
      </c>
      <c r="H52" s="143" t="s">
        <v>62</v>
      </c>
      <c r="I52" s="37">
        <f t="shared" si="5"/>
        <v>604</v>
      </c>
      <c r="J52" s="38" t="str">
        <f t="shared" si="6"/>
        <v>Too early</v>
      </c>
      <c r="K52" s="31" t="str">
        <f t="shared" ref="K52:K77" si="26">IF(J52="Too early",J52,J52/AB52)</f>
        <v>Too early</v>
      </c>
      <c r="L52" s="39">
        <f t="shared" si="7"/>
        <v>39771</v>
      </c>
      <c r="M52" s="32">
        <f t="shared" si="8"/>
        <v>54999</v>
      </c>
      <c r="N52" s="195">
        <f t="shared" si="9"/>
        <v>0.7231222385861561</v>
      </c>
      <c r="O52" s="31" t="str">
        <f t="shared" si="10"/>
        <v>Too early</v>
      </c>
      <c r="P52" s="222">
        <v>31</v>
      </c>
      <c r="Q52" s="387">
        <f t="shared" ref="Q52:Q77" si="27">(AB52-X52)*0.85</f>
        <v>864.44999999999993</v>
      </c>
      <c r="R52" s="206" t="str">
        <f>IF(B52&lt;7,(P52/VLOOKUP(B52,'Sales Pacing'!$A$23:$E$36,2)),"Too early")</f>
        <v>Too early</v>
      </c>
      <c r="S52" s="386" t="str">
        <f t="shared" ref="S52:S77" si="28">IF(R52="Too early","Too early",R52/Q52)</f>
        <v>Too early</v>
      </c>
      <c r="T52" s="226">
        <v>1334</v>
      </c>
      <c r="U52" s="230">
        <v>21666</v>
      </c>
      <c r="V52" s="237">
        <f t="shared" si="12"/>
        <v>6.1571125265392782E-2</v>
      </c>
      <c r="W52" s="207" t="str">
        <f t="shared" si="17"/>
        <v>Too early</v>
      </c>
      <c r="X52" s="222">
        <v>573</v>
      </c>
      <c r="Y52" s="226">
        <v>38437</v>
      </c>
      <c r="Z52" s="230">
        <v>33333</v>
      </c>
      <c r="AA52" s="207">
        <f t="shared" si="13"/>
        <v>1.1531215312153122</v>
      </c>
      <c r="AB52" s="233">
        <v>1590</v>
      </c>
      <c r="AC52" s="207">
        <f t="shared" si="2"/>
        <v>0.37987421383647801</v>
      </c>
      <c r="AD52" s="208">
        <f t="shared" si="14"/>
        <v>65.846026490066222</v>
      </c>
      <c r="AE52" s="218"/>
      <c r="AF52" s="218"/>
      <c r="AG52" s="218"/>
      <c r="AH52" s="346">
        <v>39591</v>
      </c>
      <c r="AI52" s="350">
        <f t="shared" si="15"/>
        <v>180</v>
      </c>
    </row>
    <row r="53" spans="1:35" s="143" customFormat="1" x14ac:dyDescent="0.35">
      <c r="A53" s="143">
        <v>19</v>
      </c>
      <c r="B53" s="143">
        <f t="shared" si="4"/>
        <v>15</v>
      </c>
      <c r="C53" s="144">
        <v>46027</v>
      </c>
      <c r="D53" s="143" t="s">
        <v>80</v>
      </c>
      <c r="G53" s="144">
        <v>46032.833333333336</v>
      </c>
      <c r="H53" s="143" t="s">
        <v>62</v>
      </c>
      <c r="I53" s="37">
        <f t="shared" si="5"/>
        <v>630</v>
      </c>
      <c r="J53" s="38" t="str">
        <f t="shared" si="6"/>
        <v>Too early</v>
      </c>
      <c r="K53" s="31" t="str">
        <f t="shared" si="26"/>
        <v>Too early</v>
      </c>
      <c r="L53" s="39">
        <f t="shared" si="7"/>
        <v>40664</v>
      </c>
      <c r="M53" s="32">
        <f t="shared" si="8"/>
        <v>54999</v>
      </c>
      <c r="N53" s="195">
        <f t="shared" si="9"/>
        <v>0.73935889743449879</v>
      </c>
      <c r="O53" s="31" t="str">
        <f t="shared" si="10"/>
        <v>Too early</v>
      </c>
      <c r="P53" s="222">
        <v>73</v>
      </c>
      <c r="Q53" s="387">
        <f t="shared" si="27"/>
        <v>878.05</v>
      </c>
      <c r="R53" s="206" t="str">
        <f>IF(B53&lt;7,(P53/VLOOKUP(B53,'Sales Pacing'!$A$23:$E$36,2)),"Too early")</f>
        <v>Too early</v>
      </c>
      <c r="S53" s="386" t="str">
        <f t="shared" si="28"/>
        <v>Too early</v>
      </c>
      <c r="T53" s="226">
        <v>4273</v>
      </c>
      <c r="U53" s="230">
        <v>21666</v>
      </c>
      <c r="V53" s="237">
        <f t="shared" si="12"/>
        <v>0.19722145296778362</v>
      </c>
      <c r="W53" s="207" t="str">
        <f t="shared" si="17"/>
        <v>Too early</v>
      </c>
      <c r="X53" s="222">
        <v>557</v>
      </c>
      <c r="Y53" s="226">
        <v>36391</v>
      </c>
      <c r="Z53" s="230">
        <v>33333</v>
      </c>
      <c r="AA53" s="207">
        <f t="shared" si="13"/>
        <v>1.0917409174091741</v>
      </c>
      <c r="AB53" s="233">
        <v>1590</v>
      </c>
      <c r="AC53" s="207">
        <f t="shared" si="2"/>
        <v>0.39622641509433965</v>
      </c>
      <c r="AD53" s="208">
        <f t="shared" si="14"/>
        <v>64.546031746031744</v>
      </c>
      <c r="AE53" s="218"/>
      <c r="AF53" s="218"/>
      <c r="AG53" s="218"/>
      <c r="AH53" s="346">
        <v>40128</v>
      </c>
      <c r="AI53" s="350">
        <f t="shared" si="15"/>
        <v>536</v>
      </c>
    </row>
    <row r="54" spans="1:35" s="147" customFormat="1" x14ac:dyDescent="0.35">
      <c r="A54" s="147">
        <v>19</v>
      </c>
      <c r="B54" s="147">
        <f t="shared" si="4"/>
        <v>15</v>
      </c>
      <c r="C54" s="148">
        <v>46027</v>
      </c>
      <c r="D54" s="379" t="s">
        <v>81</v>
      </c>
      <c r="G54" s="148">
        <v>46033.583333333336</v>
      </c>
      <c r="H54" s="147" t="s">
        <v>62</v>
      </c>
      <c r="I54" s="149">
        <f t="shared" si="5"/>
        <v>626</v>
      </c>
      <c r="J54" s="33" t="str">
        <f t="shared" si="6"/>
        <v>Too early</v>
      </c>
      <c r="K54" s="34" t="str">
        <f t="shared" si="26"/>
        <v>Too early</v>
      </c>
      <c r="L54" s="35">
        <f t="shared" si="7"/>
        <v>39937.5</v>
      </c>
      <c r="M54" s="36">
        <f t="shared" si="8"/>
        <v>55000</v>
      </c>
      <c r="N54" s="196">
        <f t="shared" si="9"/>
        <v>0.72613636363636369</v>
      </c>
      <c r="O54" s="34" t="str">
        <f t="shared" si="10"/>
        <v>Too early</v>
      </c>
      <c r="P54" s="223">
        <v>55</v>
      </c>
      <c r="Q54" s="402">
        <f t="shared" si="27"/>
        <v>866.15</v>
      </c>
      <c r="R54" s="209" t="str">
        <f>IF(B54&lt;7,(P54/VLOOKUP(B54,'Sales Pacing'!$A$23:$E$36,2)),"Too early")</f>
        <v>Too early</v>
      </c>
      <c r="S54" s="403" t="str">
        <f t="shared" si="28"/>
        <v>Too early</v>
      </c>
      <c r="T54" s="227">
        <v>3188</v>
      </c>
      <c r="U54" s="231">
        <v>21666</v>
      </c>
      <c r="V54" s="238">
        <f t="shared" si="12"/>
        <v>0.1471429890150466</v>
      </c>
      <c r="W54" s="210" t="str">
        <f t="shared" si="17"/>
        <v>Too early</v>
      </c>
      <c r="X54" s="223">
        <v>571</v>
      </c>
      <c r="Y54" s="227">
        <v>36749.5</v>
      </c>
      <c r="Z54" s="231">
        <v>33334</v>
      </c>
      <c r="AA54" s="210">
        <f t="shared" si="13"/>
        <v>1.1024629507409851</v>
      </c>
      <c r="AB54" s="234">
        <v>1590</v>
      </c>
      <c r="AC54" s="210">
        <f t="shared" si="2"/>
        <v>0.39371069182389939</v>
      </c>
      <c r="AD54" s="211">
        <f t="shared" si="14"/>
        <v>63.797923322683708</v>
      </c>
      <c r="AE54" s="219"/>
      <c r="AF54" s="219"/>
      <c r="AG54" s="219"/>
      <c r="AH54" s="348">
        <v>39791.5</v>
      </c>
      <c r="AI54" s="350">
        <f t="shared" si="15"/>
        <v>146</v>
      </c>
    </row>
    <row r="55" spans="1:35" s="143" customFormat="1" x14ac:dyDescent="0.35">
      <c r="A55" s="143">
        <v>20</v>
      </c>
      <c r="B55" s="143">
        <f t="shared" si="4"/>
        <v>16</v>
      </c>
      <c r="C55" s="177">
        <v>46034</v>
      </c>
      <c r="D55" s="178" t="s">
        <v>82</v>
      </c>
      <c r="E55" s="178"/>
      <c r="F55" s="178"/>
      <c r="G55" s="177">
        <v>46038.833333333336</v>
      </c>
      <c r="H55" s="178" t="s">
        <v>62</v>
      </c>
      <c r="I55" s="37">
        <f t="shared" si="5"/>
        <v>419</v>
      </c>
      <c r="J55" s="38" t="str">
        <f t="shared" si="6"/>
        <v>Too early</v>
      </c>
      <c r="K55" s="31" t="str">
        <f t="shared" si="26"/>
        <v>Too early</v>
      </c>
      <c r="L55" s="39">
        <f t="shared" si="7"/>
        <v>28302</v>
      </c>
      <c r="M55" s="32">
        <f t="shared" si="8"/>
        <v>60000</v>
      </c>
      <c r="N55" s="195">
        <f t="shared" si="9"/>
        <v>0.47170000000000001</v>
      </c>
      <c r="O55" s="31" t="str">
        <f t="shared" si="10"/>
        <v>Too early</v>
      </c>
      <c r="P55" s="242">
        <v>51</v>
      </c>
      <c r="Q55" s="387">
        <f t="shared" si="27"/>
        <v>1038.7</v>
      </c>
      <c r="R55" s="206" t="str">
        <f>IF(B55&lt;7,(P55/VLOOKUP(B55,'Sales Pacing'!$A$23:$E$36,2)),"Too early")</f>
        <v>Too early</v>
      </c>
      <c r="S55" s="386" t="str">
        <f t="shared" si="28"/>
        <v>Too early</v>
      </c>
      <c r="T55" s="226">
        <v>2960</v>
      </c>
      <c r="U55" s="230">
        <v>30000</v>
      </c>
      <c r="V55" s="237">
        <f t="shared" si="12"/>
        <v>9.8666666666666666E-2</v>
      </c>
      <c r="W55" s="207" t="str">
        <f t="shared" si="17"/>
        <v>Too early</v>
      </c>
      <c r="X55" s="222">
        <v>368</v>
      </c>
      <c r="Y55" s="226">
        <v>25342</v>
      </c>
      <c r="Z55" s="230">
        <v>30000</v>
      </c>
      <c r="AA55" s="207">
        <f t="shared" si="13"/>
        <v>0.84473333333333334</v>
      </c>
      <c r="AB55" s="233">
        <v>1590</v>
      </c>
      <c r="AC55" s="207">
        <f t="shared" si="2"/>
        <v>0.26352201257861635</v>
      </c>
      <c r="AD55" s="208">
        <f t="shared" si="14"/>
        <v>67.546539379474936</v>
      </c>
      <c r="AE55" s="218"/>
      <c r="AF55" s="218"/>
      <c r="AG55" s="218"/>
      <c r="AH55" s="346">
        <v>28243</v>
      </c>
      <c r="AI55" s="350">
        <f t="shared" si="15"/>
        <v>59</v>
      </c>
    </row>
    <row r="56" spans="1:35" s="143" customFormat="1" x14ac:dyDescent="0.35">
      <c r="A56" s="143">
        <v>20</v>
      </c>
      <c r="B56" s="143">
        <f t="shared" si="4"/>
        <v>16</v>
      </c>
      <c r="C56" s="144">
        <v>46034</v>
      </c>
      <c r="D56" s="143" t="s">
        <v>82</v>
      </c>
      <c r="G56" s="144">
        <v>46039.833333333336</v>
      </c>
      <c r="H56" s="143" t="s">
        <v>62</v>
      </c>
      <c r="I56" s="37">
        <f t="shared" si="5"/>
        <v>726</v>
      </c>
      <c r="J56" s="38" t="str">
        <f t="shared" si="6"/>
        <v>Too early</v>
      </c>
      <c r="K56" s="31" t="str">
        <f t="shared" si="26"/>
        <v>Too early</v>
      </c>
      <c r="L56" s="39">
        <f t="shared" si="7"/>
        <v>47864.9</v>
      </c>
      <c r="M56" s="32">
        <f t="shared" si="8"/>
        <v>75000</v>
      </c>
      <c r="N56" s="195">
        <f t="shared" si="9"/>
        <v>0.63819866666666669</v>
      </c>
      <c r="O56" s="31" t="str">
        <f t="shared" si="10"/>
        <v>Too early</v>
      </c>
      <c r="P56" s="242">
        <v>126</v>
      </c>
      <c r="Q56" s="387">
        <f t="shared" si="27"/>
        <v>841.5</v>
      </c>
      <c r="R56" s="206" t="str">
        <f>IF(B56&lt;7,(P56/VLOOKUP(B56,'Sales Pacing'!$A$23:$E$36,2)),"Too early")</f>
        <v>Too early</v>
      </c>
      <c r="S56" s="386" t="str">
        <f t="shared" si="28"/>
        <v>Too early</v>
      </c>
      <c r="T56" s="226">
        <v>7358</v>
      </c>
      <c r="U56" s="230">
        <v>20000</v>
      </c>
      <c r="V56" s="237">
        <f t="shared" si="12"/>
        <v>0.3679</v>
      </c>
      <c r="W56" s="207" t="str">
        <f t="shared" si="17"/>
        <v>Too early</v>
      </c>
      <c r="X56" s="222">
        <v>600</v>
      </c>
      <c r="Y56" s="226">
        <v>40506.9</v>
      </c>
      <c r="Z56" s="230">
        <v>55000</v>
      </c>
      <c r="AA56" s="207">
        <f t="shared" si="13"/>
        <v>0.73648909090909098</v>
      </c>
      <c r="AB56" s="233">
        <v>1590</v>
      </c>
      <c r="AC56" s="207">
        <f t="shared" si="2"/>
        <v>0.45660377358490567</v>
      </c>
      <c r="AD56" s="208">
        <f t="shared" si="14"/>
        <v>65.929614325068869</v>
      </c>
      <c r="AE56" s="218"/>
      <c r="AF56" s="218"/>
      <c r="AG56" s="218"/>
      <c r="AH56" s="346">
        <v>47394.9</v>
      </c>
      <c r="AI56" s="350">
        <f t="shared" si="15"/>
        <v>470</v>
      </c>
    </row>
    <row r="57" spans="1:35" s="147" customFormat="1" x14ac:dyDescent="0.35">
      <c r="A57" s="147">
        <v>20</v>
      </c>
      <c r="B57" s="147">
        <f t="shared" si="4"/>
        <v>16</v>
      </c>
      <c r="C57" s="148">
        <v>46034</v>
      </c>
      <c r="D57" s="147" t="s">
        <v>82</v>
      </c>
      <c r="G57" s="148">
        <v>46040.583333333336</v>
      </c>
      <c r="H57" s="147" t="s">
        <v>62</v>
      </c>
      <c r="I57" s="149">
        <f t="shared" si="5"/>
        <v>701</v>
      </c>
      <c r="J57" s="33" t="str">
        <f t="shared" si="6"/>
        <v>Too early</v>
      </c>
      <c r="K57" s="34" t="str">
        <f t="shared" si="26"/>
        <v>Too early</v>
      </c>
      <c r="L57" s="35">
        <f t="shared" si="7"/>
        <v>44947.199999999997</v>
      </c>
      <c r="M57" s="36">
        <f t="shared" si="8"/>
        <v>75000</v>
      </c>
      <c r="N57" s="196">
        <f t="shared" si="9"/>
        <v>0.59929599999999994</v>
      </c>
      <c r="O57" s="34" t="str">
        <f t="shared" si="10"/>
        <v>Too early</v>
      </c>
      <c r="P57" s="244">
        <v>93</v>
      </c>
      <c r="Q57" s="402">
        <f t="shared" si="27"/>
        <v>834.69999999999993</v>
      </c>
      <c r="R57" s="209" t="str">
        <f>IF(B57&lt;7,(P57/VLOOKUP(B57,'Sales Pacing'!$A$23:$E$36,2)),"Too early")</f>
        <v>Too early</v>
      </c>
      <c r="S57" s="403" t="str">
        <f t="shared" si="28"/>
        <v>Too early</v>
      </c>
      <c r="T57" s="227">
        <v>5931</v>
      </c>
      <c r="U57" s="231">
        <v>20000</v>
      </c>
      <c r="V57" s="238">
        <f t="shared" si="12"/>
        <v>0.29654999999999998</v>
      </c>
      <c r="W57" s="210" t="str">
        <f t="shared" si="17"/>
        <v>Too early</v>
      </c>
      <c r="X57" s="223">
        <v>608</v>
      </c>
      <c r="Y57" s="227">
        <v>39016.199999999997</v>
      </c>
      <c r="Z57" s="231">
        <v>55000</v>
      </c>
      <c r="AA57" s="210">
        <f t="shared" si="13"/>
        <v>0.70938545454545454</v>
      </c>
      <c r="AB57" s="234">
        <v>1590</v>
      </c>
      <c r="AC57" s="210">
        <f t="shared" si="2"/>
        <v>0.4408805031446541</v>
      </c>
      <c r="AD57" s="211">
        <f t="shared" si="14"/>
        <v>64.118687589158341</v>
      </c>
      <c r="AE57" s="219"/>
      <c r="AF57" s="219"/>
      <c r="AG57" s="219"/>
      <c r="AH57" s="348">
        <v>44600.2</v>
      </c>
      <c r="AI57" s="350">
        <f t="shared" si="15"/>
        <v>347</v>
      </c>
    </row>
    <row r="58" spans="1:35" s="143" customFormat="1" x14ac:dyDescent="0.35">
      <c r="A58" s="143">
        <v>21</v>
      </c>
      <c r="B58" s="143">
        <f t="shared" si="4"/>
        <v>17</v>
      </c>
      <c r="C58" s="144">
        <v>46041</v>
      </c>
      <c r="D58" s="143" t="s">
        <v>83</v>
      </c>
      <c r="G58" s="144">
        <v>46044.791666666664</v>
      </c>
      <c r="H58" s="143" t="s">
        <v>64</v>
      </c>
      <c r="I58" s="37">
        <f t="shared" si="5"/>
        <v>131</v>
      </c>
      <c r="J58" s="38" t="str">
        <f t="shared" si="6"/>
        <v>Too early</v>
      </c>
      <c r="K58" s="31" t="str">
        <f t="shared" si="26"/>
        <v>Too early</v>
      </c>
      <c r="L58" s="39">
        <f t="shared" si="7"/>
        <v>7965</v>
      </c>
      <c r="M58" s="32">
        <f t="shared" si="8"/>
        <v>90000</v>
      </c>
      <c r="N58" s="195">
        <f t="shared" si="9"/>
        <v>8.8499999999999995E-2</v>
      </c>
      <c r="O58" s="31" t="str">
        <f t="shared" si="10"/>
        <v>Too early</v>
      </c>
      <c r="P58" s="222">
        <v>131</v>
      </c>
      <c r="Q58" s="387">
        <f t="shared" si="27"/>
        <v>1106.7</v>
      </c>
      <c r="R58" s="206" t="str">
        <f>IF(B58&lt;7,(P58/VLOOKUP(B58,'Sales Pacing'!$A$23:$E$36,2)),"Too early")</f>
        <v>Too early</v>
      </c>
      <c r="S58" s="386" t="str">
        <f t="shared" si="28"/>
        <v>Too early</v>
      </c>
      <c r="T58" s="275">
        <v>7965</v>
      </c>
      <c r="U58" s="230">
        <v>90000</v>
      </c>
      <c r="V58" s="237">
        <f t="shared" si="12"/>
        <v>8.8499999999999995E-2</v>
      </c>
      <c r="W58" s="207" t="str">
        <f t="shared" si="17"/>
        <v>Too early</v>
      </c>
      <c r="X58" s="222"/>
      <c r="Y58" s="226"/>
      <c r="Z58" s="230"/>
      <c r="AA58" s="207" t="str">
        <f t="shared" si="13"/>
        <v/>
      </c>
      <c r="AB58" s="233">
        <v>1302</v>
      </c>
      <c r="AC58" s="207">
        <f t="shared" si="2"/>
        <v>0.10061443932411675</v>
      </c>
      <c r="AD58" s="208">
        <f>L58/I58</f>
        <v>60.801526717557252</v>
      </c>
      <c r="AE58" s="218"/>
      <c r="AF58" s="218"/>
      <c r="AG58" s="218"/>
      <c r="AH58" s="346">
        <v>7410</v>
      </c>
      <c r="AI58" s="350">
        <f t="shared" si="15"/>
        <v>555</v>
      </c>
    </row>
    <row r="59" spans="1:35" s="143" customFormat="1" x14ac:dyDescent="0.35">
      <c r="A59" s="143">
        <v>21</v>
      </c>
      <c r="B59" s="143">
        <f t="shared" si="4"/>
        <v>17</v>
      </c>
      <c r="C59" s="144">
        <v>46041</v>
      </c>
      <c r="D59" s="143" t="s">
        <v>83</v>
      </c>
      <c r="G59" s="144">
        <v>46045.791666666664</v>
      </c>
      <c r="H59" s="143" t="s">
        <v>64</v>
      </c>
      <c r="I59" s="37">
        <f t="shared" si="5"/>
        <v>306</v>
      </c>
      <c r="J59" s="38" t="str">
        <f t="shared" si="6"/>
        <v>Too early</v>
      </c>
      <c r="K59" s="31" t="str">
        <f t="shared" si="26"/>
        <v>Too early</v>
      </c>
      <c r="L59" s="39">
        <f t="shared" si="7"/>
        <v>22141.9</v>
      </c>
      <c r="M59" s="32">
        <f t="shared" si="8"/>
        <v>90000</v>
      </c>
      <c r="N59" s="195">
        <f t="shared" si="9"/>
        <v>0.24602111111111113</v>
      </c>
      <c r="O59" s="31" t="str">
        <f t="shared" si="10"/>
        <v>Too early</v>
      </c>
      <c r="P59" s="222">
        <v>306</v>
      </c>
      <c r="Q59" s="387">
        <f t="shared" si="27"/>
        <v>1106.7</v>
      </c>
      <c r="R59" s="206" t="str">
        <f>IF(B59&lt;7,(P59/VLOOKUP(B59,'Sales Pacing'!$A$23:$E$36,2)),"Too early")</f>
        <v>Too early</v>
      </c>
      <c r="S59" s="386" t="str">
        <f t="shared" si="28"/>
        <v>Too early</v>
      </c>
      <c r="T59" s="226">
        <v>22141.9</v>
      </c>
      <c r="U59" s="230">
        <v>90000</v>
      </c>
      <c r="V59" s="237">
        <f t="shared" si="12"/>
        <v>0.24602111111111113</v>
      </c>
      <c r="W59" s="207" t="str">
        <f t="shared" si="17"/>
        <v>Too early</v>
      </c>
      <c r="X59" s="222"/>
      <c r="Y59" s="226"/>
      <c r="Z59" s="230"/>
      <c r="AA59" s="207" t="str">
        <f t="shared" si="13"/>
        <v/>
      </c>
      <c r="AB59" s="233">
        <v>1302</v>
      </c>
      <c r="AC59" s="207">
        <f t="shared" si="2"/>
        <v>0.23502304147465439</v>
      </c>
      <c r="AD59" s="208">
        <f t="shared" si="14"/>
        <v>72.359150326797391</v>
      </c>
      <c r="AE59" s="218"/>
      <c r="AF59" s="218"/>
      <c r="AG59" s="218"/>
      <c r="AH59" s="346">
        <v>21481.9</v>
      </c>
      <c r="AI59" s="350">
        <f t="shared" si="15"/>
        <v>660</v>
      </c>
    </row>
    <row r="60" spans="1:35" s="143" customFormat="1" x14ac:dyDescent="0.35">
      <c r="A60" s="143">
        <v>21</v>
      </c>
      <c r="B60" s="143">
        <f t="shared" si="4"/>
        <v>17</v>
      </c>
      <c r="C60" s="144">
        <v>46041</v>
      </c>
      <c r="D60" s="143" t="s">
        <v>83</v>
      </c>
      <c r="G60" s="144">
        <v>46046.791666666664</v>
      </c>
      <c r="H60" s="143" t="s">
        <v>64</v>
      </c>
      <c r="I60" s="37">
        <f t="shared" si="5"/>
        <v>501</v>
      </c>
      <c r="J60" s="38" t="str">
        <f t="shared" si="6"/>
        <v>Too early</v>
      </c>
      <c r="K60" s="31" t="str">
        <f t="shared" si="26"/>
        <v>Too early</v>
      </c>
      <c r="L60" s="39">
        <f t="shared" si="7"/>
        <v>36718.1</v>
      </c>
      <c r="M60" s="32">
        <f t="shared" si="8"/>
        <v>90000</v>
      </c>
      <c r="N60" s="195">
        <f t="shared" si="9"/>
        <v>0.40797888888888889</v>
      </c>
      <c r="O60" s="31" t="str">
        <f t="shared" si="10"/>
        <v>Too early</v>
      </c>
      <c r="P60" s="222">
        <v>501</v>
      </c>
      <c r="Q60" s="387">
        <f t="shared" si="27"/>
        <v>1106.7</v>
      </c>
      <c r="R60" s="206" t="str">
        <f>IF(B60&lt;7,(P60/VLOOKUP(B60,'Sales Pacing'!$A$23:$E$36,2)),"Too early")</f>
        <v>Too early</v>
      </c>
      <c r="S60" s="386" t="str">
        <f t="shared" si="28"/>
        <v>Too early</v>
      </c>
      <c r="T60" s="226">
        <v>36718.1</v>
      </c>
      <c r="U60" s="230">
        <v>90000</v>
      </c>
      <c r="V60" s="237">
        <f t="shared" si="12"/>
        <v>0.40797888888888889</v>
      </c>
      <c r="W60" s="207" t="str">
        <f t="shared" si="17"/>
        <v>Too early</v>
      </c>
      <c r="X60" s="222"/>
      <c r="Y60" s="226"/>
      <c r="Z60" s="230"/>
      <c r="AA60" s="207" t="str">
        <f t="shared" si="13"/>
        <v/>
      </c>
      <c r="AB60" s="233">
        <v>1302</v>
      </c>
      <c r="AC60" s="207">
        <f t="shared" si="2"/>
        <v>0.3847926267281106</v>
      </c>
      <c r="AD60" s="208">
        <f t="shared" si="14"/>
        <v>73.289620758483025</v>
      </c>
      <c r="AE60" s="218"/>
      <c r="AF60" s="218"/>
      <c r="AG60" s="218"/>
      <c r="AH60" s="346">
        <v>34988.1</v>
      </c>
      <c r="AI60" s="350">
        <f t="shared" si="15"/>
        <v>1730</v>
      </c>
    </row>
    <row r="61" spans="1:35" s="147" customFormat="1" x14ac:dyDescent="0.35">
      <c r="A61" s="147">
        <v>21</v>
      </c>
      <c r="B61" s="147">
        <f t="shared" si="4"/>
        <v>17</v>
      </c>
      <c r="C61" s="148">
        <v>46041</v>
      </c>
      <c r="D61" s="147" t="s">
        <v>83</v>
      </c>
      <c r="G61" s="148">
        <v>46047.583333333336</v>
      </c>
      <c r="H61" s="147" t="s">
        <v>64</v>
      </c>
      <c r="I61" s="149">
        <f t="shared" si="5"/>
        <v>384</v>
      </c>
      <c r="J61" s="33" t="str">
        <f t="shared" si="6"/>
        <v>Too early</v>
      </c>
      <c r="K61" s="34" t="str">
        <f t="shared" si="26"/>
        <v>Too early</v>
      </c>
      <c r="L61" s="35">
        <f t="shared" si="7"/>
        <v>26947.1</v>
      </c>
      <c r="M61" s="36">
        <f t="shared" si="8"/>
        <v>90000</v>
      </c>
      <c r="N61" s="196">
        <f t="shared" si="9"/>
        <v>0.29941222222222219</v>
      </c>
      <c r="O61" s="34" t="str">
        <f t="shared" si="10"/>
        <v>Too early</v>
      </c>
      <c r="P61" s="223">
        <v>384</v>
      </c>
      <c r="Q61" s="402">
        <f t="shared" si="27"/>
        <v>1106.7</v>
      </c>
      <c r="R61" s="209" t="str">
        <f>IF(B61&lt;7,(P61/VLOOKUP(B61,'Sales Pacing'!$A$23:$E$36,2)),"Too early")</f>
        <v>Too early</v>
      </c>
      <c r="S61" s="403" t="str">
        <f t="shared" si="28"/>
        <v>Too early</v>
      </c>
      <c r="T61" s="227">
        <v>26947.1</v>
      </c>
      <c r="U61" s="230">
        <v>90000</v>
      </c>
      <c r="V61" s="237">
        <f t="shared" si="12"/>
        <v>0.29941222222222219</v>
      </c>
      <c r="W61" s="210" t="str">
        <f t="shared" si="17"/>
        <v>Too early</v>
      </c>
      <c r="X61" s="223"/>
      <c r="Y61" s="227"/>
      <c r="Z61" s="231"/>
      <c r="AA61" s="210" t="str">
        <f t="shared" si="13"/>
        <v/>
      </c>
      <c r="AB61" s="234">
        <v>1302</v>
      </c>
      <c r="AC61" s="210">
        <f t="shared" si="2"/>
        <v>0.29493087557603687</v>
      </c>
      <c r="AD61" s="211">
        <f t="shared" si="14"/>
        <v>70.174739583333334</v>
      </c>
      <c r="AE61" s="219"/>
      <c r="AF61" s="219"/>
      <c r="AG61" s="219"/>
      <c r="AH61" s="348">
        <v>26457.1</v>
      </c>
      <c r="AI61" s="350">
        <f t="shared" si="15"/>
        <v>490</v>
      </c>
    </row>
    <row r="62" spans="1:35" s="143" customFormat="1" x14ac:dyDescent="0.35">
      <c r="A62" s="143">
        <v>22</v>
      </c>
      <c r="B62" s="143">
        <f t="shared" si="4"/>
        <v>18</v>
      </c>
      <c r="C62" s="177">
        <v>46048</v>
      </c>
      <c r="D62" s="178" t="s">
        <v>84</v>
      </c>
      <c r="E62" s="178"/>
      <c r="F62" s="178"/>
      <c r="G62" s="177">
        <v>46052.833333333336</v>
      </c>
      <c r="H62" s="178" t="s">
        <v>62</v>
      </c>
      <c r="I62" s="37">
        <f t="shared" si="5"/>
        <v>435</v>
      </c>
      <c r="J62" s="38" t="str">
        <f t="shared" si="6"/>
        <v>Too early</v>
      </c>
      <c r="K62" s="31" t="str">
        <f t="shared" si="26"/>
        <v>Too early</v>
      </c>
      <c r="L62" s="39">
        <f t="shared" si="7"/>
        <v>28716</v>
      </c>
      <c r="M62" s="32">
        <f t="shared" si="8"/>
        <v>54000</v>
      </c>
      <c r="N62" s="195">
        <f t="shared" si="9"/>
        <v>0.53177777777777779</v>
      </c>
      <c r="O62" s="31" t="str">
        <f t="shared" si="10"/>
        <v>Too early</v>
      </c>
      <c r="P62" s="242">
        <v>71</v>
      </c>
      <c r="Q62" s="387">
        <f t="shared" si="27"/>
        <v>1042.0999999999999</v>
      </c>
      <c r="R62" s="206" t="str">
        <f>IF(B62&lt;7,(P62/VLOOKUP(B62,'Sales Pacing'!$A$23:$E$36,2)),"Too early")</f>
        <v>Too early</v>
      </c>
      <c r="S62" s="386" t="str">
        <f t="shared" si="28"/>
        <v>Too early</v>
      </c>
      <c r="T62" s="226">
        <v>3847</v>
      </c>
      <c r="U62" s="230">
        <v>24000</v>
      </c>
      <c r="V62" s="237">
        <f t="shared" si="12"/>
        <v>0.16029166666666667</v>
      </c>
      <c r="W62" s="207" t="str">
        <f t="shared" si="17"/>
        <v>Too early</v>
      </c>
      <c r="X62" s="222">
        <v>364</v>
      </c>
      <c r="Y62" s="226">
        <v>24869</v>
      </c>
      <c r="Z62" s="230">
        <v>30000</v>
      </c>
      <c r="AA62" s="207">
        <f t="shared" si="13"/>
        <v>0.82896666666666663</v>
      </c>
      <c r="AB62" s="233">
        <v>1590</v>
      </c>
      <c r="AC62" s="207">
        <f t="shared" si="2"/>
        <v>0.27358490566037735</v>
      </c>
      <c r="AD62" s="208">
        <f t="shared" si="14"/>
        <v>66.013793103448279</v>
      </c>
      <c r="AE62" s="218"/>
      <c r="AF62" s="218"/>
      <c r="AG62" s="218"/>
      <c r="AH62" s="346">
        <v>28368</v>
      </c>
      <c r="AI62" s="350">
        <f t="shared" si="15"/>
        <v>348</v>
      </c>
    </row>
    <row r="63" spans="1:35" s="143" customFormat="1" x14ac:dyDescent="0.35">
      <c r="A63" s="143">
        <v>22</v>
      </c>
      <c r="B63" s="143">
        <f t="shared" si="4"/>
        <v>18</v>
      </c>
      <c r="C63" s="144">
        <v>46048</v>
      </c>
      <c r="D63" s="143" t="s">
        <v>84</v>
      </c>
      <c r="G63" s="144">
        <v>46053.833333333336</v>
      </c>
      <c r="H63" s="143" t="s">
        <v>62</v>
      </c>
      <c r="I63" s="37">
        <f t="shared" si="5"/>
        <v>692</v>
      </c>
      <c r="J63" s="38" t="str">
        <f t="shared" si="6"/>
        <v>Too early</v>
      </c>
      <c r="K63" s="31" t="str">
        <f t="shared" si="26"/>
        <v>Too early</v>
      </c>
      <c r="L63" s="39">
        <f t="shared" si="7"/>
        <v>45477.9</v>
      </c>
      <c r="M63" s="32">
        <f t="shared" si="8"/>
        <v>75000</v>
      </c>
      <c r="N63" s="195">
        <f t="shared" si="9"/>
        <v>0.60637200000000002</v>
      </c>
      <c r="O63" s="31" t="str">
        <f t="shared" si="10"/>
        <v>Too early</v>
      </c>
      <c r="P63" s="242">
        <v>94</v>
      </c>
      <c r="Q63" s="387">
        <f t="shared" si="27"/>
        <v>843.19999999999993</v>
      </c>
      <c r="R63" s="206" t="str">
        <f>IF(B63&lt;7,(P63/VLOOKUP(B63,'Sales Pacing'!$A$23:$E$36,2)),"Too early")</f>
        <v>Too early</v>
      </c>
      <c r="S63" s="386" t="str">
        <f t="shared" si="28"/>
        <v>Too early</v>
      </c>
      <c r="T63" s="226">
        <v>5569</v>
      </c>
      <c r="U63" s="230">
        <v>20000</v>
      </c>
      <c r="V63" s="237">
        <f t="shared" si="12"/>
        <v>0.27844999999999998</v>
      </c>
      <c r="W63" s="207" t="str">
        <f t="shared" si="17"/>
        <v>Too early</v>
      </c>
      <c r="X63" s="222">
        <v>598</v>
      </c>
      <c r="Y63" s="226">
        <v>39908.9</v>
      </c>
      <c r="Z63" s="230">
        <v>55000</v>
      </c>
      <c r="AA63" s="207">
        <f t="shared" si="13"/>
        <v>0.72561636363636361</v>
      </c>
      <c r="AB63" s="233">
        <v>1590</v>
      </c>
      <c r="AC63" s="207">
        <f t="shared" si="2"/>
        <v>0.43522012578616354</v>
      </c>
      <c r="AD63" s="208">
        <f t="shared" si="14"/>
        <v>65.719508670520227</v>
      </c>
      <c r="AE63" s="218"/>
      <c r="AF63" s="218"/>
      <c r="AG63" s="218"/>
      <c r="AH63" s="346">
        <v>45500.9</v>
      </c>
      <c r="AI63" s="350">
        <f t="shared" si="15"/>
        <v>-23</v>
      </c>
    </row>
    <row r="64" spans="1:35" s="147" customFormat="1" x14ac:dyDescent="0.35">
      <c r="A64" s="147">
        <v>22</v>
      </c>
      <c r="B64" s="147">
        <f t="shared" si="4"/>
        <v>18</v>
      </c>
      <c r="C64" s="148">
        <v>46048</v>
      </c>
      <c r="D64" s="147" t="s">
        <v>84</v>
      </c>
      <c r="G64" s="148">
        <v>46054.583333333336</v>
      </c>
      <c r="H64" s="147" t="s">
        <v>62</v>
      </c>
      <c r="I64" s="149">
        <f t="shared" si="5"/>
        <v>681</v>
      </c>
      <c r="J64" s="33" t="str">
        <f t="shared" si="6"/>
        <v>Too early</v>
      </c>
      <c r="K64" s="34" t="str">
        <f t="shared" si="26"/>
        <v>Too early</v>
      </c>
      <c r="L64" s="35">
        <f t="shared" si="7"/>
        <v>43667.199999999997</v>
      </c>
      <c r="M64" s="36">
        <f t="shared" si="8"/>
        <v>75000</v>
      </c>
      <c r="N64" s="196">
        <f t="shared" si="9"/>
        <v>0.58222933333333327</v>
      </c>
      <c r="O64" s="34" t="str">
        <f t="shared" si="10"/>
        <v>Too early</v>
      </c>
      <c r="P64" s="244">
        <v>72</v>
      </c>
      <c r="Q64" s="402">
        <f t="shared" si="27"/>
        <v>833.85</v>
      </c>
      <c r="R64" s="209" t="str">
        <f>IF(B64&lt;7,(P64/VLOOKUP(B64,'Sales Pacing'!$A$23:$E$36,2)),"Too early")</f>
        <v>Too early</v>
      </c>
      <c r="S64" s="403" t="str">
        <f t="shared" si="28"/>
        <v>Too early</v>
      </c>
      <c r="T64" s="227">
        <v>4644</v>
      </c>
      <c r="U64" s="231">
        <v>20000</v>
      </c>
      <c r="V64" s="238">
        <f t="shared" si="12"/>
        <v>0.23219999999999999</v>
      </c>
      <c r="W64" s="210" t="str">
        <f t="shared" si="17"/>
        <v>Too early</v>
      </c>
      <c r="X64" s="223">
        <v>609</v>
      </c>
      <c r="Y64" s="227">
        <v>39023.199999999997</v>
      </c>
      <c r="Z64" s="231">
        <v>55000</v>
      </c>
      <c r="AA64" s="210">
        <f t="shared" si="13"/>
        <v>0.70951272727272718</v>
      </c>
      <c r="AB64" s="234">
        <v>1590</v>
      </c>
      <c r="AC64" s="210">
        <f t="shared" si="2"/>
        <v>0.42830188679245285</v>
      </c>
      <c r="AD64" s="211">
        <f t="shared" si="14"/>
        <v>64.122173274596179</v>
      </c>
      <c r="AE64" s="219"/>
      <c r="AF64" s="219"/>
      <c r="AG64" s="219"/>
      <c r="AH64" s="348">
        <v>43394.2</v>
      </c>
      <c r="AI64" s="350">
        <f t="shared" si="15"/>
        <v>273</v>
      </c>
    </row>
    <row r="65" spans="1:35" s="143" customFormat="1" x14ac:dyDescent="0.35">
      <c r="A65" s="143">
        <v>23</v>
      </c>
      <c r="B65" s="143">
        <f t="shared" si="4"/>
        <v>19</v>
      </c>
      <c r="C65" s="144">
        <v>46055</v>
      </c>
      <c r="D65" s="143" t="s">
        <v>85</v>
      </c>
      <c r="G65" s="144">
        <v>46058.833333333336</v>
      </c>
      <c r="H65" s="143" t="s">
        <v>68</v>
      </c>
      <c r="I65" s="37">
        <f t="shared" si="5"/>
        <v>19</v>
      </c>
      <c r="J65" s="38" t="str">
        <f t="shared" si="6"/>
        <v>Too early</v>
      </c>
      <c r="K65" s="31" t="str">
        <f t="shared" si="26"/>
        <v>Too early</v>
      </c>
      <c r="L65" s="39">
        <f t="shared" si="7"/>
        <v>1960</v>
      </c>
      <c r="M65" s="32">
        <v>9000</v>
      </c>
      <c r="N65" s="195">
        <f t="shared" si="9"/>
        <v>0.21777777777777776</v>
      </c>
      <c r="O65" s="31" t="str">
        <f t="shared" si="10"/>
        <v>Too early</v>
      </c>
      <c r="P65" s="242">
        <v>19</v>
      </c>
      <c r="Q65" s="387">
        <f t="shared" si="27"/>
        <v>85</v>
      </c>
      <c r="R65" s="206" t="str">
        <f>IF(B65&lt;7,(P65/VLOOKUP(B65,'Sales Pacing'!$A$23:$E$36,2)),"Too early")</f>
        <v>Too early</v>
      </c>
      <c r="S65" s="386" t="str">
        <f t="shared" si="28"/>
        <v>Too early</v>
      </c>
      <c r="T65" s="226">
        <v>1960</v>
      </c>
      <c r="U65" s="230">
        <v>9000</v>
      </c>
      <c r="V65" s="237">
        <f t="shared" si="12"/>
        <v>0.21777777777777776</v>
      </c>
      <c r="W65" s="207" t="str">
        <f t="shared" si="17"/>
        <v>Too early</v>
      </c>
      <c r="X65" s="222"/>
      <c r="Y65" s="226"/>
      <c r="Z65" s="230"/>
      <c r="AA65" s="207" t="str">
        <f t="shared" si="13"/>
        <v/>
      </c>
      <c r="AB65" s="233">
        <v>100</v>
      </c>
      <c r="AC65" s="207">
        <f t="shared" si="2"/>
        <v>0.19</v>
      </c>
      <c r="AD65" s="208">
        <f t="shared" si="14"/>
        <v>103.15789473684211</v>
      </c>
      <c r="AE65" s="218"/>
      <c r="AF65" s="218"/>
      <c r="AG65" s="218"/>
      <c r="AH65" s="346">
        <v>1960</v>
      </c>
      <c r="AI65" s="350">
        <f t="shared" si="15"/>
        <v>0</v>
      </c>
    </row>
    <row r="66" spans="1:35" s="143" customFormat="1" x14ac:dyDescent="0.35">
      <c r="A66" s="143">
        <v>23</v>
      </c>
      <c r="B66" s="143">
        <f t="shared" si="4"/>
        <v>19</v>
      </c>
      <c r="C66" s="144">
        <v>46055</v>
      </c>
      <c r="D66" s="143" t="s">
        <v>86</v>
      </c>
      <c r="G66" s="144">
        <v>46059.833333333336</v>
      </c>
      <c r="H66" s="143" t="s">
        <v>62</v>
      </c>
      <c r="I66" s="37">
        <f t="shared" si="5"/>
        <v>624</v>
      </c>
      <c r="J66" s="38" t="str">
        <f t="shared" si="6"/>
        <v>Too early</v>
      </c>
      <c r="K66" s="31" t="str">
        <f t="shared" si="26"/>
        <v>Too early</v>
      </c>
      <c r="L66" s="39">
        <f t="shared" si="7"/>
        <v>40003</v>
      </c>
      <c r="M66" s="32">
        <f t="shared" si="8"/>
        <v>46666</v>
      </c>
      <c r="N66" s="195">
        <f t="shared" si="9"/>
        <v>0.85721938884841209</v>
      </c>
      <c r="O66" s="31" t="str">
        <f t="shared" si="10"/>
        <v>Too early</v>
      </c>
      <c r="P66" s="242">
        <v>62</v>
      </c>
      <c r="Q66" s="387">
        <f t="shared" si="27"/>
        <v>873.8</v>
      </c>
      <c r="R66" s="206" t="str">
        <f>IF(B66&lt;7,(P66/VLOOKUP(B66,'Sales Pacing'!$A$23:$E$36,2)),"Too early")</f>
        <v>Too early</v>
      </c>
      <c r="S66" s="386" t="str">
        <f t="shared" si="28"/>
        <v>Too early</v>
      </c>
      <c r="T66" s="226">
        <v>2540</v>
      </c>
      <c r="U66" s="230">
        <v>13333</v>
      </c>
      <c r="V66" s="237">
        <f t="shared" si="12"/>
        <v>0.19050476261906549</v>
      </c>
      <c r="W66" s="207" t="str">
        <f t="shared" si="17"/>
        <v>Too early</v>
      </c>
      <c r="X66" s="222">
        <v>562</v>
      </c>
      <c r="Y66" s="226">
        <v>37463</v>
      </c>
      <c r="Z66" s="230">
        <v>33333</v>
      </c>
      <c r="AA66" s="207">
        <f t="shared" si="13"/>
        <v>1.1239012390123901</v>
      </c>
      <c r="AB66" s="233">
        <v>1590</v>
      </c>
      <c r="AC66" s="207">
        <f t="shared" si="2"/>
        <v>0.39245283018867927</v>
      </c>
      <c r="AD66" s="208">
        <f t="shared" si="14"/>
        <v>64.107371794871796</v>
      </c>
      <c r="AE66" s="218"/>
      <c r="AF66" s="218"/>
      <c r="AG66" s="218"/>
      <c r="AH66" s="346">
        <v>39823</v>
      </c>
      <c r="AI66" s="350">
        <f t="shared" si="15"/>
        <v>180</v>
      </c>
    </row>
    <row r="67" spans="1:35" s="143" customFormat="1" x14ac:dyDescent="0.35">
      <c r="A67" s="143">
        <v>23</v>
      </c>
      <c r="B67" s="143">
        <f t="shared" si="4"/>
        <v>19</v>
      </c>
      <c r="C67" s="144">
        <v>46055</v>
      </c>
      <c r="D67" s="143" t="s">
        <v>87</v>
      </c>
      <c r="G67" s="144">
        <v>46060.833333333336</v>
      </c>
      <c r="H67" s="143" t="s">
        <v>62</v>
      </c>
      <c r="I67" s="37">
        <f t="shared" si="5"/>
        <v>608</v>
      </c>
      <c r="J67" s="38" t="str">
        <f t="shared" si="6"/>
        <v>Too early</v>
      </c>
      <c r="K67" s="31" t="str">
        <f t="shared" si="26"/>
        <v>Too early</v>
      </c>
      <c r="L67" s="39">
        <f t="shared" si="7"/>
        <v>38795.199999999997</v>
      </c>
      <c r="M67" s="32">
        <f t="shared" si="8"/>
        <v>46666</v>
      </c>
      <c r="N67" s="195">
        <f t="shared" si="9"/>
        <v>0.83133759053700762</v>
      </c>
      <c r="O67" s="31" t="str">
        <f t="shared" si="10"/>
        <v>Too early</v>
      </c>
      <c r="P67" s="242">
        <v>49</v>
      </c>
      <c r="Q67" s="387">
        <f t="shared" si="27"/>
        <v>876.35</v>
      </c>
      <c r="R67" s="206" t="str">
        <f>IF(B67&lt;7,(P67/VLOOKUP(B67,'Sales Pacing'!$A$23:$E$36,2)),"Too early")</f>
        <v>Too early</v>
      </c>
      <c r="S67" s="386" t="str">
        <f t="shared" si="28"/>
        <v>Too early</v>
      </c>
      <c r="T67" s="226">
        <v>2478</v>
      </c>
      <c r="U67" s="230">
        <v>13333</v>
      </c>
      <c r="V67" s="237">
        <f t="shared" si="12"/>
        <v>0.18585464636615914</v>
      </c>
      <c r="W67" s="207" t="str">
        <f t="shared" si="17"/>
        <v>Too early</v>
      </c>
      <c r="X67" s="222">
        <v>559</v>
      </c>
      <c r="Y67" s="226">
        <v>36317.199999999997</v>
      </c>
      <c r="Z67" s="230">
        <v>33333</v>
      </c>
      <c r="AA67" s="207">
        <f t="shared" si="13"/>
        <v>1.0895268952689525</v>
      </c>
      <c r="AB67" s="233">
        <v>1590</v>
      </c>
      <c r="AC67" s="207">
        <f t="shared" si="2"/>
        <v>0.38238993710691827</v>
      </c>
      <c r="AD67" s="208">
        <f t="shared" si="14"/>
        <v>63.807894736842101</v>
      </c>
      <c r="AE67" s="218"/>
      <c r="AF67" s="218"/>
      <c r="AG67" s="218"/>
      <c r="AH67" s="346">
        <v>38606.199999999997</v>
      </c>
      <c r="AI67" s="350">
        <f t="shared" si="15"/>
        <v>189</v>
      </c>
    </row>
    <row r="68" spans="1:35" s="147" customFormat="1" x14ac:dyDescent="0.35">
      <c r="A68" s="147">
        <v>23</v>
      </c>
      <c r="B68" s="147">
        <f t="shared" si="4"/>
        <v>19</v>
      </c>
      <c r="C68" s="148">
        <v>46055</v>
      </c>
      <c r="D68" s="147" t="s">
        <v>88</v>
      </c>
      <c r="G68" s="148">
        <v>46061.583333333336</v>
      </c>
      <c r="H68" s="147" t="s">
        <v>62</v>
      </c>
      <c r="I68" s="149">
        <f t="shared" si="5"/>
        <v>606</v>
      </c>
      <c r="J68" s="33" t="str">
        <f t="shared" si="6"/>
        <v>Too early</v>
      </c>
      <c r="K68" s="34" t="str">
        <f t="shared" si="26"/>
        <v>Too early</v>
      </c>
      <c r="L68" s="35">
        <f t="shared" si="7"/>
        <v>38109.1</v>
      </c>
      <c r="M68" s="36">
        <f t="shared" si="8"/>
        <v>46667</v>
      </c>
      <c r="N68" s="196">
        <f t="shared" si="9"/>
        <v>0.81661773844472541</v>
      </c>
      <c r="O68" s="34" t="str">
        <f t="shared" si="10"/>
        <v>Too early</v>
      </c>
      <c r="P68" s="244">
        <v>44</v>
      </c>
      <c r="Q68" s="402">
        <f t="shared" si="27"/>
        <v>873.8</v>
      </c>
      <c r="R68" s="209" t="str">
        <f>IF(B68&lt;7,(P68/VLOOKUP(B68,'Sales Pacing'!$A$23:$E$36,2)),"Too early")</f>
        <v>Too early</v>
      </c>
      <c r="S68" s="403" t="str">
        <f t="shared" si="28"/>
        <v>Too early</v>
      </c>
      <c r="T68" s="227">
        <v>1922</v>
      </c>
      <c r="U68" s="231">
        <v>13333</v>
      </c>
      <c r="V68" s="238">
        <f t="shared" si="12"/>
        <v>0.14415360384009601</v>
      </c>
      <c r="W68" s="210" t="str">
        <f t="shared" si="17"/>
        <v>Too early</v>
      </c>
      <c r="X68" s="223">
        <v>562</v>
      </c>
      <c r="Y68" s="227">
        <v>36187.1</v>
      </c>
      <c r="Z68" s="231">
        <v>33334</v>
      </c>
      <c r="AA68" s="210">
        <f t="shared" si="13"/>
        <v>1.0855912881742364</v>
      </c>
      <c r="AB68" s="234">
        <v>1590</v>
      </c>
      <c r="AC68" s="210">
        <f t="shared" si="2"/>
        <v>0.38113207547169814</v>
      </c>
      <c r="AD68" s="211">
        <f t="shared" si="14"/>
        <v>62.886303630363031</v>
      </c>
      <c r="AE68" s="219"/>
      <c r="AF68" s="219"/>
      <c r="AG68" s="219"/>
      <c r="AH68" s="348">
        <v>38063.1</v>
      </c>
      <c r="AI68" s="350">
        <f t="shared" si="15"/>
        <v>46</v>
      </c>
    </row>
    <row r="69" spans="1:35" s="143" customFormat="1" x14ac:dyDescent="0.35">
      <c r="A69" s="143">
        <v>24</v>
      </c>
      <c r="B69" s="143">
        <f t="shared" si="4"/>
        <v>20</v>
      </c>
      <c r="C69" s="144">
        <v>46062</v>
      </c>
      <c r="D69" s="143" t="s">
        <v>89</v>
      </c>
      <c r="G69" s="144">
        <v>46065.791666666664</v>
      </c>
      <c r="H69" s="143" t="s">
        <v>52</v>
      </c>
      <c r="I69" s="37">
        <f t="shared" si="5"/>
        <v>340</v>
      </c>
      <c r="J69" s="38" t="str">
        <f t="shared" si="6"/>
        <v>Too early</v>
      </c>
      <c r="K69" s="31" t="str">
        <f t="shared" si="26"/>
        <v>Too early</v>
      </c>
      <c r="L69" s="39">
        <f t="shared" si="7"/>
        <v>30162</v>
      </c>
      <c r="M69" s="32">
        <f t="shared" si="8"/>
        <v>128900</v>
      </c>
      <c r="N69" s="195">
        <f t="shared" si="9"/>
        <v>0.23399534522885959</v>
      </c>
      <c r="O69" s="31" t="str">
        <f t="shared" si="10"/>
        <v>Too early</v>
      </c>
      <c r="P69" s="222">
        <v>340</v>
      </c>
      <c r="Q69" s="387">
        <f t="shared" si="27"/>
        <v>1351.5</v>
      </c>
      <c r="R69" s="206" t="str">
        <f>IF(B69&lt;7,(P69/VLOOKUP(B69,'Sales Pacing'!$A$23:$E$36,2)),"Too early")</f>
        <v>Too early</v>
      </c>
      <c r="S69" s="386" t="str">
        <f t="shared" si="28"/>
        <v>Too early</v>
      </c>
      <c r="T69" s="226">
        <v>30162</v>
      </c>
      <c r="U69" s="230">
        <v>128900</v>
      </c>
      <c r="V69" s="237">
        <f t="shared" si="12"/>
        <v>0.23399534522885959</v>
      </c>
      <c r="W69" s="207" t="str">
        <f t="shared" si="17"/>
        <v>Too early</v>
      </c>
      <c r="X69" s="222"/>
      <c r="Y69" s="226"/>
      <c r="Z69" s="230"/>
      <c r="AA69" s="207" t="str">
        <f t="shared" si="13"/>
        <v/>
      </c>
      <c r="AB69" s="233">
        <v>1590</v>
      </c>
      <c r="AC69" s="207">
        <f t="shared" si="2"/>
        <v>0.21383647798742139</v>
      </c>
      <c r="AD69" s="208">
        <f t="shared" si="14"/>
        <v>88.711764705882359</v>
      </c>
      <c r="AE69" s="218"/>
      <c r="AF69" s="218"/>
      <c r="AG69" s="218"/>
      <c r="AH69" s="346">
        <v>27005</v>
      </c>
      <c r="AI69" s="350">
        <f t="shared" si="15"/>
        <v>3157</v>
      </c>
    </row>
    <row r="70" spans="1:35" s="143" customFormat="1" x14ac:dyDescent="0.35">
      <c r="A70" s="143">
        <v>24</v>
      </c>
      <c r="B70" s="143">
        <f t="shared" si="4"/>
        <v>20</v>
      </c>
      <c r="C70" s="144">
        <v>46062</v>
      </c>
      <c r="D70" s="143" t="s">
        <v>90</v>
      </c>
      <c r="G70" s="144">
        <v>46066.833333333336</v>
      </c>
      <c r="H70" s="143" t="s">
        <v>57</v>
      </c>
      <c r="I70" s="37">
        <f t="shared" si="5"/>
        <v>789</v>
      </c>
      <c r="J70" s="38" t="str">
        <f t="shared" si="6"/>
        <v>Too early</v>
      </c>
      <c r="K70" s="31" t="str">
        <f t="shared" si="26"/>
        <v>Too early</v>
      </c>
      <c r="L70" s="39">
        <f t="shared" si="7"/>
        <v>56081.1</v>
      </c>
      <c r="M70" s="32">
        <f t="shared" si="8"/>
        <v>94666</v>
      </c>
      <c r="N70" s="195">
        <f t="shared" si="9"/>
        <v>0.59241015781801276</v>
      </c>
      <c r="O70" s="31" t="str">
        <f t="shared" si="10"/>
        <v>Too early</v>
      </c>
      <c r="P70" s="242">
        <v>66</v>
      </c>
      <c r="Q70" s="387">
        <f t="shared" si="27"/>
        <v>736.94999999999993</v>
      </c>
      <c r="R70" s="206" t="str">
        <f>IF(B70&lt;7,(P70/VLOOKUP(B70,'Sales Pacing'!$A$23:$E$36,2)),"Too early")</f>
        <v>Too early</v>
      </c>
      <c r="S70" s="386" t="str">
        <f t="shared" si="28"/>
        <v>Too early</v>
      </c>
      <c r="T70" s="226">
        <v>4067</v>
      </c>
      <c r="U70" s="230">
        <v>53333</v>
      </c>
      <c r="V70" s="237">
        <f t="shared" si="12"/>
        <v>7.6256726604541275E-2</v>
      </c>
      <c r="W70" s="207" t="str">
        <f t="shared" si="17"/>
        <v>Too early</v>
      </c>
      <c r="X70" s="222">
        <v>723</v>
      </c>
      <c r="Y70" s="226">
        <v>52014.1</v>
      </c>
      <c r="Z70" s="230">
        <v>41333</v>
      </c>
      <c r="AA70" s="207">
        <f t="shared" si="13"/>
        <v>1.2584157936757554</v>
      </c>
      <c r="AB70" s="233">
        <v>1590</v>
      </c>
      <c r="AC70" s="207">
        <f t="shared" ref="AC70:AC77" si="29">I70/AB70</f>
        <v>0.49622641509433962</v>
      </c>
      <c r="AD70" s="208">
        <f t="shared" si="14"/>
        <v>71.078707224334593</v>
      </c>
      <c r="AE70" s="218"/>
      <c r="AF70" s="218"/>
      <c r="AG70" s="218"/>
      <c r="AH70" s="346">
        <v>55909.1</v>
      </c>
      <c r="AI70" s="350">
        <f t="shared" si="15"/>
        <v>172</v>
      </c>
    </row>
    <row r="71" spans="1:35" s="143" customFormat="1" x14ac:dyDescent="0.35">
      <c r="A71" s="143">
        <v>24</v>
      </c>
      <c r="B71" s="143">
        <f t="shared" ref="B71:B117" si="30">A71-$G$4</f>
        <v>20</v>
      </c>
      <c r="C71" s="144">
        <v>46062</v>
      </c>
      <c r="D71" s="143" t="s">
        <v>90</v>
      </c>
      <c r="G71" s="144">
        <v>46067.833333333336</v>
      </c>
      <c r="H71" s="143" t="s">
        <v>57</v>
      </c>
      <c r="I71" s="37">
        <f t="shared" ref="I71:I117" si="31">P71+X71</f>
        <v>709</v>
      </c>
      <c r="J71" s="38" t="str">
        <f t="shared" ref="J71:J117" si="32">IF(R71="Too early",R71,R71+X71)</f>
        <v>Too early</v>
      </c>
      <c r="K71" s="31" t="str">
        <f t="shared" si="26"/>
        <v>Too early</v>
      </c>
      <c r="L71" s="39">
        <f t="shared" ref="L71:L117" si="33">T71+Y71</f>
        <v>50062.8</v>
      </c>
      <c r="M71" s="32">
        <f t="shared" ref="M71:M117" si="34">U71+Z71</f>
        <v>94667</v>
      </c>
      <c r="N71" s="195">
        <f t="shared" ref="N71:N117" si="35">L71/M71</f>
        <v>0.52883053228685817</v>
      </c>
      <c r="O71" s="31" t="str">
        <f t="shared" ref="O71:O117" si="36">IF($J71="Too early",J71,J71*AD71/M71)</f>
        <v>Too early</v>
      </c>
      <c r="P71" s="242">
        <v>46</v>
      </c>
      <c r="Q71" s="387">
        <f t="shared" si="27"/>
        <v>787.94999999999993</v>
      </c>
      <c r="R71" s="206" t="str">
        <f>IF(B71&lt;7,(P71/VLOOKUP(B71,'Sales Pacing'!$A$23:$E$36,2)),"Too early")</f>
        <v>Too early</v>
      </c>
      <c r="S71" s="386" t="str">
        <f t="shared" si="28"/>
        <v>Too early</v>
      </c>
      <c r="T71" s="226">
        <v>2151</v>
      </c>
      <c r="U71" s="230">
        <v>53333</v>
      </c>
      <c r="V71" s="237">
        <f t="shared" ref="V71:V117" si="37">IF(T71&gt;0,T71/U71,"")</f>
        <v>4.0331502071887952E-2</v>
      </c>
      <c r="W71" s="207" t="str">
        <f t="shared" si="17"/>
        <v>Too early</v>
      </c>
      <c r="X71" s="222">
        <v>663</v>
      </c>
      <c r="Y71" s="226">
        <v>47911.8</v>
      </c>
      <c r="Z71" s="230">
        <v>41334</v>
      </c>
      <c r="AA71" s="207">
        <f t="shared" ref="AA71:AA117" si="38">IF(Y71&gt;0,Y71/Z71,"")</f>
        <v>1.1591377558426477</v>
      </c>
      <c r="AB71" s="233">
        <v>1590</v>
      </c>
      <c r="AC71" s="207">
        <f t="shared" si="29"/>
        <v>0.4459119496855346</v>
      </c>
      <c r="AD71" s="208">
        <f t="shared" ref="AD71:AD117" si="39">L71/I71</f>
        <v>70.610437235543017</v>
      </c>
      <c r="AE71" s="218"/>
      <c r="AF71" s="218"/>
      <c r="AG71" s="218"/>
      <c r="AH71" s="346">
        <v>50570.8</v>
      </c>
      <c r="AI71" s="350">
        <f t="shared" ref="AI71:AI117" si="40">L71-AH71</f>
        <v>-508</v>
      </c>
    </row>
    <row r="72" spans="1:35" s="147" customFormat="1" x14ac:dyDescent="0.35">
      <c r="A72" s="147">
        <v>24</v>
      </c>
      <c r="B72" s="147">
        <f t="shared" si="30"/>
        <v>20</v>
      </c>
      <c r="C72" s="148">
        <v>46062</v>
      </c>
      <c r="D72" s="147" t="s">
        <v>90</v>
      </c>
      <c r="G72" s="148">
        <v>46068.583333333336</v>
      </c>
      <c r="H72" s="147" t="s">
        <v>57</v>
      </c>
      <c r="I72" s="149">
        <f t="shared" si="31"/>
        <v>448</v>
      </c>
      <c r="J72" s="33" t="str">
        <f t="shared" si="32"/>
        <v>Too early</v>
      </c>
      <c r="K72" s="34" t="str">
        <f t="shared" si="26"/>
        <v>Too early</v>
      </c>
      <c r="L72" s="35">
        <f t="shared" si="33"/>
        <v>30213.3</v>
      </c>
      <c r="M72" s="36">
        <f t="shared" si="34"/>
        <v>94666</v>
      </c>
      <c r="N72" s="196">
        <f t="shared" si="35"/>
        <v>0.3191568250480637</v>
      </c>
      <c r="O72" s="34" t="str">
        <f t="shared" si="36"/>
        <v>Too early</v>
      </c>
      <c r="P72" s="244">
        <v>63</v>
      </c>
      <c r="Q72" s="402">
        <f t="shared" si="27"/>
        <v>1024.25</v>
      </c>
      <c r="R72" s="209" t="str">
        <f>IF(B72&lt;7,(P72/VLOOKUP(B72,'Sales Pacing'!$A$23:$E$36,2)),"Too early")</f>
        <v>Too early</v>
      </c>
      <c r="S72" s="403" t="str">
        <f t="shared" si="28"/>
        <v>Too early</v>
      </c>
      <c r="T72" s="227">
        <v>3982</v>
      </c>
      <c r="U72" s="231">
        <v>53333</v>
      </c>
      <c r="V72" s="238">
        <f t="shared" si="37"/>
        <v>7.4662966643541523E-2</v>
      </c>
      <c r="W72" s="210" t="str">
        <f t="shared" si="17"/>
        <v>Too early</v>
      </c>
      <c r="X72" s="223">
        <v>385</v>
      </c>
      <c r="Y72" s="227">
        <v>26231.3</v>
      </c>
      <c r="Z72" s="231">
        <v>41333</v>
      </c>
      <c r="AA72" s="210">
        <f t="shared" si="38"/>
        <v>0.63463334381728886</v>
      </c>
      <c r="AB72" s="234">
        <v>1590</v>
      </c>
      <c r="AC72" s="210">
        <f t="shared" si="29"/>
        <v>0.28176100628930817</v>
      </c>
      <c r="AD72" s="211">
        <f t="shared" si="39"/>
        <v>67.440401785714286</v>
      </c>
      <c r="AE72" s="219"/>
      <c r="AF72" s="219"/>
      <c r="AG72" s="219"/>
      <c r="AH72" s="348">
        <v>29655.3</v>
      </c>
      <c r="AI72" s="350">
        <f t="shared" si="40"/>
        <v>558</v>
      </c>
    </row>
    <row r="73" spans="1:35" s="143" customFormat="1" x14ac:dyDescent="0.35">
      <c r="A73" s="143">
        <v>25</v>
      </c>
      <c r="B73" s="143">
        <f t="shared" si="30"/>
        <v>21</v>
      </c>
      <c r="C73" s="144">
        <v>46069</v>
      </c>
      <c r="D73" s="143" t="s">
        <v>91</v>
      </c>
      <c r="G73" s="144">
        <v>46072.791666666664</v>
      </c>
      <c r="H73" s="143" t="s">
        <v>64</v>
      </c>
      <c r="I73" s="37">
        <f t="shared" si="31"/>
        <v>134</v>
      </c>
      <c r="J73" s="38" t="str">
        <f t="shared" si="32"/>
        <v>Too early</v>
      </c>
      <c r="K73" s="31" t="str">
        <f t="shared" si="26"/>
        <v>Too early</v>
      </c>
      <c r="L73" s="39">
        <f t="shared" si="33"/>
        <v>9551.5</v>
      </c>
      <c r="M73" s="32">
        <f t="shared" si="34"/>
        <v>111250</v>
      </c>
      <c r="N73" s="195">
        <f t="shared" si="35"/>
        <v>8.58561797752809E-2</v>
      </c>
      <c r="O73" s="31" t="str">
        <f t="shared" si="36"/>
        <v>Too early</v>
      </c>
      <c r="P73" s="222">
        <v>134</v>
      </c>
      <c r="Q73" s="387">
        <f t="shared" si="27"/>
        <v>1106.7</v>
      </c>
      <c r="R73" s="206" t="str">
        <f>IF(B73&lt;7,(P73/VLOOKUP(B73,'Sales Pacing'!$A$23:$E$36,2)),"Too early")</f>
        <v>Too early</v>
      </c>
      <c r="S73" s="386" t="str">
        <f t="shared" si="28"/>
        <v>Too early</v>
      </c>
      <c r="T73" s="226">
        <v>9551.5</v>
      </c>
      <c r="U73" s="230">
        <v>111250</v>
      </c>
      <c r="V73" s="237">
        <f t="shared" si="37"/>
        <v>8.58561797752809E-2</v>
      </c>
      <c r="W73" s="207" t="str">
        <f t="shared" si="17"/>
        <v>Too early</v>
      </c>
      <c r="X73" s="222"/>
      <c r="Y73" s="226"/>
      <c r="Z73" s="230"/>
      <c r="AA73" s="207" t="str">
        <f t="shared" si="38"/>
        <v/>
      </c>
      <c r="AB73" s="233">
        <v>1302</v>
      </c>
      <c r="AC73" s="207">
        <f t="shared" si="29"/>
        <v>0.10291858678955453</v>
      </c>
      <c r="AD73" s="208">
        <f t="shared" si="39"/>
        <v>71.27985074626865</v>
      </c>
      <c r="AE73" s="218"/>
      <c r="AF73" s="218"/>
      <c r="AG73" s="218"/>
      <c r="AH73" s="346">
        <v>9361.5</v>
      </c>
      <c r="AI73" s="350">
        <f t="shared" si="40"/>
        <v>190</v>
      </c>
    </row>
    <row r="74" spans="1:35" s="143" customFormat="1" x14ac:dyDescent="0.35">
      <c r="A74" s="143">
        <v>25</v>
      </c>
      <c r="B74" s="143">
        <f t="shared" si="30"/>
        <v>21</v>
      </c>
      <c r="C74" s="144">
        <v>46069</v>
      </c>
      <c r="D74" s="143" t="s">
        <v>91</v>
      </c>
      <c r="G74" s="144">
        <v>46073.791666666664</v>
      </c>
      <c r="H74" s="143" t="s">
        <v>64</v>
      </c>
      <c r="I74" s="37">
        <f t="shared" si="31"/>
        <v>245</v>
      </c>
      <c r="J74" s="38" t="str">
        <f t="shared" si="32"/>
        <v>Too early</v>
      </c>
      <c r="K74" s="31" t="str">
        <f t="shared" si="26"/>
        <v>Too early</v>
      </c>
      <c r="L74" s="39">
        <f t="shared" si="33"/>
        <v>17743</v>
      </c>
      <c r="M74" s="32">
        <f t="shared" si="34"/>
        <v>111250</v>
      </c>
      <c r="N74" s="195">
        <f t="shared" si="35"/>
        <v>0.15948764044943819</v>
      </c>
      <c r="O74" s="31" t="str">
        <f t="shared" si="36"/>
        <v>Too early</v>
      </c>
      <c r="P74" s="222">
        <v>245</v>
      </c>
      <c r="Q74" s="387">
        <f t="shared" si="27"/>
        <v>1106.7</v>
      </c>
      <c r="R74" s="206" t="str">
        <f>IF(B74&lt;7,(P74/VLOOKUP(B74,'Sales Pacing'!$A$23:$E$36,2)),"Too early")</f>
        <v>Too early</v>
      </c>
      <c r="S74" s="386" t="str">
        <f t="shared" si="28"/>
        <v>Too early</v>
      </c>
      <c r="T74" s="226">
        <v>17743</v>
      </c>
      <c r="U74" s="230">
        <v>111250</v>
      </c>
      <c r="V74" s="237">
        <f t="shared" si="37"/>
        <v>0.15948764044943819</v>
      </c>
      <c r="W74" s="207" t="str">
        <f t="shared" si="17"/>
        <v>Too early</v>
      </c>
      <c r="X74" s="222"/>
      <c r="Y74" s="226"/>
      <c r="Z74" s="230"/>
      <c r="AA74" s="207" t="str">
        <f t="shared" si="38"/>
        <v/>
      </c>
      <c r="AB74" s="233">
        <v>1302</v>
      </c>
      <c r="AC74" s="207">
        <f t="shared" si="29"/>
        <v>0.18817204301075269</v>
      </c>
      <c r="AD74" s="208">
        <f t="shared" si="39"/>
        <v>72.420408163265307</v>
      </c>
      <c r="AE74" s="218"/>
      <c r="AF74" s="218"/>
      <c r="AG74" s="218"/>
      <c r="AH74" s="346">
        <v>17663</v>
      </c>
      <c r="AI74" s="350">
        <f t="shared" si="40"/>
        <v>80</v>
      </c>
    </row>
    <row r="75" spans="1:35" s="143" customFormat="1" x14ac:dyDescent="0.35">
      <c r="A75" s="143">
        <v>25</v>
      </c>
      <c r="B75" s="143">
        <f t="shared" si="30"/>
        <v>21</v>
      </c>
      <c r="C75" s="144">
        <v>46069</v>
      </c>
      <c r="D75" s="143" t="s">
        <v>91</v>
      </c>
      <c r="G75" s="144">
        <v>46074.791666666664</v>
      </c>
      <c r="H75" s="143" t="s">
        <v>64</v>
      </c>
      <c r="I75" s="37">
        <f t="shared" si="31"/>
        <v>444</v>
      </c>
      <c r="J75" s="38" t="str">
        <f t="shared" si="32"/>
        <v>Too early</v>
      </c>
      <c r="K75" s="31" t="str">
        <f t="shared" si="26"/>
        <v>Too early</v>
      </c>
      <c r="L75" s="39">
        <f t="shared" si="33"/>
        <v>33393</v>
      </c>
      <c r="M75" s="32">
        <f t="shared" si="34"/>
        <v>111250</v>
      </c>
      <c r="N75" s="195">
        <f t="shared" si="35"/>
        <v>0.30016179775280899</v>
      </c>
      <c r="O75" s="31" t="str">
        <f t="shared" si="36"/>
        <v>Too early</v>
      </c>
      <c r="P75" s="222">
        <v>444</v>
      </c>
      <c r="Q75" s="387">
        <f t="shared" si="27"/>
        <v>1106.7</v>
      </c>
      <c r="R75" s="206" t="str">
        <f>IF(B75&lt;7,(P75/VLOOKUP(B75,'Sales Pacing'!$A$23:$E$36,2)),"Too early")</f>
        <v>Too early</v>
      </c>
      <c r="S75" s="386" t="str">
        <f t="shared" si="28"/>
        <v>Too early</v>
      </c>
      <c r="T75" s="226">
        <v>33393</v>
      </c>
      <c r="U75" s="230">
        <v>111250</v>
      </c>
      <c r="V75" s="237">
        <f t="shared" si="37"/>
        <v>0.30016179775280899</v>
      </c>
      <c r="W75" s="207" t="str">
        <f t="shared" ref="W75:W117" si="41">IF($R75="Too early",R75,R75*AD75/U75)</f>
        <v>Too early</v>
      </c>
      <c r="X75" s="222"/>
      <c r="Y75" s="226"/>
      <c r="Z75" s="230"/>
      <c r="AA75" s="207" t="str">
        <f t="shared" si="38"/>
        <v/>
      </c>
      <c r="AB75" s="233">
        <v>1302</v>
      </c>
      <c r="AC75" s="207">
        <f t="shared" si="29"/>
        <v>0.34101382488479265</v>
      </c>
      <c r="AD75" s="208">
        <f t="shared" si="39"/>
        <v>75.209459459459453</v>
      </c>
      <c r="AE75" s="218"/>
      <c r="AF75" s="218"/>
      <c r="AG75" s="218"/>
      <c r="AH75" s="346">
        <v>31515</v>
      </c>
      <c r="AI75" s="350">
        <f t="shared" si="40"/>
        <v>1878</v>
      </c>
    </row>
    <row r="76" spans="1:35" s="147" customFormat="1" x14ac:dyDescent="0.35">
      <c r="A76" s="147">
        <v>25</v>
      </c>
      <c r="B76" s="147">
        <f t="shared" si="30"/>
        <v>21</v>
      </c>
      <c r="C76" s="148">
        <v>46069</v>
      </c>
      <c r="D76" s="147" t="s">
        <v>91</v>
      </c>
      <c r="G76" s="148">
        <v>46075.583333333336</v>
      </c>
      <c r="H76" s="147" t="s">
        <v>64</v>
      </c>
      <c r="I76" s="149">
        <f t="shared" si="31"/>
        <v>505</v>
      </c>
      <c r="J76" s="33" t="str">
        <f t="shared" si="32"/>
        <v>Too early</v>
      </c>
      <c r="K76" s="34" t="str">
        <f t="shared" si="26"/>
        <v>Too early</v>
      </c>
      <c r="L76" s="35">
        <f t="shared" si="33"/>
        <v>34032.5</v>
      </c>
      <c r="M76" s="36">
        <f t="shared" si="34"/>
        <v>111250</v>
      </c>
      <c r="N76" s="196">
        <f t="shared" si="35"/>
        <v>0.30591011235955057</v>
      </c>
      <c r="O76" s="34" t="str">
        <f t="shared" si="36"/>
        <v>Too early</v>
      </c>
      <c r="P76" s="223">
        <v>505</v>
      </c>
      <c r="Q76" s="402">
        <f t="shared" si="27"/>
        <v>1106.7</v>
      </c>
      <c r="R76" s="209" t="str">
        <f>IF(B76&lt;7,(P76/VLOOKUP(B76,'Sales Pacing'!$A$23:$E$36,2)),"Too early")</f>
        <v>Too early</v>
      </c>
      <c r="S76" s="403" t="str">
        <f t="shared" si="28"/>
        <v>Too early</v>
      </c>
      <c r="T76" s="227">
        <v>34032.5</v>
      </c>
      <c r="U76" s="230">
        <v>111250</v>
      </c>
      <c r="V76" s="237">
        <f t="shared" si="37"/>
        <v>0.30591011235955057</v>
      </c>
      <c r="W76" s="210" t="str">
        <f t="shared" si="41"/>
        <v>Too early</v>
      </c>
      <c r="X76" s="223"/>
      <c r="Y76" s="227"/>
      <c r="Z76" s="231"/>
      <c r="AA76" s="210" t="str">
        <f t="shared" si="38"/>
        <v/>
      </c>
      <c r="AB76" s="234">
        <v>1302</v>
      </c>
      <c r="AC76" s="210">
        <f t="shared" si="29"/>
        <v>0.38786482334869432</v>
      </c>
      <c r="AD76" s="211">
        <f t="shared" si="39"/>
        <v>67.39108910891089</v>
      </c>
      <c r="AE76" s="219"/>
      <c r="AF76" s="219"/>
      <c r="AG76" s="219"/>
      <c r="AH76" s="348">
        <v>33792.5</v>
      </c>
      <c r="AI76" s="350">
        <f t="shared" si="40"/>
        <v>240</v>
      </c>
    </row>
    <row r="77" spans="1:35" s="147" customFormat="1" x14ac:dyDescent="0.35">
      <c r="A77" s="147">
        <v>26</v>
      </c>
      <c r="B77" s="147">
        <f t="shared" si="30"/>
        <v>22</v>
      </c>
      <c r="C77" s="148">
        <v>46076</v>
      </c>
      <c r="D77" s="147" t="s">
        <v>92</v>
      </c>
      <c r="G77" s="148">
        <v>46082.583333333336</v>
      </c>
      <c r="H77" s="147" t="s">
        <v>59</v>
      </c>
      <c r="I77" s="149">
        <f t="shared" si="31"/>
        <v>357</v>
      </c>
      <c r="J77" s="33" t="str">
        <f t="shared" si="32"/>
        <v>Too early</v>
      </c>
      <c r="K77" s="34" t="str">
        <f t="shared" si="26"/>
        <v>Too early</v>
      </c>
      <c r="L77" s="35">
        <f t="shared" si="33"/>
        <v>8297</v>
      </c>
      <c r="M77" s="36">
        <f t="shared" si="34"/>
        <v>19500</v>
      </c>
      <c r="N77" s="196">
        <f t="shared" si="35"/>
        <v>0.42548717948717951</v>
      </c>
      <c r="O77" s="34" t="str">
        <f t="shared" si="36"/>
        <v>Too early</v>
      </c>
      <c r="P77" s="223">
        <v>50</v>
      </c>
      <c r="Q77" s="387">
        <f t="shared" si="27"/>
        <v>845.75</v>
      </c>
      <c r="R77" s="209" t="str">
        <f>IF(B77&lt;7,(P77/VLOOKUP(B77,'Sales Pacing'!$A$23:$E$36,2)),"Too early")</f>
        <v>Too early</v>
      </c>
      <c r="S77" s="386" t="str">
        <f t="shared" si="28"/>
        <v>Too early</v>
      </c>
      <c r="T77" s="227">
        <v>1461</v>
      </c>
      <c r="U77" s="231">
        <v>10000</v>
      </c>
      <c r="V77" s="238">
        <f t="shared" si="37"/>
        <v>0.14610000000000001</v>
      </c>
      <c r="W77" s="210" t="str">
        <f t="shared" si="41"/>
        <v>Too early</v>
      </c>
      <c r="X77" s="223">
        <v>307</v>
      </c>
      <c r="Y77" s="227">
        <v>6836</v>
      </c>
      <c r="Z77" s="231">
        <v>9500</v>
      </c>
      <c r="AA77" s="210">
        <f t="shared" si="38"/>
        <v>0.7195789473684211</v>
      </c>
      <c r="AB77" s="234">
        <v>1302</v>
      </c>
      <c r="AC77" s="207">
        <f t="shared" si="29"/>
        <v>0.27419354838709675</v>
      </c>
      <c r="AD77" s="211">
        <f t="shared" si="39"/>
        <v>23.240896358543417</v>
      </c>
      <c r="AE77" s="219"/>
      <c r="AF77" s="219"/>
      <c r="AG77" s="219"/>
      <c r="AH77" s="348">
        <v>8100</v>
      </c>
      <c r="AI77" s="350">
        <f t="shared" si="40"/>
        <v>197</v>
      </c>
    </row>
    <row r="78" spans="1:35" s="186" customFormat="1" x14ac:dyDescent="0.35">
      <c r="A78" s="186">
        <v>27</v>
      </c>
      <c r="B78" s="186">
        <f t="shared" si="30"/>
        <v>23</v>
      </c>
      <c r="C78" s="187">
        <v>46083</v>
      </c>
      <c r="D78" s="186" t="s">
        <v>71</v>
      </c>
      <c r="G78" s="198"/>
      <c r="H78" s="199"/>
      <c r="I78" s="200">
        <f t="shared" si="31"/>
        <v>0</v>
      </c>
      <c r="J78" s="201" t="str">
        <f t="shared" si="32"/>
        <v>Too early</v>
      </c>
      <c r="K78" s="202"/>
      <c r="L78" s="203">
        <f t="shared" si="33"/>
        <v>0</v>
      </c>
      <c r="M78" s="204">
        <f t="shared" si="34"/>
        <v>0</v>
      </c>
      <c r="N78" s="205" t="e">
        <f t="shared" si="35"/>
        <v>#DIV/0!</v>
      </c>
      <c r="O78" s="202"/>
      <c r="P78" s="224"/>
      <c r="Q78" s="224"/>
      <c r="R78" s="212" t="str">
        <f>IF(B78&lt;7,(P78/VLOOKUP(B78,'Sales Pacing'!$A$23:$E$36,2)),"Too early")</f>
        <v>Too early</v>
      </c>
      <c r="S78" s="212"/>
      <c r="T78" s="228"/>
      <c r="U78" s="228"/>
      <c r="V78" s="239" t="str">
        <f t="shared" si="37"/>
        <v/>
      </c>
      <c r="W78" s="213"/>
      <c r="X78" s="224"/>
      <c r="Y78" s="228"/>
      <c r="Z78" s="228"/>
      <c r="AA78" s="213" t="s">
        <v>55</v>
      </c>
      <c r="AB78" s="224"/>
      <c r="AC78" s="213" t="e">
        <f t="shared" si="25"/>
        <v>#DIV/0!</v>
      </c>
      <c r="AD78" s="214" t="e">
        <f t="shared" si="39"/>
        <v>#DIV/0!</v>
      </c>
      <c r="AE78" s="220"/>
      <c r="AF78" s="220"/>
      <c r="AG78" s="220"/>
      <c r="AH78" s="347">
        <v>0</v>
      </c>
    </row>
    <row r="79" spans="1:35" s="143" customFormat="1" x14ac:dyDescent="0.35">
      <c r="A79" s="143">
        <v>28</v>
      </c>
      <c r="B79" s="143">
        <f t="shared" si="30"/>
        <v>24</v>
      </c>
      <c r="C79" s="144">
        <v>46090</v>
      </c>
      <c r="D79" s="143" t="s">
        <v>93</v>
      </c>
      <c r="G79" s="144">
        <v>46094.833333333336</v>
      </c>
      <c r="H79" s="143" t="s">
        <v>62</v>
      </c>
      <c r="I79" s="37">
        <f t="shared" si="31"/>
        <v>626</v>
      </c>
      <c r="J79" s="38" t="str">
        <f t="shared" si="32"/>
        <v>Too early</v>
      </c>
      <c r="K79" s="31" t="str">
        <f>IF(J79="Too early",J79,J79/AB79)</f>
        <v>Too early</v>
      </c>
      <c r="L79" s="39">
        <f t="shared" si="33"/>
        <v>41199</v>
      </c>
      <c r="M79" s="32">
        <f t="shared" si="34"/>
        <v>54999</v>
      </c>
      <c r="N79" s="195">
        <f t="shared" si="35"/>
        <v>0.74908634702449139</v>
      </c>
      <c r="O79" s="31" t="str">
        <f t="shared" si="36"/>
        <v>Too early</v>
      </c>
      <c r="P79" s="222">
        <v>53</v>
      </c>
      <c r="Q79" s="387">
        <f t="shared" ref="Q79:Q81" si="42">(AB79-X79)*0.85</f>
        <v>864.44999999999993</v>
      </c>
      <c r="R79" s="206" t="str">
        <f>IF(B79&lt;7,(P79/VLOOKUP(B79,'Sales Pacing'!$A$23:$E$36,2)),"Too early")</f>
        <v>Too early</v>
      </c>
      <c r="S79" s="386" t="str">
        <f t="shared" ref="S79:S81" si="43">IF(R79="Too early","Too early",R79/Q79)</f>
        <v>Too early</v>
      </c>
      <c r="T79" s="226">
        <v>2862</v>
      </c>
      <c r="U79" s="230">
        <v>18333</v>
      </c>
      <c r="V79" s="237">
        <f t="shared" si="37"/>
        <v>0.1561119293078056</v>
      </c>
      <c r="W79" s="207" t="str">
        <f t="shared" si="41"/>
        <v>Too early</v>
      </c>
      <c r="X79" s="222">
        <v>573</v>
      </c>
      <c r="Y79" s="226">
        <v>38337</v>
      </c>
      <c r="Z79" s="230">
        <v>36666</v>
      </c>
      <c r="AA79" s="207">
        <f t="shared" si="38"/>
        <v>1.0455735558828343</v>
      </c>
      <c r="AB79" s="233">
        <v>1590</v>
      </c>
      <c r="AC79" s="207">
        <f t="shared" si="25"/>
        <v>0.39371069182389939</v>
      </c>
      <c r="AD79" s="208">
        <f t="shared" si="39"/>
        <v>65.813099041533548</v>
      </c>
      <c r="AE79" s="218"/>
      <c r="AF79" s="218"/>
      <c r="AG79" s="218"/>
      <c r="AH79" s="346">
        <v>40846</v>
      </c>
      <c r="AI79" s="350">
        <f t="shared" si="40"/>
        <v>353</v>
      </c>
    </row>
    <row r="80" spans="1:35" s="143" customFormat="1" x14ac:dyDescent="0.35">
      <c r="A80" s="143">
        <v>28</v>
      </c>
      <c r="B80" s="143">
        <f t="shared" si="30"/>
        <v>24</v>
      </c>
      <c r="C80" s="144">
        <v>46090</v>
      </c>
      <c r="D80" s="143" t="s">
        <v>93</v>
      </c>
      <c r="G80" s="144">
        <v>46095.833333333336</v>
      </c>
      <c r="H80" s="143" t="s">
        <v>62</v>
      </c>
      <c r="I80" s="37">
        <f t="shared" si="31"/>
        <v>623</v>
      </c>
      <c r="J80" s="38" t="str">
        <f t="shared" si="32"/>
        <v>Too early</v>
      </c>
      <c r="K80" s="31" t="str">
        <f>IF(J80="Too early",J80,J80/AB80)</f>
        <v>Too early</v>
      </c>
      <c r="L80" s="39">
        <f t="shared" si="33"/>
        <v>39776.199999999997</v>
      </c>
      <c r="M80" s="32">
        <f t="shared" si="34"/>
        <v>55000</v>
      </c>
      <c r="N80" s="195">
        <f t="shared" si="35"/>
        <v>0.72320363636363627</v>
      </c>
      <c r="O80" s="31" t="str">
        <f t="shared" si="36"/>
        <v>Too early</v>
      </c>
      <c r="P80" s="222">
        <v>61</v>
      </c>
      <c r="Q80" s="387">
        <f t="shared" si="42"/>
        <v>873.8</v>
      </c>
      <c r="R80" s="206" t="str">
        <f>IF(B80&lt;7,(P80/VLOOKUP(B80,'Sales Pacing'!$A$23:$E$36,2)),"Too early")</f>
        <v>Too early</v>
      </c>
      <c r="S80" s="386" t="str">
        <f t="shared" si="43"/>
        <v>Too early</v>
      </c>
      <c r="T80" s="226">
        <v>3360</v>
      </c>
      <c r="U80" s="230">
        <v>18333</v>
      </c>
      <c r="V80" s="237">
        <f t="shared" si="37"/>
        <v>0.18327605956471935</v>
      </c>
      <c r="W80" s="207" t="str">
        <f t="shared" si="41"/>
        <v>Too early</v>
      </c>
      <c r="X80" s="222">
        <v>562</v>
      </c>
      <c r="Y80" s="226">
        <v>36416.199999999997</v>
      </c>
      <c r="Z80" s="230">
        <v>36667</v>
      </c>
      <c r="AA80" s="207">
        <f t="shared" si="38"/>
        <v>0.99316006218125286</v>
      </c>
      <c r="AB80" s="233">
        <v>1590</v>
      </c>
      <c r="AC80" s="207">
        <f t="shared" si="25"/>
        <v>0.39182389937106921</v>
      </c>
      <c r="AD80" s="208">
        <f t="shared" si="39"/>
        <v>63.846227929373995</v>
      </c>
      <c r="AE80" s="218"/>
      <c r="AF80" s="218"/>
      <c r="AG80" s="218"/>
      <c r="AH80" s="346">
        <v>39753.199999999997</v>
      </c>
      <c r="AI80" s="350">
        <f t="shared" si="40"/>
        <v>23</v>
      </c>
    </row>
    <row r="81" spans="1:35" s="147" customFormat="1" x14ac:dyDescent="0.35">
      <c r="A81" s="147">
        <v>28</v>
      </c>
      <c r="B81" s="147">
        <f t="shared" si="30"/>
        <v>24</v>
      </c>
      <c r="C81" s="148">
        <v>46090</v>
      </c>
      <c r="D81" s="147" t="s">
        <v>93</v>
      </c>
      <c r="G81" s="148">
        <v>46096.583333333336</v>
      </c>
      <c r="H81" s="147" t="s">
        <v>62</v>
      </c>
      <c r="I81" s="149">
        <f t="shared" si="31"/>
        <v>649</v>
      </c>
      <c r="J81" s="33" t="str">
        <f t="shared" si="32"/>
        <v>Too early</v>
      </c>
      <c r="K81" s="34" t="str">
        <f>IF(J81="Too early",J81,J81/AB81)</f>
        <v>Too early</v>
      </c>
      <c r="L81" s="35">
        <f t="shared" si="33"/>
        <v>41376.1</v>
      </c>
      <c r="M81" s="36">
        <f t="shared" si="34"/>
        <v>55000</v>
      </c>
      <c r="N81" s="196">
        <f t="shared" si="35"/>
        <v>0.75229272727272722</v>
      </c>
      <c r="O81" s="34" t="str">
        <f t="shared" si="36"/>
        <v>Too early</v>
      </c>
      <c r="P81" s="223">
        <v>76</v>
      </c>
      <c r="Q81" s="387">
        <f t="shared" si="42"/>
        <v>864.44999999999993</v>
      </c>
      <c r="R81" s="209" t="str">
        <f>IF(B81&lt;7,(P81/VLOOKUP(B81,'Sales Pacing'!$A$23:$E$36,2)),"Too early")</f>
        <v>Too early</v>
      </c>
      <c r="S81" s="386" t="str">
        <f t="shared" si="43"/>
        <v>Too early</v>
      </c>
      <c r="T81" s="227">
        <v>4624</v>
      </c>
      <c r="U81" s="231">
        <v>18333</v>
      </c>
      <c r="V81" s="238">
        <f t="shared" si="37"/>
        <v>0.25222276768668522</v>
      </c>
      <c r="W81" s="210" t="str">
        <f t="shared" si="41"/>
        <v>Too early</v>
      </c>
      <c r="X81" s="223">
        <v>573</v>
      </c>
      <c r="Y81" s="227">
        <v>36752.1</v>
      </c>
      <c r="Z81" s="231">
        <v>36667</v>
      </c>
      <c r="AA81" s="210">
        <f t="shared" si="38"/>
        <v>1.0023208879919272</v>
      </c>
      <c r="AB81" s="234">
        <v>1590</v>
      </c>
      <c r="AC81" s="207">
        <f t="shared" si="25"/>
        <v>0.40817610062893084</v>
      </c>
      <c r="AD81" s="211">
        <f t="shared" si="39"/>
        <v>63.753620955315867</v>
      </c>
      <c r="AE81" s="219"/>
      <c r="AF81" s="219"/>
      <c r="AG81" s="219"/>
      <c r="AH81" s="348">
        <v>41030.1</v>
      </c>
      <c r="AI81" s="350">
        <f t="shared" si="40"/>
        <v>346</v>
      </c>
    </row>
    <row r="82" spans="1:35" s="186" customFormat="1" x14ac:dyDescent="0.35">
      <c r="A82" s="186">
        <v>29</v>
      </c>
      <c r="B82" s="186">
        <f t="shared" si="30"/>
        <v>25</v>
      </c>
      <c r="C82" s="187">
        <v>46097</v>
      </c>
      <c r="D82" s="186" t="s">
        <v>71</v>
      </c>
      <c r="G82" s="198"/>
      <c r="H82" s="199"/>
      <c r="I82" s="356">
        <f t="shared" si="31"/>
        <v>0</v>
      </c>
      <c r="J82" s="357" t="str">
        <f t="shared" si="32"/>
        <v>Too early</v>
      </c>
      <c r="K82" s="358"/>
      <c r="L82" s="359">
        <f t="shared" si="33"/>
        <v>0</v>
      </c>
      <c r="M82" s="360">
        <f t="shared" si="34"/>
        <v>0</v>
      </c>
      <c r="N82" s="361" t="e">
        <f t="shared" si="35"/>
        <v>#DIV/0!</v>
      </c>
      <c r="O82" s="358"/>
      <c r="P82" s="362"/>
      <c r="Q82" s="362"/>
      <c r="R82" s="363" t="str">
        <f>IF(B82&lt;7,(P82/VLOOKUP(B82,'Sales Pacing'!$A$23:$E$36,2)),"Too early")</f>
        <v>Too early</v>
      </c>
      <c r="S82" s="363"/>
      <c r="T82" s="364"/>
      <c r="U82" s="364"/>
      <c r="V82" s="365" t="str">
        <f t="shared" si="37"/>
        <v/>
      </c>
      <c r="W82" s="366"/>
      <c r="X82" s="362"/>
      <c r="Y82" s="364"/>
      <c r="Z82" s="364"/>
      <c r="AA82" s="366" t="s">
        <v>55</v>
      </c>
      <c r="AB82" s="362"/>
      <c r="AC82" s="366" t="e">
        <f t="shared" si="25"/>
        <v>#DIV/0!</v>
      </c>
      <c r="AD82" s="367" t="e">
        <f t="shared" si="39"/>
        <v>#DIV/0!</v>
      </c>
      <c r="AE82" s="220"/>
      <c r="AF82" s="220"/>
      <c r="AG82" s="220"/>
      <c r="AH82" s="347">
        <v>0</v>
      </c>
    </row>
    <row r="83" spans="1:35" s="143" customFormat="1" x14ac:dyDescent="0.35">
      <c r="A83" s="143">
        <v>30</v>
      </c>
      <c r="B83" s="143">
        <f t="shared" ref="B83" si="44">A83-$G$4</f>
        <v>26</v>
      </c>
      <c r="C83" s="144">
        <v>46104</v>
      </c>
      <c r="D83" s="143" t="s">
        <v>94</v>
      </c>
      <c r="G83" s="144">
        <v>46106</v>
      </c>
      <c r="H83" s="143" t="s">
        <v>52</v>
      </c>
      <c r="I83" s="302">
        <f>P83+X83</f>
        <v>86</v>
      </c>
      <c r="J83" s="302" t="str">
        <f>IF(R83="Too early",R83,R83+X83)</f>
        <v>Too early</v>
      </c>
      <c r="K83" s="31" t="str">
        <f>IF(J83="Too early",J83,J83/AB83)</f>
        <v>Too early</v>
      </c>
      <c r="L83" s="303">
        <f>T83+Y83</f>
        <v>5437</v>
      </c>
      <c r="M83" s="304">
        <f>U83+Z83</f>
        <v>84109</v>
      </c>
      <c r="N83" s="305">
        <f>L83/M83</f>
        <v>6.464230938425139E-2</v>
      </c>
      <c r="O83" s="31" t="str">
        <f t="shared" si="36"/>
        <v>Too early</v>
      </c>
      <c r="P83" s="242">
        <v>86</v>
      </c>
      <c r="Q83" s="387">
        <f t="shared" ref="Q83:Q87" si="45">(AB83-X83)*0.85</f>
        <v>1351.5</v>
      </c>
      <c r="R83" s="206" t="str">
        <f>IF(B83&lt;7,(P83/VLOOKUP(B83,'Sales Pacing'!$A$23:$E$36,2)),"Too early")</f>
        <v>Too early</v>
      </c>
      <c r="S83" s="386" t="str">
        <f t="shared" ref="S83:S87" si="46">IF(R83="Too early","Too early",R83/Q83)</f>
        <v>Too early</v>
      </c>
      <c r="T83" s="226">
        <v>5437</v>
      </c>
      <c r="U83" s="230">
        <v>84109</v>
      </c>
      <c r="V83" s="237">
        <f>IF(T83&gt;0,T83/U83,"")</f>
        <v>6.464230938425139E-2</v>
      </c>
      <c r="W83" s="207" t="str">
        <f t="shared" si="41"/>
        <v>Too early</v>
      </c>
      <c r="X83" s="222"/>
      <c r="Y83" s="226"/>
      <c r="Z83" s="230"/>
      <c r="AA83" s="207"/>
      <c r="AB83" s="233">
        <v>1590</v>
      </c>
      <c r="AC83" s="207">
        <f t="shared" si="25"/>
        <v>5.4088050314465411E-2</v>
      </c>
      <c r="AD83" s="304">
        <f>L83/I83</f>
        <v>63.220930232558139</v>
      </c>
      <c r="AE83" s="218"/>
      <c r="AF83" s="218"/>
      <c r="AG83" s="218"/>
      <c r="AH83" s="346">
        <v>5437</v>
      </c>
      <c r="AI83" s="350">
        <f t="shared" si="40"/>
        <v>0</v>
      </c>
    </row>
    <row r="84" spans="1:35" s="147" customFormat="1" x14ac:dyDescent="0.35">
      <c r="A84" s="147">
        <v>30</v>
      </c>
      <c r="B84" s="147">
        <f t="shared" ref="B84" si="47">A84-$G$4</f>
        <v>26</v>
      </c>
      <c r="C84" s="148">
        <v>46104</v>
      </c>
      <c r="D84" s="147" t="s">
        <v>94</v>
      </c>
      <c r="G84" s="148">
        <v>46107</v>
      </c>
      <c r="H84" s="147" t="s">
        <v>52</v>
      </c>
      <c r="I84" s="291">
        <f>P84+X84</f>
        <v>87</v>
      </c>
      <c r="J84" s="291" t="str">
        <f>IF(R84="Too early",R84,R84+X84)</f>
        <v>Too early</v>
      </c>
      <c r="K84" s="34" t="str">
        <f>IF(J84="Too early",J84,J84/AB84)</f>
        <v>Too early</v>
      </c>
      <c r="L84" s="292">
        <f>T84+Y84</f>
        <v>5027.5</v>
      </c>
      <c r="M84" s="296">
        <f>U84+Z84</f>
        <v>84109</v>
      </c>
      <c r="N84" s="293">
        <f>L84/M84</f>
        <v>5.9773627079147296E-2</v>
      </c>
      <c r="O84" s="34" t="str">
        <f t="shared" si="36"/>
        <v>Too early</v>
      </c>
      <c r="P84" s="244">
        <v>87</v>
      </c>
      <c r="Q84" s="402">
        <f t="shared" si="45"/>
        <v>1351.5</v>
      </c>
      <c r="R84" s="209" t="str">
        <f>IF(B84&lt;7,(P84/VLOOKUP(B84,'Sales Pacing'!$A$23:$E$36,2)),"Too early")</f>
        <v>Too early</v>
      </c>
      <c r="S84" s="403" t="str">
        <f t="shared" si="46"/>
        <v>Too early</v>
      </c>
      <c r="T84" s="227">
        <v>5027.5</v>
      </c>
      <c r="U84" s="231">
        <v>84109</v>
      </c>
      <c r="V84" s="238">
        <f>IF(T84&gt;0,T84/U84,"")</f>
        <v>5.9773627079147296E-2</v>
      </c>
      <c r="W84" s="210" t="str">
        <f t="shared" si="41"/>
        <v>Too early</v>
      </c>
      <c r="X84" s="223"/>
      <c r="Y84" s="227"/>
      <c r="Z84" s="231"/>
      <c r="AA84" s="210"/>
      <c r="AB84" s="234">
        <v>1590</v>
      </c>
      <c r="AC84" s="210">
        <f t="shared" si="25"/>
        <v>5.4716981132075473E-2</v>
      </c>
      <c r="AD84" s="296">
        <f>L84/I84</f>
        <v>57.787356321839077</v>
      </c>
      <c r="AE84" s="219"/>
      <c r="AF84" s="219"/>
      <c r="AG84" s="219"/>
      <c r="AH84" s="348">
        <v>5027.5</v>
      </c>
      <c r="AI84" s="352">
        <f t="shared" si="40"/>
        <v>0</v>
      </c>
    </row>
    <row r="85" spans="1:35" s="143" customFormat="1" x14ac:dyDescent="0.35">
      <c r="A85" s="143">
        <v>30</v>
      </c>
      <c r="B85" s="143">
        <f t="shared" si="30"/>
        <v>26</v>
      </c>
      <c r="C85" s="144">
        <v>46104</v>
      </c>
      <c r="D85" s="143" t="s">
        <v>95</v>
      </c>
      <c r="G85" s="144">
        <v>46108.833333333336</v>
      </c>
      <c r="H85" s="143" t="s">
        <v>57</v>
      </c>
      <c r="I85" s="37">
        <f t="shared" si="31"/>
        <v>903</v>
      </c>
      <c r="J85" s="38" t="str">
        <f t="shared" si="32"/>
        <v>Too early</v>
      </c>
      <c r="K85" s="31" t="str">
        <f>IF(J85="Too early",J85,J85/AB85)</f>
        <v>Too early</v>
      </c>
      <c r="L85" s="39">
        <f t="shared" si="33"/>
        <v>64363.1</v>
      </c>
      <c r="M85" s="32">
        <f t="shared" si="34"/>
        <v>94666</v>
      </c>
      <c r="N85" s="195">
        <f t="shared" si="35"/>
        <v>0.67989668941330572</v>
      </c>
      <c r="O85" s="31" t="str">
        <f t="shared" si="36"/>
        <v>Too early</v>
      </c>
      <c r="P85" s="222">
        <v>164</v>
      </c>
      <c r="Q85" s="387">
        <f t="shared" si="45"/>
        <v>723.35</v>
      </c>
      <c r="R85" s="206" t="str">
        <f>IF(B85&lt;7,(P85/VLOOKUP(B85,'Sales Pacing'!$A$23:$E$36,2)),"Too early")</f>
        <v>Too early</v>
      </c>
      <c r="S85" s="386" t="str">
        <f t="shared" si="46"/>
        <v>Too early</v>
      </c>
      <c r="T85" s="226">
        <v>11069</v>
      </c>
      <c r="U85" s="230">
        <v>53333</v>
      </c>
      <c r="V85" s="237">
        <f t="shared" si="37"/>
        <v>0.20754504715654473</v>
      </c>
      <c r="W85" s="207" t="str">
        <f t="shared" si="41"/>
        <v>Too early</v>
      </c>
      <c r="X85" s="222">
        <v>739</v>
      </c>
      <c r="Y85" s="226">
        <v>53294.1</v>
      </c>
      <c r="Z85" s="230">
        <v>41333</v>
      </c>
      <c r="AA85" s="207">
        <f t="shared" si="38"/>
        <v>1.2893837853531076</v>
      </c>
      <c r="AB85" s="233">
        <v>1590</v>
      </c>
      <c r="AC85" s="207">
        <f t="shared" si="25"/>
        <v>0.56792452830188678</v>
      </c>
      <c r="AD85" s="208">
        <f t="shared" si="39"/>
        <v>71.276965669988925</v>
      </c>
      <c r="AE85" s="218"/>
      <c r="AF85" s="218"/>
      <c r="AG85" s="218"/>
      <c r="AH85" s="346">
        <v>64129.1</v>
      </c>
      <c r="AI85" s="350">
        <f t="shared" si="40"/>
        <v>234</v>
      </c>
    </row>
    <row r="86" spans="1:35" s="143" customFormat="1" x14ac:dyDescent="0.35">
      <c r="A86" s="143">
        <v>30</v>
      </c>
      <c r="B86" s="143">
        <f t="shared" si="30"/>
        <v>26</v>
      </c>
      <c r="C86" s="144">
        <v>46104</v>
      </c>
      <c r="D86" s="143" t="s">
        <v>95</v>
      </c>
      <c r="G86" s="144">
        <v>46109.833333333336</v>
      </c>
      <c r="H86" s="143" t="s">
        <v>57</v>
      </c>
      <c r="I86" s="37">
        <f t="shared" si="31"/>
        <v>855</v>
      </c>
      <c r="J86" s="38" t="str">
        <f t="shared" si="32"/>
        <v>Too early</v>
      </c>
      <c r="K86" s="31" t="str">
        <f>IF(J86="Too early",J86,J86/AB86)</f>
        <v>Too early</v>
      </c>
      <c r="L86" s="39">
        <f t="shared" si="33"/>
        <v>61452.800000000003</v>
      </c>
      <c r="M86" s="32">
        <f t="shared" si="34"/>
        <v>94667</v>
      </c>
      <c r="N86" s="195">
        <f t="shared" si="35"/>
        <v>0.64914701004573927</v>
      </c>
      <c r="O86" s="31" t="str">
        <f t="shared" si="36"/>
        <v>Too early</v>
      </c>
      <c r="P86" s="222">
        <v>185</v>
      </c>
      <c r="Q86" s="387">
        <f t="shared" si="45"/>
        <v>782</v>
      </c>
      <c r="R86" s="206" t="str">
        <f>IF(B86&lt;7,(P86/VLOOKUP(B86,'Sales Pacing'!$A$23:$E$36,2)),"Too early")</f>
        <v>Too early</v>
      </c>
      <c r="S86" s="386" t="str">
        <f t="shared" si="46"/>
        <v>Too early</v>
      </c>
      <c r="T86" s="226">
        <v>13007</v>
      </c>
      <c r="U86" s="230">
        <v>53333</v>
      </c>
      <c r="V86" s="237">
        <f t="shared" si="37"/>
        <v>0.24388277426733918</v>
      </c>
      <c r="W86" s="207" t="str">
        <f t="shared" si="41"/>
        <v>Too early</v>
      </c>
      <c r="X86" s="222">
        <v>670</v>
      </c>
      <c r="Y86" s="226">
        <v>48445.8</v>
      </c>
      <c r="Z86" s="230">
        <v>41334</v>
      </c>
      <c r="AA86" s="207">
        <f t="shared" si="38"/>
        <v>1.1720569023080274</v>
      </c>
      <c r="AB86" s="233">
        <v>1590</v>
      </c>
      <c r="AC86" s="207">
        <f t="shared" si="25"/>
        <v>0.53773584905660377</v>
      </c>
      <c r="AD86" s="208">
        <f t="shared" si="39"/>
        <v>71.874619883040936</v>
      </c>
      <c r="AE86" s="218"/>
      <c r="AF86" s="218"/>
      <c r="AG86" s="218"/>
      <c r="AH86" s="346">
        <v>60900.800000000003</v>
      </c>
      <c r="AI86" s="350">
        <f t="shared" si="40"/>
        <v>552</v>
      </c>
    </row>
    <row r="87" spans="1:35" s="143" customFormat="1" x14ac:dyDescent="0.35">
      <c r="A87" s="143">
        <v>30</v>
      </c>
      <c r="B87" s="143">
        <f t="shared" si="30"/>
        <v>26</v>
      </c>
      <c r="C87" s="144">
        <v>46104</v>
      </c>
      <c r="D87" s="143" t="s">
        <v>95</v>
      </c>
      <c r="G87" s="144">
        <v>46110.583333333336</v>
      </c>
      <c r="H87" s="143" t="s">
        <v>57</v>
      </c>
      <c r="I87" s="38">
        <f t="shared" si="31"/>
        <v>619</v>
      </c>
      <c r="J87" s="38" t="str">
        <f t="shared" si="32"/>
        <v>Too early</v>
      </c>
      <c r="K87" s="31" t="str">
        <f>IF(J87="Too early",J87,J87/AB87)</f>
        <v>Too early</v>
      </c>
      <c r="L87" s="39">
        <f t="shared" si="33"/>
        <v>43141.599999999999</v>
      </c>
      <c r="M87" s="32">
        <f t="shared" si="34"/>
        <v>94666</v>
      </c>
      <c r="N87" s="195">
        <f t="shared" si="35"/>
        <v>0.45572433608687385</v>
      </c>
      <c r="O87" s="31" t="str">
        <f t="shared" si="36"/>
        <v>Too early</v>
      </c>
      <c r="P87" s="222">
        <v>230</v>
      </c>
      <c r="Q87" s="387">
        <f t="shared" si="45"/>
        <v>1020.85</v>
      </c>
      <c r="R87" s="206" t="str">
        <f>IF(B87&lt;7,(P87/VLOOKUP(B87,'Sales Pacing'!$A$23:$E$36,2)),"Too early")</f>
        <v>Too early</v>
      </c>
      <c r="S87" s="386" t="str">
        <f t="shared" si="46"/>
        <v>Too early</v>
      </c>
      <c r="T87" s="226">
        <v>16690</v>
      </c>
      <c r="U87" s="230">
        <v>53333</v>
      </c>
      <c r="V87" s="237">
        <f t="shared" si="37"/>
        <v>0.31293945587159921</v>
      </c>
      <c r="W87" s="207" t="str">
        <f t="shared" si="41"/>
        <v>Too early</v>
      </c>
      <c r="X87" s="222">
        <v>389</v>
      </c>
      <c r="Y87" s="226">
        <v>26451.599999999999</v>
      </c>
      <c r="Z87" s="230">
        <v>41333</v>
      </c>
      <c r="AA87" s="207">
        <f t="shared" si="38"/>
        <v>0.63996322550988316</v>
      </c>
      <c r="AB87" s="233">
        <v>1590</v>
      </c>
      <c r="AC87" s="207">
        <f t="shared" si="25"/>
        <v>0.38930817610062896</v>
      </c>
      <c r="AD87" s="208">
        <f t="shared" si="39"/>
        <v>69.695638126009698</v>
      </c>
      <c r="AE87" s="218"/>
      <c r="AF87" s="218"/>
      <c r="AG87" s="218"/>
      <c r="AH87" s="346">
        <v>41992.6</v>
      </c>
      <c r="AI87" s="350">
        <f t="shared" si="40"/>
        <v>1149</v>
      </c>
    </row>
    <row r="88" spans="1:35" s="186" customFormat="1" x14ac:dyDescent="0.35">
      <c r="A88" s="186">
        <v>31</v>
      </c>
      <c r="B88" s="186">
        <f t="shared" si="30"/>
        <v>27</v>
      </c>
      <c r="C88" s="187">
        <v>46111</v>
      </c>
      <c r="D88" s="186" t="s">
        <v>71</v>
      </c>
      <c r="G88" s="198"/>
      <c r="H88" s="199"/>
      <c r="I88" s="200">
        <f t="shared" si="31"/>
        <v>0</v>
      </c>
      <c r="J88" s="201" t="str">
        <f t="shared" si="32"/>
        <v>Too early</v>
      </c>
      <c r="K88" s="202"/>
      <c r="L88" s="203">
        <f t="shared" si="33"/>
        <v>0</v>
      </c>
      <c r="M88" s="204">
        <f t="shared" si="34"/>
        <v>0</v>
      </c>
      <c r="N88" s="205" t="e">
        <f t="shared" si="35"/>
        <v>#DIV/0!</v>
      </c>
      <c r="O88" s="202"/>
      <c r="P88" s="224"/>
      <c r="Q88" s="224"/>
      <c r="R88" s="212" t="str">
        <f>IF(B88&lt;7,(P88/VLOOKUP(B88,'Sales Pacing'!$A$23:$E$36,2)),"Too early")</f>
        <v>Too early</v>
      </c>
      <c r="S88" s="212"/>
      <c r="T88" s="228"/>
      <c r="U88" s="228"/>
      <c r="V88" s="239" t="str">
        <f t="shared" si="37"/>
        <v/>
      </c>
      <c r="W88" s="213"/>
      <c r="X88" s="224"/>
      <c r="Y88" s="228"/>
      <c r="Z88" s="228"/>
      <c r="AA88" s="213" t="s">
        <v>55</v>
      </c>
      <c r="AB88" s="224"/>
      <c r="AC88" s="213" t="e">
        <f t="shared" ref="AC88:AC117" si="48">I88/AB88</f>
        <v>#DIV/0!</v>
      </c>
      <c r="AD88" s="214" t="e">
        <f t="shared" si="39"/>
        <v>#DIV/0!</v>
      </c>
      <c r="AE88" s="220"/>
      <c r="AF88" s="220"/>
      <c r="AG88" s="220"/>
      <c r="AH88" s="347">
        <v>0</v>
      </c>
    </row>
    <row r="89" spans="1:35" s="143" customFormat="1" x14ac:dyDescent="0.35">
      <c r="A89" s="143">
        <v>32</v>
      </c>
      <c r="B89" s="143">
        <f t="shared" si="30"/>
        <v>28</v>
      </c>
      <c r="C89" s="177">
        <v>46118</v>
      </c>
      <c r="D89" s="178" t="s">
        <v>96</v>
      </c>
      <c r="E89" s="178"/>
      <c r="F89" s="178"/>
      <c r="G89" s="177">
        <v>46122.833333333336</v>
      </c>
      <c r="H89" s="178" t="s">
        <v>62</v>
      </c>
      <c r="I89" s="37">
        <f t="shared" si="31"/>
        <v>420</v>
      </c>
      <c r="J89" s="38" t="str">
        <f t="shared" si="32"/>
        <v>Too early</v>
      </c>
      <c r="K89" s="31" t="str">
        <f t="shared" ref="K89:K94" si="49">IF(J89="Too early",J89,J89/AB89)</f>
        <v>Too early</v>
      </c>
      <c r="L89" s="39">
        <f t="shared" si="33"/>
        <v>28125</v>
      </c>
      <c r="M89" s="32">
        <f t="shared" si="34"/>
        <v>52000</v>
      </c>
      <c r="N89" s="195">
        <f t="shared" si="35"/>
        <v>0.54086538461538458</v>
      </c>
      <c r="O89" s="31" t="str">
        <f t="shared" si="36"/>
        <v>Too early</v>
      </c>
      <c r="P89" s="222">
        <v>52</v>
      </c>
      <c r="Q89" s="387">
        <f t="shared" ref="Q89:Q94" si="50">(AB89-X89)*0.85</f>
        <v>905.25</v>
      </c>
      <c r="R89" s="206" t="str">
        <f>IF(B89&lt;7,(P89/VLOOKUP(B89,'Sales Pacing'!$A$23:$E$36,2)),"Too early")</f>
        <v>Too early</v>
      </c>
      <c r="S89" s="386" t="str">
        <f t="shared" ref="S89:S94" si="51">IF(R89="Too early","Too early",R89/Q89)</f>
        <v>Too early</v>
      </c>
      <c r="T89" s="226">
        <v>2411</v>
      </c>
      <c r="U89" s="230">
        <v>22000</v>
      </c>
      <c r="V89" s="237">
        <f t="shared" si="37"/>
        <v>0.10959090909090909</v>
      </c>
      <c r="W89" s="207" t="str">
        <f t="shared" si="41"/>
        <v>Too early</v>
      </c>
      <c r="X89" s="222">
        <v>368</v>
      </c>
      <c r="Y89" s="226">
        <v>25714</v>
      </c>
      <c r="Z89" s="230">
        <v>30000</v>
      </c>
      <c r="AA89" s="207">
        <f t="shared" si="38"/>
        <v>0.8571333333333333</v>
      </c>
      <c r="AB89" s="233">
        <v>1433</v>
      </c>
      <c r="AC89" s="207">
        <f t="shared" si="48"/>
        <v>0.29309141660851362</v>
      </c>
      <c r="AD89" s="208">
        <f t="shared" si="39"/>
        <v>66.964285714285708</v>
      </c>
      <c r="AE89" s="218"/>
      <c r="AF89" s="218"/>
      <c r="AG89" s="218"/>
      <c r="AH89" s="346">
        <v>27729</v>
      </c>
      <c r="AI89" s="350">
        <f t="shared" si="40"/>
        <v>396</v>
      </c>
    </row>
    <row r="90" spans="1:35" s="143" customFormat="1" x14ac:dyDescent="0.35">
      <c r="A90" s="143">
        <v>32</v>
      </c>
      <c r="B90" s="143">
        <f t="shared" si="30"/>
        <v>28</v>
      </c>
      <c r="C90" s="144">
        <v>46118</v>
      </c>
      <c r="D90" s="143" t="s">
        <v>96</v>
      </c>
      <c r="G90" s="144">
        <v>46123.833333333336</v>
      </c>
      <c r="H90" s="143" t="s">
        <v>62</v>
      </c>
      <c r="I90" s="37">
        <f t="shared" si="31"/>
        <v>662</v>
      </c>
      <c r="J90" s="38" t="str">
        <f t="shared" si="32"/>
        <v>Too early</v>
      </c>
      <c r="K90" s="31" t="str">
        <f t="shared" si="49"/>
        <v>Too early</v>
      </c>
      <c r="L90" s="39">
        <f t="shared" si="33"/>
        <v>41374</v>
      </c>
      <c r="M90" s="32">
        <f t="shared" si="34"/>
        <v>74000</v>
      </c>
      <c r="N90" s="195">
        <f t="shared" si="35"/>
        <v>0.55910810810810807</v>
      </c>
      <c r="O90" s="31" t="str">
        <f t="shared" si="36"/>
        <v>Too early</v>
      </c>
      <c r="P90" s="222">
        <v>97</v>
      </c>
      <c r="Q90" s="387">
        <f t="shared" si="50"/>
        <v>737.8</v>
      </c>
      <c r="R90" s="206" t="str">
        <f>IF(B90&lt;7,(P90/VLOOKUP(B90,'Sales Pacing'!$A$23:$E$36,2)),"Too early")</f>
        <v>Too early</v>
      </c>
      <c r="S90" s="386" t="str">
        <f t="shared" si="51"/>
        <v>Too early</v>
      </c>
      <c r="T90" s="226">
        <v>5001</v>
      </c>
      <c r="U90" s="230">
        <v>24000</v>
      </c>
      <c r="V90" s="237">
        <f t="shared" si="37"/>
        <v>0.208375</v>
      </c>
      <c r="W90" s="207" t="str">
        <f t="shared" si="41"/>
        <v>Too early</v>
      </c>
      <c r="X90" s="222">
        <v>565</v>
      </c>
      <c r="Y90" s="226">
        <v>36373</v>
      </c>
      <c r="Z90" s="230">
        <v>50000</v>
      </c>
      <c r="AA90" s="207">
        <f t="shared" si="38"/>
        <v>0.72746</v>
      </c>
      <c r="AB90" s="233">
        <v>1433</v>
      </c>
      <c r="AC90" s="207">
        <f t="shared" si="48"/>
        <v>0.46196789951151429</v>
      </c>
      <c r="AD90" s="208">
        <f t="shared" si="39"/>
        <v>62.498489425981873</v>
      </c>
      <c r="AE90" s="218"/>
      <c r="AF90" s="218"/>
      <c r="AG90" s="218"/>
      <c r="AH90" s="346">
        <v>41302</v>
      </c>
      <c r="AI90" s="350">
        <f t="shared" si="40"/>
        <v>72</v>
      </c>
    </row>
    <row r="91" spans="1:35" s="147" customFormat="1" x14ac:dyDescent="0.35">
      <c r="A91" s="147">
        <v>32</v>
      </c>
      <c r="B91" s="147">
        <f t="shared" si="30"/>
        <v>28</v>
      </c>
      <c r="C91" s="148">
        <v>46118</v>
      </c>
      <c r="D91" s="147" t="s">
        <v>96</v>
      </c>
      <c r="G91" s="148">
        <v>46124.583333333336</v>
      </c>
      <c r="H91" s="147" t="s">
        <v>62</v>
      </c>
      <c r="I91" s="149">
        <f t="shared" si="31"/>
        <v>642</v>
      </c>
      <c r="J91" s="33" t="str">
        <f t="shared" si="32"/>
        <v>Too early</v>
      </c>
      <c r="K91" s="34" t="str">
        <f t="shared" si="49"/>
        <v>Too early</v>
      </c>
      <c r="L91" s="35">
        <f t="shared" si="33"/>
        <v>39965.1</v>
      </c>
      <c r="M91" s="36">
        <f t="shared" si="34"/>
        <v>74000</v>
      </c>
      <c r="N91" s="196">
        <f t="shared" si="35"/>
        <v>0.54006891891891895</v>
      </c>
      <c r="O91" s="34" t="str">
        <f t="shared" si="36"/>
        <v>Too early</v>
      </c>
      <c r="P91" s="223">
        <v>70</v>
      </c>
      <c r="Q91" s="402">
        <f t="shared" si="50"/>
        <v>731.85</v>
      </c>
      <c r="R91" s="209" t="str">
        <f>IF(B91&lt;7,(P91/VLOOKUP(B91,'Sales Pacing'!$A$23:$E$36,2)),"Too early")</f>
        <v>Too early</v>
      </c>
      <c r="S91" s="403" t="str">
        <f t="shared" si="51"/>
        <v>Too early</v>
      </c>
      <c r="T91" s="227">
        <v>3060</v>
      </c>
      <c r="U91" s="231">
        <v>24000</v>
      </c>
      <c r="V91" s="238">
        <f t="shared" si="37"/>
        <v>0.1275</v>
      </c>
      <c r="W91" s="210" t="str">
        <f t="shared" si="41"/>
        <v>Too early</v>
      </c>
      <c r="X91" s="223">
        <v>572</v>
      </c>
      <c r="Y91" s="227">
        <v>36905.1</v>
      </c>
      <c r="Z91" s="231">
        <v>50000</v>
      </c>
      <c r="AA91" s="210">
        <f t="shared" si="38"/>
        <v>0.73810199999999992</v>
      </c>
      <c r="AB91" s="234">
        <v>1433</v>
      </c>
      <c r="AC91" s="210">
        <f t="shared" si="48"/>
        <v>0.44801116538729935</v>
      </c>
      <c r="AD91" s="211">
        <f t="shared" si="39"/>
        <v>62.250934579439253</v>
      </c>
      <c r="AE91" s="219"/>
      <c r="AF91" s="219"/>
      <c r="AG91" s="219"/>
      <c r="AH91" s="348">
        <v>39738.1</v>
      </c>
      <c r="AI91" s="350">
        <f t="shared" si="40"/>
        <v>227</v>
      </c>
    </row>
    <row r="92" spans="1:35" s="143" customFormat="1" x14ac:dyDescent="0.35">
      <c r="A92" s="143">
        <v>33</v>
      </c>
      <c r="B92" s="143">
        <f t="shared" si="30"/>
        <v>29</v>
      </c>
      <c r="C92" s="144">
        <v>46125</v>
      </c>
      <c r="D92" s="143" t="s">
        <v>97</v>
      </c>
      <c r="G92" s="144">
        <v>46129.833333333336</v>
      </c>
      <c r="H92" s="143" t="s">
        <v>62</v>
      </c>
      <c r="I92" s="37">
        <f t="shared" si="31"/>
        <v>609</v>
      </c>
      <c r="J92" s="38" t="str">
        <f t="shared" si="32"/>
        <v>Too early</v>
      </c>
      <c r="K92" s="31" t="str">
        <f t="shared" si="49"/>
        <v>Too early</v>
      </c>
      <c r="L92" s="39">
        <f t="shared" si="33"/>
        <v>39973</v>
      </c>
      <c r="M92" s="32">
        <f t="shared" si="34"/>
        <v>46666</v>
      </c>
      <c r="N92" s="195">
        <f t="shared" si="35"/>
        <v>0.85657652252175032</v>
      </c>
      <c r="O92" s="31" t="str">
        <f t="shared" si="36"/>
        <v>Too early</v>
      </c>
      <c r="P92" s="222">
        <v>31</v>
      </c>
      <c r="Q92" s="387">
        <f t="shared" si="50"/>
        <v>860.19999999999993</v>
      </c>
      <c r="R92" s="206" t="str">
        <f>IF(B92&lt;7,(P92/VLOOKUP(B92,'Sales Pacing'!$A$23:$E$36,2)),"Too early")</f>
        <v>Too early</v>
      </c>
      <c r="S92" s="386" t="str">
        <f t="shared" si="51"/>
        <v>Too early</v>
      </c>
      <c r="T92" s="226">
        <v>1099</v>
      </c>
      <c r="U92" s="230">
        <v>13333</v>
      </c>
      <c r="V92" s="237">
        <f t="shared" si="37"/>
        <v>8.2427060676516908E-2</v>
      </c>
      <c r="W92" s="207" t="str">
        <f t="shared" si="41"/>
        <v>Too early</v>
      </c>
      <c r="X92" s="222">
        <v>578</v>
      </c>
      <c r="Y92" s="226">
        <v>38874</v>
      </c>
      <c r="Z92" s="230">
        <v>33333</v>
      </c>
      <c r="AA92" s="207">
        <f t="shared" si="38"/>
        <v>1.1662316623166231</v>
      </c>
      <c r="AB92" s="233">
        <v>1590</v>
      </c>
      <c r="AC92" s="207">
        <f t="shared" si="48"/>
        <v>0.38301886792452833</v>
      </c>
      <c r="AD92" s="208">
        <f t="shared" si="39"/>
        <v>65.637110016420365</v>
      </c>
      <c r="AE92" s="218"/>
      <c r="AF92" s="218"/>
      <c r="AG92" s="218"/>
      <c r="AH92" s="346">
        <v>39793</v>
      </c>
      <c r="AI92" s="350">
        <f t="shared" si="40"/>
        <v>180</v>
      </c>
    </row>
    <row r="93" spans="1:35" s="143" customFormat="1" x14ac:dyDescent="0.35">
      <c r="A93" s="143">
        <v>33</v>
      </c>
      <c r="B93" s="143">
        <f t="shared" si="30"/>
        <v>29</v>
      </c>
      <c r="C93" s="144">
        <v>46125</v>
      </c>
      <c r="D93" s="143" t="s">
        <v>97</v>
      </c>
      <c r="G93" s="144">
        <v>46130.833333333336</v>
      </c>
      <c r="H93" s="143" t="s">
        <v>62</v>
      </c>
      <c r="I93" s="37">
        <f t="shared" si="31"/>
        <v>624</v>
      </c>
      <c r="J93" s="38" t="str">
        <f t="shared" si="32"/>
        <v>Too early</v>
      </c>
      <c r="K93" s="31" t="str">
        <f t="shared" si="49"/>
        <v>Too early</v>
      </c>
      <c r="L93" s="39">
        <f t="shared" si="33"/>
        <v>41660.9</v>
      </c>
      <c r="M93" s="32">
        <f t="shared" si="34"/>
        <v>46666</v>
      </c>
      <c r="N93" s="195">
        <f t="shared" si="35"/>
        <v>0.89274632494749928</v>
      </c>
      <c r="O93" s="31" t="str">
        <f t="shared" si="36"/>
        <v>Too early</v>
      </c>
      <c r="P93" s="222">
        <v>32</v>
      </c>
      <c r="Q93" s="387">
        <f t="shared" si="50"/>
        <v>848.3</v>
      </c>
      <c r="R93" s="206" t="str">
        <f>IF(B93&lt;7,(P93/VLOOKUP(B93,'Sales Pacing'!$A$23:$E$36,2)),"Too early")</f>
        <v>Too early</v>
      </c>
      <c r="S93" s="386" t="str">
        <f t="shared" si="51"/>
        <v>Too early</v>
      </c>
      <c r="T93" s="226">
        <v>1399</v>
      </c>
      <c r="U93" s="230">
        <v>13333</v>
      </c>
      <c r="V93" s="237">
        <f t="shared" si="37"/>
        <v>0.10492762319057976</v>
      </c>
      <c r="W93" s="207" t="str">
        <f t="shared" si="41"/>
        <v>Too early</v>
      </c>
      <c r="X93" s="222">
        <v>592</v>
      </c>
      <c r="Y93" s="226">
        <v>40261.9</v>
      </c>
      <c r="Z93" s="230">
        <v>33333</v>
      </c>
      <c r="AA93" s="207">
        <f t="shared" si="38"/>
        <v>1.2078690786907869</v>
      </c>
      <c r="AB93" s="233">
        <v>1590</v>
      </c>
      <c r="AC93" s="207">
        <f t="shared" si="48"/>
        <v>0.39245283018867927</v>
      </c>
      <c r="AD93" s="208">
        <f t="shared" si="39"/>
        <v>66.764262820512826</v>
      </c>
      <c r="AE93" s="218"/>
      <c r="AF93" s="218"/>
      <c r="AG93" s="218"/>
      <c r="AH93" s="346">
        <v>41723.9</v>
      </c>
      <c r="AI93" s="350">
        <f t="shared" si="40"/>
        <v>-63</v>
      </c>
    </row>
    <row r="94" spans="1:35" s="147" customFormat="1" x14ac:dyDescent="0.35">
      <c r="A94" s="147">
        <v>33</v>
      </c>
      <c r="B94" s="147">
        <f t="shared" si="30"/>
        <v>29</v>
      </c>
      <c r="C94" s="148">
        <v>46125</v>
      </c>
      <c r="D94" s="147" t="s">
        <v>97</v>
      </c>
      <c r="G94" s="148">
        <v>46131.583333333336</v>
      </c>
      <c r="H94" s="147" t="s">
        <v>62</v>
      </c>
      <c r="I94" s="149">
        <f t="shared" si="31"/>
        <v>659</v>
      </c>
      <c r="J94" s="33" t="str">
        <f t="shared" si="32"/>
        <v>Too early</v>
      </c>
      <c r="K94" s="34" t="str">
        <f t="shared" si="49"/>
        <v>Too early</v>
      </c>
      <c r="L94" s="35">
        <f t="shared" si="33"/>
        <v>41694.199999999997</v>
      </c>
      <c r="M94" s="36">
        <f t="shared" si="34"/>
        <v>46667</v>
      </c>
      <c r="N94" s="196">
        <f t="shared" si="35"/>
        <v>0.89344076113742044</v>
      </c>
      <c r="O94" s="34" t="str">
        <f t="shared" si="36"/>
        <v>Too early</v>
      </c>
      <c r="P94" s="223">
        <v>40</v>
      </c>
      <c r="Q94" s="387">
        <f t="shared" si="50"/>
        <v>825.35</v>
      </c>
      <c r="R94" s="209" t="str">
        <f>IF(B94&lt;7,(P94/VLOOKUP(B94,'Sales Pacing'!$A$23:$E$36,2)),"Too early")</f>
        <v>Too early</v>
      </c>
      <c r="S94" s="386" t="str">
        <f t="shared" si="51"/>
        <v>Too early</v>
      </c>
      <c r="T94" s="227">
        <v>1731</v>
      </c>
      <c r="U94" s="231">
        <v>13333</v>
      </c>
      <c r="V94" s="238">
        <f t="shared" si="37"/>
        <v>0.12982824570614265</v>
      </c>
      <c r="W94" s="210" t="str">
        <f t="shared" si="41"/>
        <v>Too early</v>
      </c>
      <c r="X94" s="223">
        <v>619</v>
      </c>
      <c r="Y94" s="227">
        <v>39963.199999999997</v>
      </c>
      <c r="Z94" s="231">
        <v>33334</v>
      </c>
      <c r="AA94" s="210">
        <f t="shared" si="38"/>
        <v>1.1988720225595486</v>
      </c>
      <c r="AB94" s="234">
        <v>1590</v>
      </c>
      <c r="AC94" s="207">
        <f t="shared" si="48"/>
        <v>0.41446540880503147</v>
      </c>
      <c r="AD94" s="211">
        <f t="shared" si="39"/>
        <v>63.268892261001511</v>
      </c>
      <c r="AE94" s="219"/>
      <c r="AF94" s="219"/>
      <c r="AG94" s="219"/>
      <c r="AH94" s="348">
        <v>41460.199999999997</v>
      </c>
      <c r="AI94" s="350">
        <f t="shared" si="40"/>
        <v>234</v>
      </c>
    </row>
    <row r="95" spans="1:35" s="186" customFormat="1" x14ac:dyDescent="0.35">
      <c r="A95" s="186">
        <v>34</v>
      </c>
      <c r="B95" s="186">
        <f t="shared" si="30"/>
        <v>30</v>
      </c>
      <c r="C95" s="187">
        <v>46132</v>
      </c>
      <c r="D95" s="186" t="s">
        <v>71</v>
      </c>
      <c r="G95" s="198"/>
      <c r="H95" s="199"/>
      <c r="I95" s="200">
        <f t="shared" si="31"/>
        <v>0</v>
      </c>
      <c r="J95" s="201" t="str">
        <f t="shared" si="32"/>
        <v>Too early</v>
      </c>
      <c r="K95" s="202"/>
      <c r="L95" s="203">
        <f t="shared" si="33"/>
        <v>0</v>
      </c>
      <c r="M95" s="204">
        <f t="shared" si="34"/>
        <v>0</v>
      </c>
      <c r="N95" s="205" t="e">
        <f t="shared" si="35"/>
        <v>#DIV/0!</v>
      </c>
      <c r="O95" s="202"/>
      <c r="P95" s="224"/>
      <c r="Q95" s="224"/>
      <c r="R95" s="212" t="str">
        <f>IF(B95&lt;7,(P95/VLOOKUP(B95,'Sales Pacing'!$A$23:$E$36,2)),"Too early")</f>
        <v>Too early</v>
      </c>
      <c r="S95" s="212"/>
      <c r="T95" s="228"/>
      <c r="U95" s="228"/>
      <c r="V95" s="239" t="str">
        <f t="shared" si="37"/>
        <v/>
      </c>
      <c r="W95" s="213"/>
      <c r="X95" s="224"/>
      <c r="Y95" s="228"/>
      <c r="Z95" s="228"/>
      <c r="AA95" s="213" t="s">
        <v>55</v>
      </c>
      <c r="AB95" s="224"/>
      <c r="AC95" s="213" t="e">
        <f t="shared" si="48"/>
        <v>#DIV/0!</v>
      </c>
      <c r="AD95" s="214" t="e">
        <f t="shared" si="39"/>
        <v>#DIV/0!</v>
      </c>
      <c r="AE95" s="220"/>
      <c r="AF95" s="220"/>
      <c r="AG95" s="220"/>
      <c r="AH95" s="347">
        <v>0</v>
      </c>
    </row>
    <row r="96" spans="1:35" s="186" customFormat="1" x14ac:dyDescent="0.35">
      <c r="A96" s="186">
        <v>35</v>
      </c>
      <c r="B96" s="186">
        <f t="shared" si="30"/>
        <v>31</v>
      </c>
      <c r="C96" s="187">
        <v>46139</v>
      </c>
      <c r="D96" s="186" t="s">
        <v>71</v>
      </c>
      <c r="G96" s="198"/>
      <c r="H96" s="199"/>
      <c r="I96" s="200">
        <f t="shared" si="31"/>
        <v>0</v>
      </c>
      <c r="J96" s="201" t="str">
        <f t="shared" si="32"/>
        <v>Too early</v>
      </c>
      <c r="K96" s="202"/>
      <c r="L96" s="203">
        <f t="shared" si="33"/>
        <v>0</v>
      </c>
      <c r="M96" s="204">
        <f t="shared" si="34"/>
        <v>0</v>
      </c>
      <c r="N96" s="205" t="e">
        <f t="shared" si="35"/>
        <v>#DIV/0!</v>
      </c>
      <c r="O96" s="202"/>
      <c r="P96" s="224"/>
      <c r="Q96" s="224"/>
      <c r="R96" s="212" t="str">
        <f>IF(B96&lt;7,(P96/VLOOKUP(B96,'Sales Pacing'!$A$23:$E$36,2)),"Too early")</f>
        <v>Too early</v>
      </c>
      <c r="S96" s="212"/>
      <c r="T96" s="228"/>
      <c r="U96" s="228"/>
      <c r="V96" s="239" t="str">
        <f t="shared" si="37"/>
        <v/>
      </c>
      <c r="W96" s="213"/>
      <c r="X96" s="224"/>
      <c r="Y96" s="228"/>
      <c r="Z96" s="228"/>
      <c r="AA96" s="213" t="s">
        <v>55</v>
      </c>
      <c r="AB96" s="224"/>
      <c r="AC96" s="213" t="e">
        <f t="shared" si="48"/>
        <v>#DIV/0!</v>
      </c>
      <c r="AD96" s="214" t="e">
        <f t="shared" si="39"/>
        <v>#DIV/0!</v>
      </c>
      <c r="AE96" s="220"/>
      <c r="AF96" s="220"/>
      <c r="AG96" s="220"/>
      <c r="AH96" s="347">
        <v>0</v>
      </c>
    </row>
    <row r="97" spans="1:46" s="143" customFormat="1" x14ac:dyDescent="0.35">
      <c r="A97" s="143">
        <v>36</v>
      </c>
      <c r="B97" s="143">
        <f t="shared" si="30"/>
        <v>32</v>
      </c>
      <c r="C97" s="177">
        <v>46146</v>
      </c>
      <c r="D97" s="178" t="s">
        <v>98</v>
      </c>
      <c r="E97" s="178"/>
      <c r="F97" s="178"/>
      <c r="G97" s="177">
        <v>46150.833333333336</v>
      </c>
      <c r="H97" s="178" t="s">
        <v>62</v>
      </c>
      <c r="I97" s="37">
        <f t="shared" si="31"/>
        <v>424</v>
      </c>
      <c r="J97" s="38" t="str">
        <f t="shared" si="32"/>
        <v>Too early</v>
      </c>
      <c r="K97" s="31" t="str">
        <f t="shared" ref="K97:K102" si="52">IF(J97="Too early",J97,J97/AB97)</f>
        <v>Too early</v>
      </c>
      <c r="L97" s="39">
        <f t="shared" si="33"/>
        <v>28112</v>
      </c>
      <c r="M97" s="32">
        <f t="shared" si="34"/>
        <v>45000</v>
      </c>
      <c r="N97" s="195">
        <f t="shared" si="35"/>
        <v>0.62471111111111111</v>
      </c>
      <c r="O97" s="31" t="str">
        <f t="shared" si="36"/>
        <v>Too early</v>
      </c>
      <c r="P97" s="242">
        <v>50</v>
      </c>
      <c r="Q97" s="387">
        <f t="shared" ref="Q97:Q102" si="53">(AB97-X97)*0.85</f>
        <v>1033.5999999999999</v>
      </c>
      <c r="R97" s="206" t="str">
        <f>IF(B97&lt;7,(P97/VLOOKUP(B97,'Sales Pacing'!$A$23:$E$36,2)),"Too early")</f>
        <v>Too early</v>
      </c>
      <c r="S97" s="386" t="str">
        <f t="shared" ref="S97:S102" si="54">IF(R97="Too early","Too early",R97/Q97)</f>
        <v>Too early</v>
      </c>
      <c r="T97" s="226">
        <v>2349</v>
      </c>
      <c r="U97" s="230">
        <v>20000</v>
      </c>
      <c r="V97" s="237">
        <f t="shared" si="37"/>
        <v>0.11745</v>
      </c>
      <c r="W97" s="207" t="str">
        <f t="shared" si="41"/>
        <v>Too early</v>
      </c>
      <c r="X97" s="222">
        <v>374</v>
      </c>
      <c r="Y97" s="226">
        <v>25763</v>
      </c>
      <c r="Z97" s="230">
        <v>25000</v>
      </c>
      <c r="AA97" s="207">
        <f t="shared" si="38"/>
        <v>1.0305200000000001</v>
      </c>
      <c r="AB97" s="233">
        <v>1590</v>
      </c>
      <c r="AC97" s="207">
        <f t="shared" si="48"/>
        <v>0.26666666666666666</v>
      </c>
      <c r="AD97" s="208">
        <f t="shared" si="39"/>
        <v>66.301886792452834</v>
      </c>
      <c r="AE97" s="218"/>
      <c r="AF97" s="218"/>
      <c r="AG97" s="218"/>
      <c r="AH97" s="346">
        <v>27937</v>
      </c>
      <c r="AI97" s="350">
        <f t="shared" si="40"/>
        <v>175</v>
      </c>
    </row>
    <row r="98" spans="1:46" s="143" customFormat="1" x14ac:dyDescent="0.35">
      <c r="A98" s="143">
        <v>36</v>
      </c>
      <c r="B98" s="143">
        <f t="shared" si="30"/>
        <v>32</v>
      </c>
      <c r="C98" s="144">
        <v>46146</v>
      </c>
      <c r="D98" s="143" t="s">
        <v>98</v>
      </c>
      <c r="G98" s="144">
        <v>46151.833333333336</v>
      </c>
      <c r="H98" s="143" t="s">
        <v>62</v>
      </c>
      <c r="I98" s="37">
        <f t="shared" si="31"/>
        <v>689</v>
      </c>
      <c r="J98" s="38" t="str">
        <f t="shared" si="32"/>
        <v>Too early</v>
      </c>
      <c r="K98" s="31" t="str">
        <f t="shared" si="52"/>
        <v>Too early</v>
      </c>
      <c r="L98" s="39">
        <f t="shared" si="33"/>
        <v>45719.9</v>
      </c>
      <c r="M98" s="32">
        <f t="shared" si="34"/>
        <v>65000</v>
      </c>
      <c r="N98" s="195">
        <f t="shared" si="35"/>
        <v>0.703383076923077</v>
      </c>
      <c r="O98" s="31" t="str">
        <f t="shared" si="36"/>
        <v>Too early</v>
      </c>
      <c r="P98" s="242">
        <v>89</v>
      </c>
      <c r="Q98" s="387">
        <f t="shared" si="53"/>
        <v>841.5</v>
      </c>
      <c r="R98" s="206" t="str">
        <f>IF(B98&lt;7,(P98/VLOOKUP(B98,'Sales Pacing'!$A$23:$E$36,2)),"Too early")</f>
        <v>Too early</v>
      </c>
      <c r="S98" s="386" t="str">
        <f t="shared" si="54"/>
        <v>Too early</v>
      </c>
      <c r="T98" s="226">
        <v>5356</v>
      </c>
      <c r="U98" s="230">
        <v>17500</v>
      </c>
      <c r="V98" s="237">
        <f t="shared" si="37"/>
        <v>0.30605714285714286</v>
      </c>
      <c r="W98" s="207" t="str">
        <f t="shared" si="41"/>
        <v>Too early</v>
      </c>
      <c r="X98" s="222">
        <v>600</v>
      </c>
      <c r="Y98" s="226">
        <v>40363.9</v>
      </c>
      <c r="Z98" s="230">
        <v>47500</v>
      </c>
      <c r="AA98" s="207">
        <f t="shared" si="38"/>
        <v>0.8497663157894737</v>
      </c>
      <c r="AB98" s="233">
        <v>1590</v>
      </c>
      <c r="AC98" s="207">
        <f t="shared" si="48"/>
        <v>0.43333333333333335</v>
      </c>
      <c r="AD98" s="208">
        <f t="shared" si="39"/>
        <v>66.356894049346877</v>
      </c>
      <c r="AE98" s="218"/>
      <c r="AF98" s="218"/>
      <c r="AG98" s="218"/>
      <c r="AH98" s="346">
        <v>45768.9</v>
      </c>
      <c r="AI98" s="350">
        <f t="shared" si="40"/>
        <v>-49</v>
      </c>
    </row>
    <row r="99" spans="1:46" s="147" customFormat="1" x14ac:dyDescent="0.35">
      <c r="A99" s="147">
        <v>36</v>
      </c>
      <c r="B99" s="147">
        <f t="shared" si="30"/>
        <v>32</v>
      </c>
      <c r="C99" s="148">
        <v>46146</v>
      </c>
      <c r="D99" s="147" t="s">
        <v>98</v>
      </c>
      <c r="G99" s="148">
        <v>46152.583333333336</v>
      </c>
      <c r="H99" s="147" t="s">
        <v>62</v>
      </c>
      <c r="I99" s="149">
        <f t="shared" si="31"/>
        <v>680</v>
      </c>
      <c r="J99" s="33" t="str">
        <f t="shared" si="32"/>
        <v>Too early</v>
      </c>
      <c r="K99" s="34" t="str">
        <f t="shared" si="52"/>
        <v>Too early</v>
      </c>
      <c r="L99" s="35">
        <f t="shared" si="33"/>
        <v>43281.2</v>
      </c>
      <c r="M99" s="36">
        <f t="shared" si="34"/>
        <v>65000</v>
      </c>
      <c r="N99" s="196">
        <f t="shared" si="35"/>
        <v>0.66586461538461539</v>
      </c>
      <c r="O99" s="34" t="str">
        <f t="shared" si="36"/>
        <v>Too early</v>
      </c>
      <c r="P99" s="244">
        <v>69</v>
      </c>
      <c r="Q99" s="402">
        <f t="shared" si="53"/>
        <v>832.15</v>
      </c>
      <c r="R99" s="209" t="str">
        <f>IF(B99&lt;7,(P99/VLOOKUP(B99,'Sales Pacing'!$A$23:$E$36,2)),"Too early")</f>
        <v>Too early</v>
      </c>
      <c r="S99" s="403" t="str">
        <f t="shared" si="54"/>
        <v>Too early</v>
      </c>
      <c r="T99" s="227">
        <v>3734</v>
      </c>
      <c r="U99" s="231">
        <v>17500</v>
      </c>
      <c r="V99" s="238">
        <f t="shared" si="37"/>
        <v>0.21337142857142857</v>
      </c>
      <c r="W99" s="210" t="str">
        <f t="shared" si="41"/>
        <v>Too early</v>
      </c>
      <c r="X99" s="223">
        <v>611</v>
      </c>
      <c r="Y99" s="227">
        <v>39547.199999999997</v>
      </c>
      <c r="Z99" s="231">
        <v>47500</v>
      </c>
      <c r="AA99" s="210">
        <f t="shared" si="38"/>
        <v>0.83257263157894734</v>
      </c>
      <c r="AB99" s="234">
        <v>1590</v>
      </c>
      <c r="AC99" s="210">
        <f t="shared" si="48"/>
        <v>0.42767295597484278</v>
      </c>
      <c r="AD99" s="211">
        <f t="shared" si="39"/>
        <v>63.648823529411757</v>
      </c>
      <c r="AE99" s="219"/>
      <c r="AF99" s="219"/>
      <c r="AG99" s="219"/>
      <c r="AH99" s="348">
        <v>42812.2</v>
      </c>
      <c r="AI99" s="350">
        <f t="shared" si="40"/>
        <v>469</v>
      </c>
    </row>
    <row r="100" spans="1:46" s="143" customFormat="1" x14ac:dyDescent="0.35">
      <c r="A100" s="143">
        <v>37</v>
      </c>
      <c r="B100" s="143">
        <f t="shared" si="30"/>
        <v>33</v>
      </c>
      <c r="C100" s="144">
        <v>46153</v>
      </c>
      <c r="D100" s="143" t="s">
        <v>99</v>
      </c>
      <c r="G100" s="144">
        <v>46157.833333333336</v>
      </c>
      <c r="H100" s="143" t="s">
        <v>57</v>
      </c>
      <c r="I100" s="37">
        <f t="shared" si="31"/>
        <v>809</v>
      </c>
      <c r="J100" s="38" t="str">
        <f t="shared" si="32"/>
        <v>Too early</v>
      </c>
      <c r="K100" s="31" t="str">
        <f t="shared" si="52"/>
        <v>Too early</v>
      </c>
      <c r="L100" s="39">
        <f t="shared" si="33"/>
        <v>67940</v>
      </c>
      <c r="M100" s="32">
        <f t="shared" si="34"/>
        <v>103333</v>
      </c>
      <c r="N100" s="195">
        <f t="shared" si="35"/>
        <v>0.65748599189029644</v>
      </c>
      <c r="O100" s="31" t="str">
        <f t="shared" si="36"/>
        <v>Too early</v>
      </c>
      <c r="P100" s="242">
        <v>71</v>
      </c>
      <c r="Q100" s="387">
        <f t="shared" si="53"/>
        <v>479.4</v>
      </c>
      <c r="R100" s="206" t="str">
        <f>IF(B100&lt;7,(P100/VLOOKUP(B100,'Sales Pacing'!$A$23:$E$36,2)),"Too early")</f>
        <v>Too early</v>
      </c>
      <c r="S100" s="386" t="str">
        <f t="shared" si="54"/>
        <v>Too early</v>
      </c>
      <c r="T100" s="226">
        <v>5507</v>
      </c>
      <c r="U100" s="230">
        <v>60000</v>
      </c>
      <c r="V100" s="237">
        <f t="shared" si="37"/>
        <v>9.1783333333333328E-2</v>
      </c>
      <c r="W100" s="207" t="str">
        <f t="shared" si="41"/>
        <v>Too early</v>
      </c>
      <c r="X100" s="222">
        <v>738</v>
      </c>
      <c r="Y100" s="226">
        <v>62433</v>
      </c>
      <c r="Z100" s="230">
        <v>43333</v>
      </c>
      <c r="AA100" s="207">
        <f t="shared" si="38"/>
        <v>1.4407726213278564</v>
      </c>
      <c r="AB100" s="233">
        <v>1302</v>
      </c>
      <c r="AC100" s="207">
        <f t="shared" si="48"/>
        <v>0.62135176651305679</v>
      </c>
      <c r="AD100" s="208">
        <f t="shared" si="39"/>
        <v>83.980222496909761</v>
      </c>
      <c r="AE100" s="218"/>
      <c r="AF100" s="218"/>
      <c r="AG100" s="218"/>
      <c r="AH100" s="346">
        <v>67716</v>
      </c>
      <c r="AI100" s="350">
        <f t="shared" si="40"/>
        <v>224</v>
      </c>
    </row>
    <row r="101" spans="1:46" s="143" customFormat="1" x14ac:dyDescent="0.35">
      <c r="A101" s="143">
        <v>37</v>
      </c>
      <c r="B101" s="143">
        <f t="shared" si="30"/>
        <v>33</v>
      </c>
      <c r="C101" s="144">
        <v>46153</v>
      </c>
      <c r="D101" s="143" t="s">
        <v>99</v>
      </c>
      <c r="G101" s="144">
        <v>46158.833333333336</v>
      </c>
      <c r="H101" s="143" t="s">
        <v>57</v>
      </c>
      <c r="I101" s="37">
        <f t="shared" si="31"/>
        <v>738</v>
      </c>
      <c r="J101" s="38" t="str">
        <f t="shared" si="32"/>
        <v>Too early</v>
      </c>
      <c r="K101" s="31" t="str">
        <f t="shared" si="52"/>
        <v>Too early</v>
      </c>
      <c r="L101" s="39">
        <f t="shared" si="33"/>
        <v>61787</v>
      </c>
      <c r="M101" s="32">
        <f t="shared" si="34"/>
        <v>103334</v>
      </c>
      <c r="N101" s="195">
        <f t="shared" si="35"/>
        <v>0.59793485203321273</v>
      </c>
      <c r="O101" s="31" t="str">
        <f t="shared" si="36"/>
        <v>Too early</v>
      </c>
      <c r="P101" s="242">
        <v>68</v>
      </c>
      <c r="Q101" s="387">
        <f t="shared" si="53"/>
        <v>537.19999999999993</v>
      </c>
      <c r="R101" s="206" t="str">
        <f>IF(B101&lt;7,(P101/VLOOKUP(B101,'Sales Pacing'!$A$23:$E$36,2)),"Too early")</f>
        <v>Too early</v>
      </c>
      <c r="S101" s="386" t="str">
        <f t="shared" si="54"/>
        <v>Too early</v>
      </c>
      <c r="T101" s="226">
        <v>4810</v>
      </c>
      <c r="U101" s="230">
        <v>60000</v>
      </c>
      <c r="V101" s="237">
        <f t="shared" si="37"/>
        <v>8.0166666666666664E-2</v>
      </c>
      <c r="W101" s="207" t="str">
        <f t="shared" si="41"/>
        <v>Too early</v>
      </c>
      <c r="X101" s="222">
        <v>670</v>
      </c>
      <c r="Y101" s="226">
        <v>56977</v>
      </c>
      <c r="Z101" s="230">
        <v>43334</v>
      </c>
      <c r="AA101" s="207">
        <f t="shared" si="38"/>
        <v>1.3148336179443394</v>
      </c>
      <c r="AB101" s="233">
        <v>1302</v>
      </c>
      <c r="AC101" s="207">
        <f t="shared" si="48"/>
        <v>0.56682027649769584</v>
      </c>
      <c r="AD101" s="208">
        <f t="shared" si="39"/>
        <v>83.722222222222229</v>
      </c>
      <c r="AE101" s="218"/>
      <c r="AF101" s="218"/>
      <c r="AG101" s="218"/>
      <c r="AH101" s="346">
        <v>62277</v>
      </c>
      <c r="AI101" s="350">
        <f t="shared" si="40"/>
        <v>-490</v>
      </c>
    </row>
    <row r="102" spans="1:46" s="147" customFormat="1" x14ac:dyDescent="0.35">
      <c r="A102" s="147">
        <v>37</v>
      </c>
      <c r="B102" s="147">
        <f t="shared" si="30"/>
        <v>33</v>
      </c>
      <c r="C102" s="148">
        <v>46153</v>
      </c>
      <c r="D102" s="147" t="s">
        <v>99</v>
      </c>
      <c r="G102" s="148">
        <v>46159.583333333336</v>
      </c>
      <c r="H102" s="147" t="s">
        <v>57</v>
      </c>
      <c r="I102" s="149">
        <f t="shared" si="31"/>
        <v>510</v>
      </c>
      <c r="J102" s="33" t="str">
        <f t="shared" si="32"/>
        <v>Too early</v>
      </c>
      <c r="K102" s="34" t="str">
        <f t="shared" si="52"/>
        <v>Too early</v>
      </c>
      <c r="L102" s="35">
        <f t="shared" si="33"/>
        <v>40500</v>
      </c>
      <c r="M102" s="36">
        <f t="shared" si="34"/>
        <v>103333</v>
      </c>
      <c r="N102" s="196">
        <f t="shared" si="35"/>
        <v>0.39193674818305868</v>
      </c>
      <c r="O102" s="34" t="str">
        <f t="shared" si="36"/>
        <v>Too early</v>
      </c>
      <c r="P102" s="244">
        <v>117</v>
      </c>
      <c r="Q102" s="387">
        <f t="shared" si="53"/>
        <v>772.65</v>
      </c>
      <c r="R102" s="209" t="str">
        <f>IF(B102&lt;7,(P102/VLOOKUP(B102,'Sales Pacing'!$A$23:$E$36,2)),"Too early")</f>
        <v>Too early</v>
      </c>
      <c r="S102" s="386" t="str">
        <f t="shared" si="54"/>
        <v>Too early</v>
      </c>
      <c r="T102" s="227">
        <v>9238</v>
      </c>
      <c r="U102" s="231">
        <v>60000</v>
      </c>
      <c r="V102" s="238">
        <f t="shared" si="37"/>
        <v>0.15396666666666667</v>
      </c>
      <c r="W102" s="210" t="str">
        <f t="shared" si="41"/>
        <v>Too early</v>
      </c>
      <c r="X102" s="223">
        <v>393</v>
      </c>
      <c r="Y102" s="227">
        <v>31262</v>
      </c>
      <c r="Z102" s="231">
        <v>43333</v>
      </c>
      <c r="AA102" s="210">
        <f t="shared" si="38"/>
        <v>0.72143631874091341</v>
      </c>
      <c r="AB102" s="234">
        <v>1302</v>
      </c>
      <c r="AC102" s="207">
        <f t="shared" si="48"/>
        <v>0.39170506912442399</v>
      </c>
      <c r="AD102" s="211">
        <f t="shared" si="39"/>
        <v>79.411764705882348</v>
      </c>
      <c r="AE102" s="219"/>
      <c r="AF102" s="219"/>
      <c r="AG102" s="219"/>
      <c r="AH102" s="348">
        <v>39876</v>
      </c>
      <c r="AI102" s="350">
        <f t="shared" si="40"/>
        <v>624</v>
      </c>
    </row>
    <row r="103" spans="1:46" s="186" customFormat="1" x14ac:dyDescent="0.35">
      <c r="A103" s="186">
        <v>38</v>
      </c>
      <c r="B103" s="186">
        <f t="shared" si="30"/>
        <v>34</v>
      </c>
      <c r="C103" s="187">
        <v>46160</v>
      </c>
      <c r="D103" s="186" t="s">
        <v>71</v>
      </c>
      <c r="G103" s="198"/>
      <c r="H103" s="199"/>
      <c r="I103" s="200">
        <f t="shared" si="31"/>
        <v>0</v>
      </c>
      <c r="J103" s="201" t="str">
        <f t="shared" si="32"/>
        <v>Too early</v>
      </c>
      <c r="K103" s="202"/>
      <c r="L103" s="203">
        <f t="shared" si="33"/>
        <v>0</v>
      </c>
      <c r="M103" s="204">
        <f t="shared" si="34"/>
        <v>0</v>
      </c>
      <c r="N103" s="205" t="e">
        <f t="shared" si="35"/>
        <v>#DIV/0!</v>
      </c>
      <c r="O103" s="202"/>
      <c r="P103" s="224"/>
      <c r="Q103" s="224"/>
      <c r="R103" s="212" t="str">
        <f>IF(B103&lt;7,(P103/VLOOKUP(B103,'Sales Pacing'!$A$23:$E$36,2)),"Too early")</f>
        <v>Too early</v>
      </c>
      <c r="S103" s="212"/>
      <c r="T103" s="228"/>
      <c r="U103" s="228"/>
      <c r="V103" s="239" t="str">
        <f t="shared" si="37"/>
        <v/>
      </c>
      <c r="W103" s="213"/>
      <c r="X103" s="224"/>
      <c r="Y103" s="228"/>
      <c r="Z103" s="228"/>
      <c r="AA103" s="213" t="s">
        <v>55</v>
      </c>
      <c r="AB103" s="224"/>
      <c r="AC103" s="213" t="e">
        <f t="shared" si="48"/>
        <v>#DIV/0!</v>
      </c>
      <c r="AD103" s="214" t="e">
        <f t="shared" si="39"/>
        <v>#DIV/0!</v>
      </c>
      <c r="AE103" s="220"/>
      <c r="AF103" s="220"/>
      <c r="AG103" s="220"/>
      <c r="AH103" s="347">
        <v>0</v>
      </c>
    </row>
    <row r="104" spans="1:46" s="294" customFormat="1" x14ac:dyDescent="0.35">
      <c r="A104" s="143">
        <v>38</v>
      </c>
      <c r="B104" s="143">
        <v>45</v>
      </c>
      <c r="C104" s="144">
        <v>46160</v>
      </c>
      <c r="D104" s="143" t="s">
        <v>100</v>
      </c>
      <c r="E104" s="143"/>
      <c r="F104" s="143"/>
      <c r="G104" s="144">
        <v>46163</v>
      </c>
      <c r="H104" s="143" t="s">
        <v>52</v>
      </c>
      <c r="I104" s="306">
        <f>P104+X104</f>
        <v>115</v>
      </c>
      <c r="J104" s="302" t="str">
        <f>IF(R104="Too early",R104,R104+X104)</f>
        <v>Too early</v>
      </c>
      <c r="K104" s="31" t="str">
        <f t="shared" ref="K104:K113" si="55">IF(J104="Too early",J104,J104/AB104)</f>
        <v>Too early</v>
      </c>
      <c r="L104" s="303">
        <f>T104+Y104</f>
        <v>9816</v>
      </c>
      <c r="M104" s="304">
        <f>U104+Z104</f>
        <v>112468</v>
      </c>
      <c r="N104" s="305">
        <f>L104/M104</f>
        <v>8.7278159120816587E-2</v>
      </c>
      <c r="O104" s="31" t="str">
        <f t="shared" si="36"/>
        <v>Too early</v>
      </c>
      <c r="P104" s="242">
        <v>115</v>
      </c>
      <c r="Q104" s="387">
        <f t="shared" ref="Q104:Q113" si="56">(AB104-X104)*0.85</f>
        <v>1351.5</v>
      </c>
      <c r="R104" s="206" t="str">
        <f>IF(B104&lt;7,(P104/VLOOKUP(B104,'Sales Pacing'!$A$23:$E$36,2)),"Too early")</f>
        <v>Too early</v>
      </c>
      <c r="S104" s="386" t="str">
        <f t="shared" ref="S104:S113" si="57">IF(R104="Too early","Too early",R104/Q104)</f>
        <v>Too early</v>
      </c>
      <c r="T104" s="226">
        <v>9816</v>
      </c>
      <c r="U104" s="230">
        <v>112468</v>
      </c>
      <c r="V104" s="237">
        <f>IF(T104&gt;0,T104/U104,"")</f>
        <v>8.7278159120816587E-2</v>
      </c>
      <c r="W104" s="207" t="str">
        <f t="shared" si="41"/>
        <v>Too early</v>
      </c>
      <c r="X104" s="222"/>
      <c r="Y104" s="226"/>
      <c r="Z104" s="230"/>
      <c r="AA104" s="207" t="str">
        <f t="shared" si="38"/>
        <v/>
      </c>
      <c r="AB104" s="233">
        <v>1590</v>
      </c>
      <c r="AC104" s="207">
        <f t="shared" si="48"/>
        <v>7.2327044025157231E-2</v>
      </c>
      <c r="AD104" s="296">
        <f>L104/I104</f>
        <v>85.356521739130429</v>
      </c>
      <c r="AE104" s="218"/>
      <c r="AF104" s="218"/>
      <c r="AG104" s="218"/>
      <c r="AH104" s="346">
        <v>8896</v>
      </c>
      <c r="AI104" s="350">
        <f t="shared" si="40"/>
        <v>920</v>
      </c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</row>
    <row r="105" spans="1:46" s="294" customFormat="1" x14ac:dyDescent="0.35">
      <c r="A105" s="147">
        <v>38</v>
      </c>
      <c r="B105" s="147">
        <v>45</v>
      </c>
      <c r="C105" s="148">
        <v>46160</v>
      </c>
      <c r="D105" s="147" t="s">
        <v>100</v>
      </c>
      <c r="E105" s="147"/>
      <c r="F105" s="147"/>
      <c r="G105" s="148">
        <v>46164</v>
      </c>
      <c r="H105" s="147" t="s">
        <v>52</v>
      </c>
      <c r="I105" s="291">
        <f>P105+X105</f>
        <v>202</v>
      </c>
      <c r="J105" s="291" t="str">
        <f>IF(R105="Too early",R105,R105+X105)</f>
        <v>Too early</v>
      </c>
      <c r="K105" s="34" t="str">
        <f t="shared" si="55"/>
        <v>Too early</v>
      </c>
      <c r="L105" s="292">
        <f>T105+Y105</f>
        <v>18452</v>
      </c>
      <c r="M105" s="296">
        <f>U105+Z105</f>
        <v>112468</v>
      </c>
      <c r="N105" s="293">
        <f>L105/M105</f>
        <v>0.16406444499768824</v>
      </c>
      <c r="O105" s="34" t="str">
        <f t="shared" si="36"/>
        <v>Too early</v>
      </c>
      <c r="P105" s="244">
        <v>202</v>
      </c>
      <c r="Q105" s="402">
        <f t="shared" si="56"/>
        <v>1351.5</v>
      </c>
      <c r="R105" s="209" t="str">
        <f>IF(B105&lt;7,(P105/VLOOKUP(B105,'Sales Pacing'!$A$23:$E$36,2)),"Too early")</f>
        <v>Too early</v>
      </c>
      <c r="S105" s="403" t="str">
        <f t="shared" si="57"/>
        <v>Too early</v>
      </c>
      <c r="T105" s="227">
        <v>18452</v>
      </c>
      <c r="U105" s="231">
        <v>112468</v>
      </c>
      <c r="V105" s="238">
        <f>IF(T105&gt;0,T105/U105,"")</f>
        <v>0.16406444499768824</v>
      </c>
      <c r="W105" s="210" t="str">
        <f t="shared" si="41"/>
        <v>Too early</v>
      </c>
      <c r="X105" s="223"/>
      <c r="Y105" s="227"/>
      <c r="Z105" s="231"/>
      <c r="AA105" s="210" t="str">
        <f t="shared" si="38"/>
        <v/>
      </c>
      <c r="AB105" s="234">
        <v>1590</v>
      </c>
      <c r="AC105" s="210">
        <f t="shared" si="48"/>
        <v>0.1270440251572327</v>
      </c>
      <c r="AD105" s="296">
        <f>L105/I105</f>
        <v>91.346534653465341</v>
      </c>
      <c r="AE105" s="219"/>
      <c r="AF105" s="219"/>
      <c r="AG105" s="219"/>
      <c r="AH105" s="346">
        <v>17072</v>
      </c>
      <c r="AI105" s="350">
        <f t="shared" si="40"/>
        <v>1380</v>
      </c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</row>
    <row r="106" spans="1:46" s="143" customFormat="1" x14ac:dyDescent="0.35">
      <c r="A106" s="143">
        <v>39</v>
      </c>
      <c r="B106" s="143">
        <f t="shared" si="30"/>
        <v>35</v>
      </c>
      <c r="C106" s="144">
        <v>46167</v>
      </c>
      <c r="D106" s="143" t="s">
        <v>101</v>
      </c>
      <c r="G106" s="144">
        <v>46170.833333333336</v>
      </c>
      <c r="H106" s="143" t="s">
        <v>68</v>
      </c>
      <c r="I106" s="37">
        <f t="shared" si="31"/>
        <v>17</v>
      </c>
      <c r="J106" s="38" t="str">
        <f t="shared" si="32"/>
        <v>Too early</v>
      </c>
      <c r="K106" s="31" t="str">
        <f t="shared" si="55"/>
        <v>Too early</v>
      </c>
      <c r="L106" s="39">
        <f t="shared" si="33"/>
        <v>1680</v>
      </c>
      <c r="M106" s="32">
        <v>9000</v>
      </c>
      <c r="N106" s="195">
        <f t="shared" si="35"/>
        <v>0.18666666666666668</v>
      </c>
      <c r="O106" s="31" t="str">
        <f t="shared" si="36"/>
        <v>Too early</v>
      </c>
      <c r="P106" s="222">
        <v>17</v>
      </c>
      <c r="Q106" s="387">
        <f t="shared" si="56"/>
        <v>85</v>
      </c>
      <c r="R106" s="206" t="str">
        <f>IF(B106&lt;7,(P106/VLOOKUP(B106,'Sales Pacing'!$A$23:$E$36,2)),"Too early")</f>
        <v>Too early</v>
      </c>
      <c r="S106" s="386" t="str">
        <f t="shared" si="57"/>
        <v>Too early</v>
      </c>
      <c r="T106" s="226">
        <v>1680</v>
      </c>
      <c r="U106" s="230">
        <v>9000</v>
      </c>
      <c r="V106" s="237">
        <f t="shared" si="37"/>
        <v>0.18666666666666668</v>
      </c>
      <c r="W106" s="207" t="str">
        <f t="shared" si="41"/>
        <v>Too early</v>
      </c>
      <c r="X106" s="222"/>
      <c r="Y106" s="226"/>
      <c r="Z106" s="230"/>
      <c r="AA106" s="207" t="str">
        <f t="shared" si="38"/>
        <v/>
      </c>
      <c r="AB106" s="233">
        <v>100</v>
      </c>
      <c r="AC106" s="207">
        <f t="shared" si="48"/>
        <v>0.17</v>
      </c>
      <c r="AD106" s="208">
        <f t="shared" si="39"/>
        <v>98.82352941176471</v>
      </c>
      <c r="AE106" s="218"/>
      <c r="AF106" s="218"/>
      <c r="AG106" s="218"/>
      <c r="AH106" s="346">
        <v>1680</v>
      </c>
      <c r="AI106" s="350">
        <f t="shared" si="40"/>
        <v>0</v>
      </c>
    </row>
    <row r="107" spans="1:46" s="143" customFormat="1" x14ac:dyDescent="0.35">
      <c r="A107" s="143">
        <v>39</v>
      </c>
      <c r="B107" s="143">
        <f t="shared" si="30"/>
        <v>35</v>
      </c>
      <c r="C107" s="144">
        <v>46167</v>
      </c>
      <c r="D107" s="143" t="s">
        <v>102</v>
      </c>
      <c r="G107" s="144">
        <v>46171.833333333336</v>
      </c>
      <c r="H107" s="143" t="s">
        <v>62</v>
      </c>
      <c r="I107" s="37">
        <f t="shared" si="31"/>
        <v>614</v>
      </c>
      <c r="J107" s="38" t="str">
        <f t="shared" si="32"/>
        <v>Too early</v>
      </c>
      <c r="K107" s="31" t="str">
        <f t="shared" si="55"/>
        <v>Too early</v>
      </c>
      <c r="L107" s="39">
        <f t="shared" si="33"/>
        <v>39454</v>
      </c>
      <c r="M107" s="32">
        <f t="shared" si="34"/>
        <v>51666</v>
      </c>
      <c r="N107" s="195">
        <f t="shared" si="35"/>
        <v>0.7636356598149654</v>
      </c>
      <c r="O107" s="31" t="str">
        <f t="shared" si="36"/>
        <v>Too early</v>
      </c>
      <c r="P107" s="242">
        <v>49</v>
      </c>
      <c r="Q107" s="387">
        <f t="shared" si="56"/>
        <v>871.25</v>
      </c>
      <c r="R107" s="206" t="str">
        <f>IF(B107&lt;7,(P107/VLOOKUP(B107,'Sales Pacing'!$A$23:$E$36,2)),"Too early")</f>
        <v>Too early</v>
      </c>
      <c r="S107" s="386" t="str">
        <f t="shared" si="57"/>
        <v>Too early</v>
      </c>
      <c r="T107" s="226">
        <v>1728</v>
      </c>
      <c r="U107" s="230">
        <v>20000</v>
      </c>
      <c r="V107" s="237">
        <f t="shared" si="37"/>
        <v>8.6400000000000005E-2</v>
      </c>
      <c r="W107" s="207" t="str">
        <f t="shared" si="41"/>
        <v>Too early</v>
      </c>
      <c r="X107" s="222">
        <v>565</v>
      </c>
      <c r="Y107" s="226">
        <v>37726</v>
      </c>
      <c r="Z107" s="230">
        <v>31666</v>
      </c>
      <c r="AA107" s="207">
        <f t="shared" si="38"/>
        <v>1.1913724499463147</v>
      </c>
      <c r="AB107" s="233">
        <v>1590</v>
      </c>
      <c r="AC107" s="207">
        <f t="shared" si="48"/>
        <v>0.38616352201257864</v>
      </c>
      <c r="AD107" s="208">
        <f t="shared" si="39"/>
        <v>64.257328990228018</v>
      </c>
      <c r="AE107" s="218"/>
      <c r="AF107" s="218"/>
      <c r="AG107" s="218"/>
      <c r="AH107" s="346">
        <v>39074</v>
      </c>
      <c r="AI107" s="350">
        <f t="shared" si="40"/>
        <v>380</v>
      </c>
    </row>
    <row r="108" spans="1:46" s="143" customFormat="1" x14ac:dyDescent="0.35">
      <c r="A108" s="143">
        <v>39</v>
      </c>
      <c r="B108" s="143">
        <f t="shared" si="30"/>
        <v>35</v>
      </c>
      <c r="C108" s="144">
        <v>46167</v>
      </c>
      <c r="D108" s="143" t="s">
        <v>103</v>
      </c>
      <c r="G108" s="144">
        <v>46172.833333333336</v>
      </c>
      <c r="H108" s="143" t="s">
        <v>62</v>
      </c>
      <c r="I108" s="37">
        <f t="shared" si="31"/>
        <v>623</v>
      </c>
      <c r="J108" s="38" t="str">
        <f t="shared" si="32"/>
        <v>Too early</v>
      </c>
      <c r="K108" s="31" t="str">
        <f t="shared" si="55"/>
        <v>Too early</v>
      </c>
      <c r="L108" s="39">
        <f t="shared" si="33"/>
        <v>39181</v>
      </c>
      <c r="M108" s="32">
        <f t="shared" si="34"/>
        <v>51667</v>
      </c>
      <c r="N108" s="195">
        <f t="shared" si="35"/>
        <v>0.75833704298681948</v>
      </c>
      <c r="O108" s="31" t="str">
        <f t="shared" si="36"/>
        <v>Too early</v>
      </c>
      <c r="P108" s="242">
        <v>49</v>
      </c>
      <c r="Q108" s="387">
        <f t="shared" si="56"/>
        <v>863.6</v>
      </c>
      <c r="R108" s="206" t="str">
        <f>IF(B108&lt;7,(P108/VLOOKUP(B108,'Sales Pacing'!$A$23:$E$36,2)),"Too early")</f>
        <v>Too early</v>
      </c>
      <c r="S108" s="386" t="str">
        <f t="shared" si="57"/>
        <v>Too early</v>
      </c>
      <c r="T108" s="226">
        <v>1935</v>
      </c>
      <c r="U108" s="230">
        <v>20000</v>
      </c>
      <c r="V108" s="237">
        <f t="shared" si="37"/>
        <v>9.6750000000000003E-2</v>
      </c>
      <c r="W108" s="207" t="str">
        <f t="shared" si="41"/>
        <v>Too early</v>
      </c>
      <c r="X108" s="222">
        <v>574</v>
      </c>
      <c r="Y108" s="226">
        <v>37246</v>
      </c>
      <c r="Z108" s="230">
        <v>31667</v>
      </c>
      <c r="AA108" s="207">
        <f t="shared" si="38"/>
        <v>1.1761770928727067</v>
      </c>
      <c r="AB108" s="233">
        <v>1590</v>
      </c>
      <c r="AC108" s="207">
        <f t="shared" si="48"/>
        <v>0.39182389937106921</v>
      </c>
      <c r="AD108" s="208">
        <f t="shared" si="39"/>
        <v>62.890850722311399</v>
      </c>
      <c r="AE108" s="218"/>
      <c r="AF108" s="218"/>
      <c r="AG108" s="218"/>
      <c r="AH108" s="346">
        <v>38938</v>
      </c>
      <c r="AI108" s="350">
        <f t="shared" si="40"/>
        <v>243</v>
      </c>
    </row>
    <row r="109" spans="1:46" s="147" customFormat="1" x14ac:dyDescent="0.35">
      <c r="A109" s="147">
        <v>39</v>
      </c>
      <c r="B109" s="147">
        <f t="shared" si="30"/>
        <v>35</v>
      </c>
      <c r="C109" s="148">
        <v>46167</v>
      </c>
      <c r="D109" s="147" t="s">
        <v>104</v>
      </c>
      <c r="G109" s="148">
        <v>46173.583333333336</v>
      </c>
      <c r="H109" s="147" t="s">
        <v>62</v>
      </c>
      <c r="I109" s="149">
        <f t="shared" si="31"/>
        <v>638</v>
      </c>
      <c r="J109" s="33" t="str">
        <f t="shared" si="32"/>
        <v>Too early</v>
      </c>
      <c r="K109" s="34" t="str">
        <f t="shared" si="55"/>
        <v>Too early</v>
      </c>
      <c r="L109" s="35">
        <f t="shared" si="33"/>
        <v>39993.5</v>
      </c>
      <c r="M109" s="36">
        <f t="shared" si="34"/>
        <v>51667</v>
      </c>
      <c r="N109" s="196">
        <f t="shared" si="35"/>
        <v>0.77406274798227104</v>
      </c>
      <c r="O109" s="34" t="str">
        <f t="shared" si="36"/>
        <v>Too early</v>
      </c>
      <c r="P109" s="244">
        <v>64</v>
      </c>
      <c r="Q109" s="402">
        <f t="shared" si="56"/>
        <v>863.6</v>
      </c>
      <c r="R109" s="209" t="str">
        <f>IF(B109&lt;7,(P109/VLOOKUP(B109,'Sales Pacing'!$A$23:$E$36,2)),"Too early")</f>
        <v>Too early</v>
      </c>
      <c r="S109" s="403" t="str">
        <f t="shared" si="57"/>
        <v>Too early</v>
      </c>
      <c r="T109" s="227">
        <v>2881</v>
      </c>
      <c r="U109" s="231">
        <v>20000</v>
      </c>
      <c r="V109" s="238">
        <f t="shared" si="37"/>
        <v>0.14405000000000001</v>
      </c>
      <c r="W109" s="210" t="str">
        <f t="shared" si="41"/>
        <v>Too early</v>
      </c>
      <c r="X109" s="223">
        <v>574</v>
      </c>
      <c r="Y109" s="227">
        <v>37112.5</v>
      </c>
      <c r="Z109" s="231">
        <v>31667</v>
      </c>
      <c r="AA109" s="210">
        <f t="shared" si="38"/>
        <v>1.1719613477752866</v>
      </c>
      <c r="AB109" s="234">
        <v>1590</v>
      </c>
      <c r="AC109" s="210">
        <f t="shared" si="48"/>
        <v>0.40125786163522015</v>
      </c>
      <c r="AD109" s="211">
        <f t="shared" si="39"/>
        <v>62.68573667711599</v>
      </c>
      <c r="AE109" s="219"/>
      <c r="AF109" s="219"/>
      <c r="AG109" s="219"/>
      <c r="AH109" s="348">
        <v>39947.5</v>
      </c>
      <c r="AI109" s="350">
        <f t="shared" si="40"/>
        <v>46</v>
      </c>
    </row>
    <row r="110" spans="1:46" s="143" customFormat="1" x14ac:dyDescent="0.35">
      <c r="A110" s="143">
        <v>40</v>
      </c>
      <c r="B110" s="143">
        <f t="shared" si="30"/>
        <v>36</v>
      </c>
      <c r="C110" s="144">
        <v>46174</v>
      </c>
      <c r="D110" s="143" t="s">
        <v>105</v>
      </c>
      <c r="G110" s="144">
        <v>46177.833333333336</v>
      </c>
      <c r="H110" s="143" t="s">
        <v>68</v>
      </c>
      <c r="I110" s="37">
        <f t="shared" si="31"/>
        <v>20</v>
      </c>
      <c r="J110" s="38" t="str">
        <f t="shared" si="32"/>
        <v>Too early</v>
      </c>
      <c r="K110" s="31" t="str">
        <f t="shared" si="55"/>
        <v>Too early</v>
      </c>
      <c r="L110" s="39">
        <f t="shared" si="33"/>
        <v>2100</v>
      </c>
      <c r="M110" s="32">
        <v>9000</v>
      </c>
      <c r="N110" s="195">
        <f t="shared" si="35"/>
        <v>0.23333333333333334</v>
      </c>
      <c r="O110" s="31" t="str">
        <f t="shared" si="36"/>
        <v>Too early</v>
      </c>
      <c r="P110" s="222">
        <v>20</v>
      </c>
      <c r="Q110" s="387">
        <f t="shared" si="56"/>
        <v>85</v>
      </c>
      <c r="R110" s="206" t="str">
        <f>IF(B110&lt;7,(P110/VLOOKUP(B110,'Sales Pacing'!$A$23:$E$36,2)),"Too early")</f>
        <v>Too early</v>
      </c>
      <c r="S110" s="386" t="str">
        <f t="shared" si="57"/>
        <v>Too early</v>
      </c>
      <c r="T110" s="226">
        <v>2100</v>
      </c>
      <c r="U110" s="230">
        <v>9000</v>
      </c>
      <c r="V110" s="237">
        <f t="shared" si="37"/>
        <v>0.23333333333333334</v>
      </c>
      <c r="W110" s="207" t="str">
        <f t="shared" si="41"/>
        <v>Too early</v>
      </c>
      <c r="X110" s="222"/>
      <c r="Y110" s="226"/>
      <c r="Z110" s="230"/>
      <c r="AA110" s="207" t="str">
        <f t="shared" si="38"/>
        <v/>
      </c>
      <c r="AB110" s="233">
        <v>100</v>
      </c>
      <c r="AC110" s="207">
        <f t="shared" si="48"/>
        <v>0.2</v>
      </c>
      <c r="AD110" s="208">
        <f t="shared" si="39"/>
        <v>105</v>
      </c>
      <c r="AE110" s="218"/>
      <c r="AF110" s="218"/>
      <c r="AG110" s="218"/>
      <c r="AH110" s="346">
        <v>2100</v>
      </c>
      <c r="AI110" s="350">
        <f t="shared" si="40"/>
        <v>0</v>
      </c>
    </row>
    <row r="111" spans="1:46" s="143" customFormat="1" x14ac:dyDescent="0.35">
      <c r="A111" s="143">
        <v>40</v>
      </c>
      <c r="B111" s="143">
        <f t="shared" si="30"/>
        <v>36</v>
      </c>
      <c r="C111" s="144">
        <v>46174</v>
      </c>
      <c r="D111" s="143" t="s">
        <v>106</v>
      </c>
      <c r="G111" s="144">
        <v>46178.833333333336</v>
      </c>
      <c r="H111" s="143" t="s">
        <v>62</v>
      </c>
      <c r="I111" s="37">
        <f t="shared" si="31"/>
        <v>630</v>
      </c>
      <c r="J111" s="38" t="str">
        <f t="shared" si="32"/>
        <v>Too early</v>
      </c>
      <c r="K111" s="31" t="str">
        <f t="shared" si="55"/>
        <v>Too early</v>
      </c>
      <c r="L111" s="39">
        <f t="shared" si="33"/>
        <v>41444</v>
      </c>
      <c r="M111" s="32">
        <f t="shared" si="34"/>
        <v>66666</v>
      </c>
      <c r="N111" s="195">
        <f t="shared" si="35"/>
        <v>0.62166621666216659</v>
      </c>
      <c r="O111" s="31" t="str">
        <f t="shared" si="36"/>
        <v>Too early</v>
      </c>
      <c r="P111" s="242">
        <v>51</v>
      </c>
      <c r="Q111" s="387">
        <f t="shared" si="56"/>
        <v>859.35</v>
      </c>
      <c r="R111" s="206" t="str">
        <f>IF(B111&lt;7,(P111/VLOOKUP(B111,'Sales Pacing'!$A$23:$E$36,2)),"Too early")</f>
        <v>Too early</v>
      </c>
      <c r="S111" s="386" t="str">
        <f t="shared" si="57"/>
        <v>Too early</v>
      </c>
      <c r="T111" s="226">
        <v>2689</v>
      </c>
      <c r="U111" s="230">
        <v>30000</v>
      </c>
      <c r="V111" s="237">
        <f t="shared" si="37"/>
        <v>8.9633333333333329E-2</v>
      </c>
      <c r="W111" s="207" t="str">
        <f t="shared" si="41"/>
        <v>Too early</v>
      </c>
      <c r="X111" s="222">
        <v>579</v>
      </c>
      <c r="Y111" s="226">
        <v>38755</v>
      </c>
      <c r="Z111" s="230">
        <v>36666</v>
      </c>
      <c r="AA111" s="207">
        <f t="shared" si="38"/>
        <v>1.0569737631593301</v>
      </c>
      <c r="AB111" s="233">
        <v>1590</v>
      </c>
      <c r="AC111" s="207">
        <f t="shared" si="48"/>
        <v>0.39622641509433965</v>
      </c>
      <c r="AD111" s="208">
        <f t="shared" si="39"/>
        <v>65.784126984126985</v>
      </c>
      <c r="AE111" s="218"/>
      <c r="AF111" s="218"/>
      <c r="AG111" s="218"/>
      <c r="AH111" s="346">
        <v>41049</v>
      </c>
      <c r="AI111" s="350">
        <f t="shared" si="40"/>
        <v>395</v>
      </c>
    </row>
    <row r="112" spans="1:46" s="143" customFormat="1" x14ac:dyDescent="0.35">
      <c r="A112" s="143">
        <v>40</v>
      </c>
      <c r="B112" s="143">
        <f t="shared" si="30"/>
        <v>36</v>
      </c>
      <c r="C112" s="144">
        <v>46174</v>
      </c>
      <c r="D112" s="143" t="s">
        <v>106</v>
      </c>
      <c r="G112" s="144">
        <v>46179.833333333336</v>
      </c>
      <c r="H112" s="143" t="s">
        <v>62</v>
      </c>
      <c r="I112" s="37">
        <f t="shared" si="31"/>
        <v>682</v>
      </c>
      <c r="J112" s="38" t="str">
        <f t="shared" si="32"/>
        <v>Too early</v>
      </c>
      <c r="K112" s="31" t="str">
        <f t="shared" si="55"/>
        <v>Too early</v>
      </c>
      <c r="L112" s="39">
        <f t="shared" si="33"/>
        <v>45415.9</v>
      </c>
      <c r="M112" s="32">
        <f t="shared" si="34"/>
        <v>66667</v>
      </c>
      <c r="N112" s="195">
        <f t="shared" si="35"/>
        <v>0.68123509382453085</v>
      </c>
      <c r="O112" s="31" t="str">
        <f t="shared" si="36"/>
        <v>Too early</v>
      </c>
      <c r="P112" s="242">
        <v>83</v>
      </c>
      <c r="Q112" s="387">
        <f t="shared" si="56"/>
        <v>842.35</v>
      </c>
      <c r="R112" s="206" t="str">
        <f>IF(B112&lt;7,(P112/VLOOKUP(B112,'Sales Pacing'!$A$23:$E$36,2)),"Too early")</f>
        <v>Too early</v>
      </c>
      <c r="S112" s="386" t="str">
        <f t="shared" si="57"/>
        <v>Too early</v>
      </c>
      <c r="T112" s="226">
        <v>4955</v>
      </c>
      <c r="U112" s="230">
        <v>30000</v>
      </c>
      <c r="V112" s="237">
        <f t="shared" si="37"/>
        <v>0.16516666666666666</v>
      </c>
      <c r="W112" s="207" t="str">
        <f t="shared" si="41"/>
        <v>Too early</v>
      </c>
      <c r="X112" s="222">
        <v>599</v>
      </c>
      <c r="Y112" s="226">
        <v>40460.9</v>
      </c>
      <c r="Z112" s="230">
        <v>36667</v>
      </c>
      <c r="AA112" s="207">
        <f t="shared" si="38"/>
        <v>1.1034690593721876</v>
      </c>
      <c r="AB112" s="233">
        <v>1590</v>
      </c>
      <c r="AC112" s="207">
        <f t="shared" si="48"/>
        <v>0.42893081761006291</v>
      </c>
      <c r="AD112" s="208">
        <f t="shared" si="39"/>
        <v>66.592228739002934</v>
      </c>
      <c r="AE112" s="218"/>
      <c r="AF112" s="218"/>
      <c r="AG112" s="218"/>
      <c r="AH112" s="346">
        <v>45694.9</v>
      </c>
      <c r="AI112" s="350">
        <f t="shared" si="40"/>
        <v>-279</v>
      </c>
    </row>
    <row r="113" spans="1:35" s="147" customFormat="1" x14ac:dyDescent="0.35">
      <c r="A113" s="147">
        <v>40</v>
      </c>
      <c r="B113" s="147">
        <f t="shared" si="30"/>
        <v>36</v>
      </c>
      <c r="C113" s="148">
        <v>46174</v>
      </c>
      <c r="D113" s="147" t="s">
        <v>106</v>
      </c>
      <c r="G113" s="148">
        <v>46180.583333333336</v>
      </c>
      <c r="H113" s="147" t="s">
        <v>62</v>
      </c>
      <c r="I113" s="149">
        <f t="shared" si="31"/>
        <v>722</v>
      </c>
      <c r="J113" s="33" t="str">
        <f t="shared" si="32"/>
        <v>Too early</v>
      </c>
      <c r="K113" s="34" t="str">
        <f t="shared" si="55"/>
        <v>Too early</v>
      </c>
      <c r="L113" s="35">
        <f t="shared" si="33"/>
        <v>46159.6</v>
      </c>
      <c r="M113" s="36">
        <f t="shared" si="34"/>
        <v>66667</v>
      </c>
      <c r="N113" s="196">
        <f t="shared" si="35"/>
        <v>0.69239053804730977</v>
      </c>
      <c r="O113" s="34" t="str">
        <f t="shared" si="36"/>
        <v>Too early</v>
      </c>
      <c r="P113" s="244">
        <v>91</v>
      </c>
      <c r="Q113" s="387">
        <f t="shared" si="56"/>
        <v>815.15</v>
      </c>
      <c r="R113" s="209" t="str">
        <f>IF(B113&lt;7,(P113/VLOOKUP(B113,'Sales Pacing'!$A$23:$E$36,2)),"Too early")</f>
        <v>Too early</v>
      </c>
      <c r="S113" s="386" t="str">
        <f t="shared" si="57"/>
        <v>Too early</v>
      </c>
      <c r="T113" s="227">
        <v>5466</v>
      </c>
      <c r="U113" s="231">
        <v>30000</v>
      </c>
      <c r="V113" s="238">
        <f t="shared" si="37"/>
        <v>0.1822</v>
      </c>
      <c r="W113" s="210" t="str">
        <f t="shared" si="41"/>
        <v>Too early</v>
      </c>
      <c r="X113" s="223">
        <v>631</v>
      </c>
      <c r="Y113" s="227">
        <v>40693.599999999999</v>
      </c>
      <c r="Z113" s="231">
        <v>36667</v>
      </c>
      <c r="AA113" s="210">
        <f t="shared" si="38"/>
        <v>1.1098153653148608</v>
      </c>
      <c r="AB113" s="234">
        <v>1590</v>
      </c>
      <c r="AC113" s="207">
        <f t="shared" si="48"/>
        <v>0.45408805031446542</v>
      </c>
      <c r="AD113" s="211">
        <f t="shared" si="39"/>
        <v>63.932963988919667</v>
      </c>
      <c r="AE113" s="219"/>
      <c r="AF113" s="219"/>
      <c r="AG113" s="219"/>
      <c r="AH113" s="348">
        <v>46004.6</v>
      </c>
      <c r="AI113" s="350">
        <f t="shared" si="40"/>
        <v>155</v>
      </c>
    </row>
    <row r="114" spans="1:35" s="186" customFormat="1" x14ac:dyDescent="0.35">
      <c r="A114" s="186">
        <v>41</v>
      </c>
      <c r="B114" s="186">
        <f t="shared" si="30"/>
        <v>37</v>
      </c>
      <c r="C114" s="187">
        <v>46181</v>
      </c>
      <c r="D114" s="186" t="s">
        <v>71</v>
      </c>
      <c r="G114" s="198"/>
      <c r="H114" s="199"/>
      <c r="I114" s="200">
        <f t="shared" si="31"/>
        <v>0</v>
      </c>
      <c r="J114" s="201" t="str">
        <f t="shared" si="32"/>
        <v>Too early</v>
      </c>
      <c r="K114" s="202"/>
      <c r="L114" s="203">
        <f t="shared" si="33"/>
        <v>0</v>
      </c>
      <c r="M114" s="204">
        <f t="shared" si="34"/>
        <v>0</v>
      </c>
      <c r="N114" s="205" t="e">
        <f t="shared" si="35"/>
        <v>#DIV/0!</v>
      </c>
      <c r="O114" s="202"/>
      <c r="P114" s="224"/>
      <c r="Q114" s="224"/>
      <c r="R114" s="212" t="str">
        <f>IF(B114&lt;7,(P114/VLOOKUP(B114,'Sales Pacing'!$A$23:$E$36,2)),"Too early")</f>
        <v>Too early</v>
      </c>
      <c r="S114" s="212"/>
      <c r="T114" s="228"/>
      <c r="U114" s="228"/>
      <c r="V114" s="239" t="str">
        <f t="shared" si="37"/>
        <v/>
      </c>
      <c r="W114" s="213"/>
      <c r="X114" s="224"/>
      <c r="Y114" s="228"/>
      <c r="Z114" s="228"/>
      <c r="AA114" s="213" t="s">
        <v>55</v>
      </c>
      <c r="AB114" s="224"/>
      <c r="AC114" s="213" t="e">
        <f t="shared" si="48"/>
        <v>#DIV/0!</v>
      </c>
      <c r="AD114" s="214" t="e">
        <f t="shared" si="39"/>
        <v>#DIV/0!</v>
      </c>
      <c r="AE114" s="220"/>
      <c r="AF114" s="220"/>
      <c r="AG114" s="220"/>
      <c r="AH114" s="347">
        <v>0</v>
      </c>
    </row>
    <row r="115" spans="1:35" s="143" customFormat="1" x14ac:dyDescent="0.35">
      <c r="A115" s="143">
        <v>42</v>
      </c>
      <c r="B115" s="143">
        <f t="shared" si="30"/>
        <v>38</v>
      </c>
      <c r="C115" s="177">
        <v>46188</v>
      </c>
      <c r="D115" s="178" t="s">
        <v>107</v>
      </c>
      <c r="E115" s="178"/>
      <c r="F115" s="178"/>
      <c r="G115" s="177">
        <v>46192.833333333336</v>
      </c>
      <c r="H115" s="178" t="s">
        <v>62</v>
      </c>
      <c r="I115" s="37">
        <f t="shared" si="31"/>
        <v>491</v>
      </c>
      <c r="J115" s="38" t="str">
        <f t="shared" si="32"/>
        <v>Too early</v>
      </c>
      <c r="K115" s="31" t="str">
        <f>IF(J115="Too early",J115,J115/AB115)</f>
        <v>Too early</v>
      </c>
      <c r="L115" s="39">
        <f t="shared" si="33"/>
        <v>32669</v>
      </c>
      <c r="M115" s="32">
        <f t="shared" si="34"/>
        <v>60000</v>
      </c>
      <c r="N115" s="195">
        <f t="shared" si="35"/>
        <v>0.54448333333333332</v>
      </c>
      <c r="O115" s="31" t="str">
        <f t="shared" si="36"/>
        <v>Too early</v>
      </c>
      <c r="P115" s="242">
        <v>111</v>
      </c>
      <c r="Q115" s="387">
        <f t="shared" ref="Q115:Q117" si="58">(AB115-X115)*0.85</f>
        <v>1028.5</v>
      </c>
      <c r="R115" s="206" t="str">
        <f>IF(B115&lt;7,(P115/VLOOKUP(B115,'Sales Pacing'!$A$23:$E$36,2)),"Too early")</f>
        <v>Too early</v>
      </c>
      <c r="S115" s="386" t="str">
        <f t="shared" ref="S115:S117" si="59">IF(R115="Too early","Too early",R115/Q115)</f>
        <v>Too early</v>
      </c>
      <c r="T115" s="226">
        <v>6390</v>
      </c>
      <c r="U115" s="230">
        <v>30000</v>
      </c>
      <c r="V115" s="237">
        <f t="shared" si="37"/>
        <v>0.21299999999999999</v>
      </c>
      <c r="W115" s="207" t="str">
        <f t="shared" si="41"/>
        <v>Too early</v>
      </c>
      <c r="X115" s="222">
        <v>380</v>
      </c>
      <c r="Y115" s="226">
        <v>26279</v>
      </c>
      <c r="Z115" s="230">
        <v>30000</v>
      </c>
      <c r="AA115" s="207">
        <f t="shared" si="38"/>
        <v>0.87596666666666667</v>
      </c>
      <c r="AB115" s="233">
        <v>1590</v>
      </c>
      <c r="AC115" s="207">
        <f t="shared" si="48"/>
        <v>0.30880503144654087</v>
      </c>
      <c r="AD115" s="208">
        <f t="shared" si="39"/>
        <v>66.535641547861502</v>
      </c>
      <c r="AE115" s="218"/>
      <c r="AF115" s="218"/>
      <c r="AG115" s="218"/>
      <c r="AH115" s="346">
        <v>31448</v>
      </c>
      <c r="AI115" s="350">
        <f t="shared" si="40"/>
        <v>1221</v>
      </c>
    </row>
    <row r="116" spans="1:35" s="143" customFormat="1" x14ac:dyDescent="0.35">
      <c r="A116" s="143">
        <v>42</v>
      </c>
      <c r="B116" s="143">
        <f t="shared" si="30"/>
        <v>38</v>
      </c>
      <c r="C116" s="144">
        <v>46188</v>
      </c>
      <c r="D116" s="143" t="s">
        <v>107</v>
      </c>
      <c r="G116" s="144">
        <v>46193.833333333336</v>
      </c>
      <c r="H116" s="143" t="s">
        <v>62</v>
      </c>
      <c r="I116" s="37">
        <f t="shared" si="31"/>
        <v>809</v>
      </c>
      <c r="J116" s="38" t="str">
        <f t="shared" si="32"/>
        <v>Too early</v>
      </c>
      <c r="K116" s="31" t="str">
        <f>IF(J116="Too early",J116,J116/AB116)</f>
        <v>Too early</v>
      </c>
      <c r="L116" s="39">
        <f t="shared" si="33"/>
        <v>51247</v>
      </c>
      <c r="M116" s="32">
        <f t="shared" si="34"/>
        <v>70000</v>
      </c>
      <c r="N116" s="195">
        <f t="shared" si="35"/>
        <v>0.73209999999999997</v>
      </c>
      <c r="O116" s="31" t="str">
        <f t="shared" si="36"/>
        <v>Too early</v>
      </c>
      <c r="P116" s="242">
        <v>220</v>
      </c>
      <c r="Q116" s="387">
        <f t="shared" si="58"/>
        <v>850.85</v>
      </c>
      <c r="R116" s="206" t="str">
        <f>IF(B116&lt;7,(P116/VLOOKUP(B116,'Sales Pacing'!$A$23:$E$36,2)),"Too early")</f>
        <v>Too early</v>
      </c>
      <c r="S116" s="386" t="str">
        <f t="shared" si="59"/>
        <v>Too early</v>
      </c>
      <c r="T116" s="226">
        <v>13052</v>
      </c>
      <c r="U116" s="230">
        <v>27500</v>
      </c>
      <c r="V116" s="237">
        <f t="shared" si="37"/>
        <v>0.47461818181818183</v>
      </c>
      <c r="W116" s="207" t="str">
        <f t="shared" si="41"/>
        <v>Too early</v>
      </c>
      <c r="X116" s="222">
        <v>589</v>
      </c>
      <c r="Y116" s="226">
        <v>38195</v>
      </c>
      <c r="Z116" s="230">
        <v>42500</v>
      </c>
      <c r="AA116" s="207">
        <f t="shared" si="38"/>
        <v>0.89870588235294113</v>
      </c>
      <c r="AB116" s="233">
        <v>1590</v>
      </c>
      <c r="AC116" s="207">
        <f t="shared" si="48"/>
        <v>0.50880503144654088</v>
      </c>
      <c r="AD116" s="208">
        <f t="shared" si="39"/>
        <v>63.346106304079107</v>
      </c>
      <c r="AE116" s="218"/>
      <c r="AF116" s="218"/>
      <c r="AG116" s="218"/>
      <c r="AH116" s="346">
        <v>49815</v>
      </c>
      <c r="AI116" s="350">
        <f t="shared" si="40"/>
        <v>1432</v>
      </c>
    </row>
    <row r="117" spans="1:35" s="147" customFormat="1" x14ac:dyDescent="0.35">
      <c r="A117" s="147">
        <v>42</v>
      </c>
      <c r="B117" s="147">
        <f t="shared" si="30"/>
        <v>38</v>
      </c>
      <c r="C117" s="148">
        <v>46188</v>
      </c>
      <c r="D117" s="147" t="s">
        <v>107</v>
      </c>
      <c r="G117" s="148">
        <v>46194.583333333336</v>
      </c>
      <c r="H117" s="147" t="s">
        <v>62</v>
      </c>
      <c r="I117" s="149">
        <f t="shared" si="31"/>
        <v>756</v>
      </c>
      <c r="J117" s="33" t="str">
        <f t="shared" si="32"/>
        <v>Too early</v>
      </c>
      <c r="K117" s="34" t="str">
        <f>IF(J117="Too early",J117,J117/AB117)</f>
        <v>Too early</v>
      </c>
      <c r="L117" s="35">
        <f t="shared" si="33"/>
        <v>47850</v>
      </c>
      <c r="M117" s="36">
        <f t="shared" si="34"/>
        <v>70000</v>
      </c>
      <c r="N117" s="196">
        <f t="shared" si="35"/>
        <v>0.68357142857142861</v>
      </c>
      <c r="O117" s="34" t="str">
        <f t="shared" si="36"/>
        <v>Too early</v>
      </c>
      <c r="P117" s="244">
        <v>187</v>
      </c>
      <c r="Q117" s="402">
        <f t="shared" si="58"/>
        <v>867.85</v>
      </c>
      <c r="R117" s="209" t="str">
        <f>IF(B117&lt;7,(P117/VLOOKUP(B117,'Sales Pacing'!$A$23:$E$36,2)),"Too early")</f>
        <v>Too early</v>
      </c>
      <c r="S117" s="403" t="str">
        <f t="shared" si="59"/>
        <v>Too early</v>
      </c>
      <c r="T117" s="227">
        <v>11098</v>
      </c>
      <c r="U117" s="231">
        <v>27500</v>
      </c>
      <c r="V117" s="238">
        <f t="shared" si="37"/>
        <v>0.40356363636363635</v>
      </c>
      <c r="W117" s="210" t="str">
        <f t="shared" si="41"/>
        <v>Too early</v>
      </c>
      <c r="X117" s="223">
        <v>569</v>
      </c>
      <c r="Y117" s="227">
        <v>36752</v>
      </c>
      <c r="Z117" s="231">
        <v>42500</v>
      </c>
      <c r="AA117" s="210">
        <f t="shared" si="38"/>
        <v>0.86475294117647061</v>
      </c>
      <c r="AB117" s="234">
        <v>1590</v>
      </c>
      <c r="AC117" s="207">
        <f t="shared" si="48"/>
        <v>0.47547169811320755</v>
      </c>
      <c r="AD117" s="211">
        <f t="shared" si="39"/>
        <v>63.293650793650791</v>
      </c>
      <c r="AE117" s="219"/>
      <c r="AF117" s="219"/>
      <c r="AG117" s="219"/>
      <c r="AH117" s="348">
        <v>47300</v>
      </c>
      <c r="AI117" s="352">
        <f t="shared" si="40"/>
        <v>550</v>
      </c>
    </row>
    <row r="118" spans="1:35" ht="14.4" x14ac:dyDescent="0.3">
      <c r="A118" s="507"/>
      <c r="B118" s="507"/>
      <c r="C118" s="507"/>
      <c r="D118" s="507"/>
      <c r="E118" s="1"/>
      <c r="F118" s="1"/>
      <c r="G118" s="1"/>
      <c r="H118" s="1"/>
      <c r="I118" s="4"/>
      <c r="J118" s="1"/>
      <c r="K118" s="1"/>
      <c r="L118" s="18"/>
      <c r="M118" s="18"/>
      <c r="N118" s="18"/>
      <c r="O118" s="19"/>
      <c r="P118" s="20"/>
      <c r="Q118" s="21"/>
      <c r="R118" s="21"/>
      <c r="S118" s="21"/>
      <c r="T118" s="18"/>
      <c r="U118" s="18"/>
      <c r="V118" s="18"/>
      <c r="W118" s="1"/>
      <c r="X118" s="4"/>
      <c r="Y118" s="18"/>
      <c r="Z118" s="22"/>
      <c r="AA118" s="18"/>
      <c r="AB118" s="17"/>
      <c r="AC118" s="19"/>
      <c r="AD118" s="19"/>
      <c r="AE118" s="23"/>
      <c r="AF118" s="18"/>
      <c r="AG118" s="24"/>
      <c r="AI118" s="353">
        <f>SUM(AI6:AI117)</f>
        <v>83343.700000000012</v>
      </c>
    </row>
    <row r="119" spans="1:35" ht="14.4" x14ac:dyDescent="0.3">
      <c r="A119" s="1"/>
      <c r="B119" s="1"/>
      <c r="C119" s="1"/>
      <c r="D119" s="316" t="s">
        <v>108</v>
      </c>
      <c r="E119" s="317"/>
      <c r="F119" s="317"/>
      <c r="G119" s="317"/>
      <c r="H119" s="317"/>
      <c r="I119" s="318">
        <f t="shared" ref="I119:I125" si="60">SUMIF($H$118:$H$167,D119,$I$118:$I$167)</f>
        <v>0</v>
      </c>
      <c r="J119" s="319">
        <f>I119</f>
        <v>0</v>
      </c>
      <c r="K119" s="31"/>
      <c r="L119" s="44">
        <f t="shared" ref="L119:L125" si="61">SUMIF($H$118:$H$167,D119,$L$118:$L$167)</f>
        <v>0</v>
      </c>
      <c r="M119" s="44">
        <v>2139000</v>
      </c>
      <c r="N119" s="192"/>
      <c r="O119" s="31" t="str">
        <f>IF(L119&gt;0,L119/M119,"")</f>
        <v/>
      </c>
      <c r="P119" s="43">
        <f t="shared" ref="P119:P125" si="62">SUMIF($H$118:$H$167,$D119,P$118:P$167)</f>
        <v>0</v>
      </c>
      <c r="Q119" s="43"/>
      <c r="R119" s="43">
        <f>P119</f>
        <v>0</v>
      </c>
      <c r="S119" s="43"/>
      <c r="T119" s="44">
        <f t="shared" ref="T119:T125" si="63">SUMIF($H$118:$H$167,$D119,T$118:T$167)</f>
        <v>0</v>
      </c>
      <c r="U119" s="44">
        <v>704000</v>
      </c>
      <c r="V119" s="192"/>
      <c r="W119" s="31" t="str">
        <f>IF(T119&gt;0,T119/U119,"")</f>
        <v/>
      </c>
      <c r="X119" s="42">
        <f t="shared" ref="X119:Y125" si="64">SUMIF($H$118:$H$167,$D119,X$118:X$167)</f>
        <v>0</v>
      </c>
      <c r="Y119" s="44">
        <f t="shared" si="64"/>
        <v>0</v>
      </c>
      <c r="Z119" s="45">
        <v>1435000</v>
      </c>
      <c r="AA119" s="31" t="str">
        <f>IF(Y119&gt;0,Y119/Z119,"")</f>
        <v/>
      </c>
      <c r="AB119" s="42">
        <f t="shared" ref="AB119:AB125" si="65">SUMIF($H$118:$H$167,D119,$AB$118:$AB$167)</f>
        <v>0</v>
      </c>
      <c r="AC119" s="46" t="e">
        <f t="shared" ref="AC119:AC126" si="66">I119/AB119</f>
        <v>#DIV/0!</v>
      </c>
      <c r="AD119" s="47" t="e">
        <f t="shared" ref="AD119:AD126" si="67">L119/I119</f>
        <v>#DIV/0!</v>
      </c>
      <c r="AE119" s="48"/>
      <c r="AF119" s="49"/>
      <c r="AG119" s="50"/>
    </row>
    <row r="120" spans="1:35" ht="14.4" x14ac:dyDescent="0.3">
      <c r="A120" s="1"/>
      <c r="B120" s="1"/>
      <c r="C120" s="1"/>
      <c r="D120" s="328" t="s">
        <v>109</v>
      </c>
      <c r="E120" s="329"/>
      <c r="F120" s="329"/>
      <c r="G120" s="329"/>
      <c r="H120" s="329"/>
      <c r="I120" s="330">
        <f t="shared" si="60"/>
        <v>0</v>
      </c>
      <c r="J120" s="331">
        <f t="shared" ref="J120:J125" si="68">I120</f>
        <v>0</v>
      </c>
      <c r="K120" s="31"/>
      <c r="L120" s="44">
        <f t="shared" si="61"/>
        <v>0</v>
      </c>
      <c r="M120" s="44">
        <v>363000</v>
      </c>
      <c r="N120" s="192"/>
      <c r="O120" s="31" t="str">
        <f t="shared" ref="O120:O126" si="69">IF(L120&gt;0,L120/M120,"")</f>
        <v/>
      </c>
      <c r="P120" s="43">
        <f t="shared" si="62"/>
        <v>0</v>
      </c>
      <c r="Q120" s="43"/>
      <c r="R120" s="43">
        <f t="shared" ref="R120:R125" si="70">P120</f>
        <v>0</v>
      </c>
      <c r="S120" s="43"/>
      <c r="T120" s="44">
        <f t="shared" si="63"/>
        <v>0</v>
      </c>
      <c r="U120" s="44">
        <v>163000</v>
      </c>
      <c r="V120" s="192"/>
      <c r="W120" s="31" t="str">
        <f t="shared" ref="W120:W126" si="71">IF(T120&gt;0,T120/U120,"")</f>
        <v/>
      </c>
      <c r="X120" s="42">
        <f t="shared" si="64"/>
        <v>0</v>
      </c>
      <c r="Y120" s="44">
        <f t="shared" si="64"/>
        <v>0</v>
      </c>
      <c r="Z120" s="45">
        <v>200000</v>
      </c>
      <c r="AA120" s="31" t="str">
        <f t="shared" ref="AA120:AA125" si="72">IF(Y120&gt;0,Y120/Z120,"")</f>
        <v/>
      </c>
      <c r="AB120" s="42">
        <f t="shared" si="65"/>
        <v>0</v>
      </c>
      <c r="AC120" s="46" t="e">
        <f t="shared" si="66"/>
        <v>#DIV/0!</v>
      </c>
      <c r="AD120" s="51" t="e">
        <f t="shared" si="67"/>
        <v>#DIV/0!</v>
      </c>
      <c r="AE120" s="48"/>
      <c r="AF120" s="49"/>
      <c r="AG120" s="50"/>
    </row>
    <row r="121" spans="1:35" ht="14.4" x14ac:dyDescent="0.3">
      <c r="A121" s="1"/>
      <c r="B121" s="1"/>
      <c r="C121" s="1"/>
      <c r="D121" s="328" t="s">
        <v>110</v>
      </c>
      <c r="E121" s="329"/>
      <c r="F121" s="329"/>
      <c r="G121" s="329"/>
      <c r="H121" s="329"/>
      <c r="I121" s="330">
        <f t="shared" si="60"/>
        <v>0</v>
      </c>
      <c r="J121" s="331">
        <f t="shared" si="68"/>
        <v>0</v>
      </c>
      <c r="K121" s="31"/>
      <c r="L121" s="44">
        <f t="shared" si="61"/>
        <v>0</v>
      </c>
      <c r="M121" s="52">
        <v>1457000</v>
      </c>
      <c r="N121" s="193"/>
      <c r="O121" s="31" t="str">
        <f t="shared" si="69"/>
        <v/>
      </c>
      <c r="P121" s="43">
        <f t="shared" si="62"/>
        <v>0</v>
      </c>
      <c r="Q121" s="43"/>
      <c r="R121" s="43">
        <f t="shared" si="70"/>
        <v>0</v>
      </c>
      <c r="S121" s="43"/>
      <c r="T121" s="44">
        <f t="shared" si="63"/>
        <v>0</v>
      </c>
      <c r="U121" s="52">
        <v>838000</v>
      </c>
      <c r="V121" s="193"/>
      <c r="W121" s="31" t="str">
        <f t="shared" si="71"/>
        <v/>
      </c>
      <c r="X121" s="42">
        <f t="shared" si="64"/>
        <v>0</v>
      </c>
      <c r="Y121" s="44">
        <f t="shared" si="64"/>
        <v>0</v>
      </c>
      <c r="Z121" s="45">
        <v>619000</v>
      </c>
      <c r="AA121" s="31" t="str">
        <f t="shared" si="72"/>
        <v/>
      </c>
      <c r="AB121" s="42">
        <f t="shared" si="65"/>
        <v>0</v>
      </c>
      <c r="AC121" s="53" t="e">
        <f t="shared" si="66"/>
        <v>#DIV/0!</v>
      </c>
      <c r="AD121" s="47" t="e">
        <f t="shared" si="67"/>
        <v>#DIV/0!</v>
      </c>
      <c r="AE121" s="48"/>
      <c r="AF121" s="49"/>
      <c r="AG121" s="50"/>
    </row>
    <row r="122" spans="1:35" ht="14.4" x14ac:dyDescent="0.3">
      <c r="A122" s="1"/>
      <c r="B122" s="1"/>
      <c r="C122" s="1"/>
      <c r="D122" s="324" t="s">
        <v>111</v>
      </c>
      <c r="E122" s="325"/>
      <c r="F122" s="325"/>
      <c r="G122" s="325"/>
      <c r="H122" s="325"/>
      <c r="I122" s="326">
        <f t="shared" si="60"/>
        <v>0</v>
      </c>
      <c r="J122" s="327">
        <f t="shared" si="68"/>
        <v>0</v>
      </c>
      <c r="K122" s="31"/>
      <c r="L122" s="44">
        <f t="shared" si="61"/>
        <v>0</v>
      </c>
      <c r="M122" s="52">
        <v>525950</v>
      </c>
      <c r="N122" s="193"/>
      <c r="O122" s="31" t="str">
        <f t="shared" si="69"/>
        <v/>
      </c>
      <c r="P122" s="43">
        <f t="shared" si="62"/>
        <v>0</v>
      </c>
      <c r="Q122" s="43"/>
      <c r="R122" s="43">
        <f t="shared" si="70"/>
        <v>0</v>
      </c>
      <c r="S122" s="43"/>
      <c r="T122" s="44">
        <f t="shared" si="63"/>
        <v>0</v>
      </c>
      <c r="U122" s="52">
        <v>485000</v>
      </c>
      <c r="V122" s="193"/>
      <c r="W122" s="31" t="str">
        <f t="shared" si="71"/>
        <v/>
      </c>
      <c r="X122" s="42">
        <f t="shared" si="64"/>
        <v>0</v>
      </c>
      <c r="Y122" s="44">
        <f t="shared" si="64"/>
        <v>0</v>
      </c>
      <c r="Z122" s="45">
        <v>40950</v>
      </c>
      <c r="AA122" s="31" t="str">
        <f t="shared" si="72"/>
        <v/>
      </c>
      <c r="AB122" s="42">
        <f t="shared" si="65"/>
        <v>0</v>
      </c>
      <c r="AC122" s="53" t="e">
        <f t="shared" si="66"/>
        <v>#DIV/0!</v>
      </c>
      <c r="AD122" s="47" t="e">
        <f t="shared" si="67"/>
        <v>#DIV/0!</v>
      </c>
      <c r="AE122" s="48"/>
      <c r="AF122" s="49"/>
      <c r="AG122" s="50"/>
    </row>
    <row r="123" spans="1:35" ht="14.4" x14ac:dyDescent="0.3">
      <c r="A123" s="1"/>
      <c r="B123" s="1"/>
      <c r="C123" s="1"/>
      <c r="D123" s="320" t="s">
        <v>112</v>
      </c>
      <c r="E123" s="321"/>
      <c r="F123" s="321"/>
      <c r="G123" s="321"/>
      <c r="H123" s="321"/>
      <c r="I123" s="322">
        <f t="shared" si="60"/>
        <v>0</v>
      </c>
      <c r="J123" s="323">
        <f t="shared" si="68"/>
        <v>0</v>
      </c>
      <c r="K123" s="31"/>
      <c r="L123" s="44">
        <f t="shared" si="61"/>
        <v>0</v>
      </c>
      <c r="M123" s="56">
        <v>1745490</v>
      </c>
      <c r="N123" s="193"/>
      <c r="O123" s="31" t="str">
        <f t="shared" si="69"/>
        <v/>
      </c>
      <c r="P123" s="43">
        <f t="shared" si="62"/>
        <v>0</v>
      </c>
      <c r="Q123" s="43"/>
      <c r="R123" s="43">
        <f t="shared" si="70"/>
        <v>0</v>
      </c>
      <c r="S123" s="43"/>
      <c r="T123" s="44">
        <f t="shared" si="63"/>
        <v>0</v>
      </c>
      <c r="U123" s="56">
        <v>1745490</v>
      </c>
      <c r="V123" s="193"/>
      <c r="W123" s="31" t="str">
        <f t="shared" si="71"/>
        <v/>
      </c>
      <c r="X123" s="42">
        <f t="shared" si="64"/>
        <v>0</v>
      </c>
      <c r="Y123" s="44">
        <f t="shared" si="64"/>
        <v>0</v>
      </c>
      <c r="Z123" s="57">
        <v>0</v>
      </c>
      <c r="AA123" s="31" t="str">
        <f t="shared" si="72"/>
        <v/>
      </c>
      <c r="AB123" s="42">
        <f t="shared" si="65"/>
        <v>0</v>
      </c>
      <c r="AC123" s="53" t="e">
        <f t="shared" si="66"/>
        <v>#DIV/0!</v>
      </c>
      <c r="AD123" s="51" t="e">
        <f t="shared" si="67"/>
        <v>#DIV/0!</v>
      </c>
      <c r="AE123" s="58"/>
      <c r="AF123" s="59"/>
      <c r="AG123" s="60"/>
    </row>
    <row r="124" spans="1:35" ht="14.4" x14ac:dyDescent="0.3">
      <c r="A124" s="1"/>
      <c r="B124" s="1"/>
      <c r="C124" s="1"/>
      <c r="D124" s="320" t="s">
        <v>113</v>
      </c>
      <c r="E124" s="321"/>
      <c r="F124" s="321"/>
      <c r="G124" s="321"/>
      <c r="H124" s="321"/>
      <c r="I124" s="322">
        <f t="shared" si="60"/>
        <v>0</v>
      </c>
      <c r="J124" s="323">
        <f t="shared" si="68"/>
        <v>0</v>
      </c>
      <c r="K124" s="31"/>
      <c r="L124" s="44">
        <f t="shared" si="61"/>
        <v>0</v>
      </c>
      <c r="M124" s="61">
        <v>38200</v>
      </c>
      <c r="N124" s="192"/>
      <c r="O124" s="31" t="str">
        <f t="shared" si="69"/>
        <v/>
      </c>
      <c r="P124" s="43">
        <f t="shared" si="62"/>
        <v>0</v>
      </c>
      <c r="Q124" s="43"/>
      <c r="R124" s="43">
        <f t="shared" si="70"/>
        <v>0</v>
      </c>
      <c r="S124" s="43"/>
      <c r="T124" s="44">
        <f t="shared" si="63"/>
        <v>0</v>
      </c>
      <c r="U124" s="56">
        <v>38200</v>
      </c>
      <c r="V124" s="193"/>
      <c r="W124" s="31" t="str">
        <f t="shared" si="71"/>
        <v/>
      </c>
      <c r="X124" s="42">
        <f t="shared" si="64"/>
        <v>0</v>
      </c>
      <c r="Y124" s="44">
        <f t="shared" si="64"/>
        <v>0</v>
      </c>
      <c r="Z124" s="57">
        <v>0</v>
      </c>
      <c r="AA124" s="31" t="str">
        <f t="shared" si="72"/>
        <v/>
      </c>
      <c r="AB124" s="42">
        <f t="shared" si="65"/>
        <v>0</v>
      </c>
      <c r="AC124" s="53" t="e">
        <f t="shared" si="66"/>
        <v>#DIV/0!</v>
      </c>
      <c r="AD124" s="56" t="e">
        <f t="shared" si="67"/>
        <v>#DIV/0!</v>
      </c>
      <c r="AE124" s="58"/>
      <c r="AF124" s="59"/>
      <c r="AG124" s="60"/>
    </row>
    <row r="125" spans="1:35" ht="14.4" x14ac:dyDescent="0.3">
      <c r="A125" s="1"/>
      <c r="B125" s="1"/>
      <c r="C125" s="1"/>
      <c r="D125" s="320" t="s">
        <v>114</v>
      </c>
      <c r="E125" s="336"/>
      <c r="F125" s="336"/>
      <c r="G125" s="336"/>
      <c r="H125" s="336"/>
      <c r="I125" s="322">
        <f t="shared" si="60"/>
        <v>0</v>
      </c>
      <c r="J125" s="323">
        <f t="shared" si="68"/>
        <v>0</v>
      </c>
      <c r="K125" s="31"/>
      <c r="L125" s="44">
        <f t="shared" si="61"/>
        <v>0</v>
      </c>
      <c r="M125" s="52"/>
      <c r="N125" s="193"/>
      <c r="O125" s="31" t="str">
        <f t="shared" si="69"/>
        <v/>
      </c>
      <c r="P125" s="43">
        <f t="shared" si="62"/>
        <v>0</v>
      </c>
      <c r="Q125" s="43"/>
      <c r="R125" s="43">
        <f t="shared" si="70"/>
        <v>0</v>
      </c>
      <c r="S125" s="43"/>
      <c r="T125" s="44">
        <f t="shared" si="63"/>
        <v>0</v>
      </c>
      <c r="U125" s="52"/>
      <c r="V125" s="193"/>
      <c r="W125" s="31" t="str">
        <f t="shared" si="71"/>
        <v/>
      </c>
      <c r="X125" s="42">
        <f t="shared" si="64"/>
        <v>0</v>
      </c>
      <c r="Y125" s="44">
        <f t="shared" si="64"/>
        <v>0</v>
      </c>
      <c r="Z125" s="45">
        <v>0</v>
      </c>
      <c r="AA125" s="31" t="str">
        <f t="shared" si="72"/>
        <v/>
      </c>
      <c r="AB125" s="42">
        <f t="shared" si="65"/>
        <v>0</v>
      </c>
      <c r="AC125" s="46" t="e">
        <f t="shared" si="66"/>
        <v>#DIV/0!</v>
      </c>
      <c r="AD125" s="47" t="e">
        <f t="shared" si="67"/>
        <v>#DIV/0!</v>
      </c>
      <c r="AE125" s="48"/>
      <c r="AF125" s="49"/>
      <c r="AG125" s="63"/>
    </row>
    <row r="126" spans="1:35" ht="14.4" x14ac:dyDescent="0.3">
      <c r="A126" s="64"/>
      <c r="B126" s="64"/>
      <c r="C126" s="64"/>
      <c r="D126" s="332" t="s">
        <v>115</v>
      </c>
      <c r="E126" s="333"/>
      <c r="F126" s="333"/>
      <c r="G126" s="333"/>
      <c r="H126" s="333"/>
      <c r="I126" s="334">
        <f>SUM(I119:I125)</f>
        <v>0</v>
      </c>
      <c r="J126" s="335">
        <f>SUM(J119:J125)</f>
        <v>0</v>
      </c>
      <c r="K126" s="31"/>
      <c r="L126" s="67">
        <f>SUM(L119:L125)</f>
        <v>0</v>
      </c>
      <c r="M126" s="67">
        <f>SUM(M119:M125)</f>
        <v>6268640</v>
      </c>
      <c r="N126" s="194"/>
      <c r="O126" s="31" t="str">
        <f t="shared" si="69"/>
        <v/>
      </c>
      <c r="P126" s="67">
        <f>SUM(P119:P125)</f>
        <v>0</v>
      </c>
      <c r="Q126" s="67"/>
      <c r="R126" s="67">
        <f>SUM(R119:R125)</f>
        <v>0</v>
      </c>
      <c r="S126" s="67"/>
      <c r="T126" s="68">
        <f>SUM(T119:T125)</f>
        <v>0</v>
      </c>
      <c r="U126" s="69">
        <f>SUM(U119:U125)</f>
        <v>3973690</v>
      </c>
      <c r="V126" s="236"/>
      <c r="W126" s="31" t="str">
        <f t="shared" si="71"/>
        <v/>
      </c>
      <c r="X126" s="67">
        <f>SUM(X119,X120,X121,X122,X123,X124,X125)</f>
        <v>0</v>
      </c>
      <c r="Y126" s="70">
        <f>SUM(Y119,Y120,Y121,Y122,Y123,Y124,Y125)</f>
        <v>0</v>
      </c>
      <c r="Z126" s="69">
        <v>2169893</v>
      </c>
      <c r="AA126" s="31" t="str">
        <f>IF(Y126&gt;0,Y126/Z126,"")</f>
        <v/>
      </c>
      <c r="AB126" s="71">
        <f>SUM(AB119:AB125)</f>
        <v>0</v>
      </c>
      <c r="AC126" s="72" t="e">
        <f t="shared" si="66"/>
        <v>#DIV/0!</v>
      </c>
      <c r="AD126" s="73" t="e">
        <f t="shared" si="67"/>
        <v>#DIV/0!</v>
      </c>
      <c r="AE126" s="74"/>
      <c r="AF126" s="75"/>
      <c r="AG126" s="76"/>
    </row>
    <row r="127" spans="1:35" ht="14.4" x14ac:dyDescent="0.3">
      <c r="A127" s="1"/>
      <c r="B127" s="1"/>
      <c r="C127" s="1"/>
      <c r="D127" s="1"/>
      <c r="E127" s="1"/>
      <c r="F127" s="1"/>
      <c r="G127" s="1"/>
      <c r="H127" s="1"/>
      <c r="I127" s="77"/>
      <c r="J127" s="78"/>
      <c r="K127" s="77"/>
      <c r="L127" s="79"/>
      <c r="M127" s="79"/>
      <c r="N127" s="79"/>
      <c r="O127" s="1"/>
      <c r="P127" s="4"/>
      <c r="Q127" s="1"/>
      <c r="R127" s="1"/>
      <c r="S127" s="1"/>
      <c r="T127" s="80"/>
      <c r="U127" s="1"/>
      <c r="V127" s="1"/>
      <c r="W127" s="31"/>
      <c r="X127" s="4"/>
      <c r="Y127" s="81"/>
      <c r="Z127" s="81"/>
      <c r="AA127" s="31" t="str">
        <f>IF(Y126&gt;0,Y126/Z127,"")</f>
        <v/>
      </c>
      <c r="AB127" s="4"/>
      <c r="AC127" s="1"/>
      <c r="AD127" s="1"/>
      <c r="AE127" s="1"/>
      <c r="AF127" s="1"/>
      <c r="AG127" s="1"/>
    </row>
    <row r="128" spans="1:35" ht="14.4" x14ac:dyDescent="0.3">
      <c r="A128" s="1"/>
      <c r="B128" s="1"/>
      <c r="C128" s="1"/>
      <c r="D128" s="1"/>
      <c r="E128" s="1"/>
      <c r="F128" s="1"/>
      <c r="G128" s="1"/>
      <c r="H128" s="1"/>
      <c r="I128" s="77"/>
      <c r="J128" s="82"/>
      <c r="K128" s="81"/>
      <c r="L128" s="81"/>
      <c r="M128" s="81"/>
      <c r="N128" s="81"/>
      <c r="O128" s="1"/>
      <c r="P128" s="4"/>
      <c r="Q128" s="1"/>
      <c r="R128" s="1"/>
      <c r="S128" s="1"/>
      <c r="T128" s="1"/>
      <c r="U128" s="1"/>
      <c r="V128" s="1"/>
      <c r="W128" s="31"/>
      <c r="X128" s="4"/>
      <c r="Y128" s="81"/>
      <c r="Z128" s="81"/>
      <c r="AA128" s="81"/>
      <c r="AB128" s="4"/>
      <c r="AC128" s="1"/>
      <c r="AD128" s="1"/>
      <c r="AE128" s="1"/>
      <c r="AF128" s="1"/>
      <c r="AG128" s="1"/>
    </row>
    <row r="129" spans="1:33" ht="14.4" x14ac:dyDescent="0.3">
      <c r="A129" s="507"/>
      <c r="B129" s="507"/>
      <c r="C129" s="507"/>
      <c r="D129" s="507"/>
      <c r="E129" s="1"/>
      <c r="F129" s="1"/>
      <c r="G129" s="1"/>
      <c r="H129" s="1"/>
      <c r="I129" s="4"/>
      <c r="J129" s="1"/>
      <c r="K129" s="1"/>
      <c r="L129" s="1"/>
      <c r="M129" s="1"/>
      <c r="N129" s="1"/>
      <c r="O129" s="1"/>
      <c r="P129" s="4"/>
      <c r="Q129" s="1"/>
      <c r="R129" s="1"/>
      <c r="S129" s="1"/>
      <c r="T129" s="1"/>
      <c r="U129" s="1"/>
      <c r="V129" s="1"/>
      <c r="W129" s="1"/>
      <c r="X129" s="4"/>
      <c r="Y129" s="1"/>
      <c r="Z129" s="1"/>
      <c r="AA129" s="1"/>
      <c r="AB129" s="4"/>
      <c r="AC129" s="507"/>
      <c r="AD129" s="507"/>
      <c r="AE129" s="507"/>
      <c r="AF129" s="507"/>
      <c r="AG129" s="1"/>
    </row>
    <row r="130" spans="1:33" ht="14.4" x14ac:dyDescent="0.3">
      <c r="A130" s="507"/>
      <c r="B130" s="507"/>
      <c r="C130" s="507"/>
      <c r="D130" s="507"/>
      <c r="E130" s="1"/>
      <c r="F130" s="1"/>
      <c r="G130" s="1"/>
      <c r="H130" s="1"/>
      <c r="I130" s="4"/>
      <c r="J130" s="25" t="s">
        <v>116</v>
      </c>
      <c r="K130" s="1"/>
      <c r="L130" s="1"/>
      <c r="M130" s="1"/>
      <c r="N130" s="1"/>
      <c r="O130" s="1"/>
      <c r="P130" s="4"/>
      <c r="Q130" s="1"/>
      <c r="R130" s="1"/>
      <c r="S130" s="1"/>
      <c r="T130" s="1"/>
      <c r="U130" s="1"/>
      <c r="V130" s="1"/>
      <c r="W130" s="1"/>
      <c r="X130" s="4"/>
      <c r="Y130" s="1"/>
      <c r="Z130" s="1"/>
      <c r="AA130" s="1"/>
      <c r="AB130" s="4"/>
      <c r="AC130" s="507"/>
      <c r="AD130" s="507"/>
      <c r="AE130" s="507"/>
      <c r="AF130" s="507"/>
      <c r="AG130" s="1"/>
    </row>
    <row r="131" spans="1:33" ht="14.4" x14ac:dyDescent="0.3">
      <c r="A131" s="507"/>
      <c r="B131" s="507"/>
      <c r="C131" s="507"/>
      <c r="D131" s="507"/>
      <c r="E131" s="1"/>
      <c r="F131" s="1"/>
      <c r="G131" s="1"/>
      <c r="H131" s="1"/>
      <c r="I131" s="4"/>
      <c r="J131" s="1" t="s">
        <v>117</v>
      </c>
      <c r="K131" s="1"/>
      <c r="L131" s="1"/>
      <c r="M131" s="1"/>
      <c r="N131" s="1"/>
      <c r="O131" s="1"/>
      <c r="P131" s="4"/>
      <c r="Q131" s="1"/>
      <c r="R131" s="1"/>
      <c r="S131" s="1"/>
      <c r="T131" s="1"/>
      <c r="U131" s="1"/>
      <c r="V131" s="1"/>
      <c r="W131" s="1"/>
      <c r="X131" s="4"/>
      <c r="Y131" s="1"/>
      <c r="Z131" s="1"/>
      <c r="AA131" s="1"/>
      <c r="AB131" s="4"/>
      <c r="AC131" s="507"/>
      <c r="AD131" s="507"/>
      <c r="AE131" s="507"/>
      <c r="AF131" s="507"/>
      <c r="AG131" s="1"/>
    </row>
    <row r="132" spans="1:33" ht="14.4" x14ac:dyDescent="0.3">
      <c r="A132" s="507"/>
      <c r="B132" s="507"/>
      <c r="C132" s="507"/>
      <c r="D132" s="507"/>
      <c r="E132" s="1"/>
      <c r="F132" s="1"/>
      <c r="G132" s="1"/>
      <c r="H132" s="1"/>
      <c r="I132" s="4"/>
      <c r="J132" s="26" t="s">
        <v>118</v>
      </c>
      <c r="K132" s="1"/>
      <c r="L132" s="1"/>
      <c r="M132" s="1"/>
      <c r="N132" s="1"/>
      <c r="O132" s="1"/>
      <c r="P132" s="4"/>
      <c r="Q132" s="1"/>
      <c r="R132" s="1"/>
      <c r="S132" s="1"/>
      <c r="T132" s="1"/>
      <c r="U132" s="1"/>
      <c r="V132" s="1"/>
      <c r="W132" s="1"/>
      <c r="X132" s="4"/>
      <c r="Y132" s="1"/>
      <c r="Z132" s="1"/>
      <c r="AA132" s="1"/>
      <c r="AB132" s="4"/>
      <c r="AC132" s="507"/>
      <c r="AD132" s="507"/>
      <c r="AE132" s="507"/>
      <c r="AF132" s="507"/>
      <c r="AG132" s="1"/>
    </row>
    <row r="133" spans="1:33" ht="14.4" x14ac:dyDescent="0.3">
      <c r="A133" s="507"/>
      <c r="B133" s="507"/>
      <c r="C133" s="507"/>
      <c r="D133" s="507"/>
      <c r="E133" s="1"/>
      <c r="F133" s="1"/>
      <c r="G133" s="1"/>
      <c r="H133" s="1"/>
      <c r="I133" s="4"/>
      <c r="J133" s="1" t="s">
        <v>119</v>
      </c>
      <c r="K133" s="1"/>
      <c r="L133" s="1"/>
      <c r="M133" s="1"/>
      <c r="N133" s="1"/>
      <c r="O133" s="1"/>
      <c r="P133" s="4"/>
      <c r="Q133" s="1"/>
      <c r="R133" s="1"/>
      <c r="S133" s="1"/>
      <c r="T133" s="1"/>
      <c r="U133" s="1"/>
      <c r="V133" s="1"/>
      <c r="W133" s="1"/>
      <c r="X133" s="4"/>
      <c r="Y133" s="1"/>
      <c r="Z133" s="1"/>
      <c r="AA133" s="1"/>
      <c r="AB133" s="4"/>
      <c r="AC133" s="507"/>
      <c r="AD133" s="507"/>
      <c r="AE133" s="507"/>
      <c r="AF133" s="507"/>
      <c r="AG133" s="1"/>
    </row>
    <row r="134" spans="1:33" ht="14.4" x14ac:dyDescent="0.3">
      <c r="A134" s="507"/>
      <c r="B134" s="507"/>
      <c r="C134" s="507"/>
      <c r="D134" s="507"/>
      <c r="E134" s="1"/>
      <c r="F134" s="1"/>
      <c r="G134" s="1"/>
      <c r="H134" s="1"/>
      <c r="I134" s="4"/>
      <c r="J134" s="1" t="s">
        <v>120</v>
      </c>
      <c r="K134" s="1"/>
      <c r="L134" s="1"/>
      <c r="M134" s="1"/>
      <c r="N134" s="1"/>
      <c r="O134" s="1"/>
      <c r="P134" s="4"/>
      <c r="Q134" s="1"/>
      <c r="R134" s="1"/>
      <c r="S134" s="1"/>
      <c r="T134" s="1"/>
      <c r="U134" s="1"/>
      <c r="V134" s="1"/>
      <c r="W134" s="1"/>
      <c r="X134" s="4"/>
      <c r="Y134" s="1"/>
      <c r="Z134" s="1"/>
      <c r="AA134" s="1"/>
      <c r="AB134" s="4"/>
      <c r="AC134" s="507"/>
      <c r="AD134" s="507"/>
      <c r="AE134" s="507"/>
      <c r="AF134" s="507"/>
      <c r="AG134" s="1"/>
    </row>
    <row r="135" spans="1:33" ht="14.4" x14ac:dyDescent="0.3">
      <c r="A135" s="507"/>
      <c r="B135" s="507"/>
      <c r="C135" s="507"/>
      <c r="D135" s="507"/>
      <c r="E135" s="1"/>
      <c r="F135" s="1"/>
      <c r="G135" s="1"/>
      <c r="H135" s="1"/>
      <c r="I135" s="4"/>
      <c r="J135" s="1"/>
      <c r="K135" s="1"/>
      <c r="L135" s="1"/>
      <c r="M135" s="1"/>
      <c r="N135" s="1"/>
      <c r="O135" s="1"/>
      <c r="P135" s="4"/>
      <c r="Q135" s="1"/>
      <c r="R135" s="1"/>
      <c r="S135" s="1"/>
      <c r="T135" s="1"/>
      <c r="U135" s="1"/>
      <c r="V135" s="1"/>
      <c r="W135" s="1"/>
      <c r="X135" s="4"/>
      <c r="Y135" s="1"/>
      <c r="Z135" s="1"/>
      <c r="AA135" s="1"/>
      <c r="AB135" s="4"/>
      <c r="AC135" s="507"/>
      <c r="AD135" s="507"/>
      <c r="AE135" s="507"/>
      <c r="AF135" s="507"/>
      <c r="AG135" s="1"/>
    </row>
    <row r="136" spans="1:33" ht="14.4" x14ac:dyDescent="0.3">
      <c r="A136" s="507"/>
      <c r="B136" s="507"/>
      <c r="C136" s="507"/>
      <c r="D136" s="507"/>
      <c r="E136" s="1"/>
      <c r="F136" s="1"/>
      <c r="G136" s="1"/>
      <c r="H136" s="1"/>
      <c r="I136" s="4"/>
      <c r="J136" s="1"/>
      <c r="K136" s="1"/>
      <c r="L136" s="1"/>
      <c r="M136" s="1"/>
      <c r="N136" s="1"/>
      <c r="O136" s="1"/>
      <c r="P136" s="4"/>
      <c r="Q136" s="1"/>
      <c r="R136" s="1"/>
      <c r="S136" s="1"/>
      <c r="T136" s="1"/>
      <c r="U136" s="1"/>
      <c r="V136" s="1"/>
      <c r="W136" s="1"/>
      <c r="X136" s="4"/>
      <c r="Y136" s="1"/>
      <c r="Z136" s="1"/>
      <c r="AA136" s="1"/>
      <c r="AB136" s="4"/>
      <c r="AC136" s="507"/>
      <c r="AD136" s="507"/>
      <c r="AE136" s="507"/>
      <c r="AF136" s="507"/>
      <c r="AG136" s="1"/>
    </row>
  </sheetData>
  <autoFilter ref="A5:AT127" xr:uid="{65861D9D-DF6D-458E-8EEC-6179E128FC3E}">
    <filterColumn colId="3" showButton="0"/>
    <filterColumn colId="4" showButton="0"/>
  </autoFilter>
  <mergeCells count="54">
    <mergeCell ref="A136:B136"/>
    <mergeCell ref="C136:D136"/>
    <mergeCell ref="AC136:AD136"/>
    <mergeCell ref="AE136:AF136"/>
    <mergeCell ref="A134:B134"/>
    <mergeCell ref="C134:D134"/>
    <mergeCell ref="AC134:AD134"/>
    <mergeCell ref="AE134:AF134"/>
    <mergeCell ref="A135:B135"/>
    <mergeCell ref="C135:D135"/>
    <mergeCell ref="AC135:AD135"/>
    <mergeCell ref="AE135:AF135"/>
    <mergeCell ref="A132:B132"/>
    <mergeCell ref="C132:D132"/>
    <mergeCell ref="AC132:AD132"/>
    <mergeCell ref="AE132:AF132"/>
    <mergeCell ref="A133:B133"/>
    <mergeCell ref="C133:D133"/>
    <mergeCell ref="AC133:AD133"/>
    <mergeCell ref="AE133:AF133"/>
    <mergeCell ref="A130:B130"/>
    <mergeCell ref="C130:D130"/>
    <mergeCell ref="AC130:AD130"/>
    <mergeCell ref="AE130:AF130"/>
    <mergeCell ref="A131:B131"/>
    <mergeCell ref="C131:D131"/>
    <mergeCell ref="AC131:AD131"/>
    <mergeCell ref="AE131:AF131"/>
    <mergeCell ref="A129:B129"/>
    <mergeCell ref="C129:D129"/>
    <mergeCell ref="AC129:AD129"/>
    <mergeCell ref="AE129:AF129"/>
    <mergeCell ref="A118:B118"/>
    <mergeCell ref="C118:D118"/>
    <mergeCell ref="AC3:AD3"/>
    <mergeCell ref="AE3:AF3"/>
    <mergeCell ref="A4:B4"/>
    <mergeCell ref="I4:O4"/>
    <mergeCell ref="P4:W4"/>
    <mergeCell ref="X4:AA4"/>
    <mergeCell ref="AB4:AD4"/>
    <mergeCell ref="AE4:AG4"/>
    <mergeCell ref="D5:F5"/>
    <mergeCell ref="A1:B1"/>
    <mergeCell ref="C1:D1"/>
    <mergeCell ref="I1:I3"/>
    <mergeCell ref="J1:J3"/>
    <mergeCell ref="A3:B3"/>
    <mergeCell ref="C3:D3"/>
    <mergeCell ref="AB1:AG1"/>
    <mergeCell ref="A2:B2"/>
    <mergeCell ref="C2:D2"/>
    <mergeCell ref="AC2:AD2"/>
    <mergeCell ref="AE2:AF2"/>
  </mergeCells>
  <conditionalFormatting sqref="K6:K117">
    <cfRule type="cellIs" dxfId="149" priority="76" operator="greaterThanOrEqual">
      <formula>0.85</formula>
    </cfRule>
    <cfRule type="cellIs" dxfId="148" priority="75" operator="between">
      <formula>0.85</formula>
      <formula>0.7</formula>
    </cfRule>
    <cfRule type="cellIs" dxfId="147" priority="74" operator="lessThanOrEqual">
      <formula>0.7</formula>
    </cfRule>
    <cfRule type="cellIs" dxfId="146" priority="73" operator="equal">
      <formula>"Too early"</formula>
    </cfRule>
    <cfRule type="cellIs" dxfId="145" priority="52" stopIfTrue="1" operator="equal">
      <formula>""</formula>
    </cfRule>
  </conditionalFormatting>
  <conditionalFormatting sqref="K119:K126">
    <cfRule type="cellIs" dxfId="144" priority="84" operator="greaterThanOrEqual">
      <formula>0.85</formula>
    </cfRule>
    <cfRule type="cellIs" dxfId="143" priority="83" operator="between">
      <formula>0.85</formula>
      <formula>0.7</formula>
    </cfRule>
    <cfRule type="cellIs" dxfId="142" priority="82" operator="lessThanOrEqual">
      <formula>0.7</formula>
    </cfRule>
    <cfRule type="cellIs" dxfId="141" priority="81" operator="equal">
      <formula>""</formula>
    </cfRule>
  </conditionalFormatting>
  <conditionalFormatting sqref="O21:O117">
    <cfRule type="cellIs" dxfId="140" priority="70" operator="lessThanOrEqual">
      <formula>0.85</formula>
    </cfRule>
    <cfRule type="cellIs" dxfId="139" priority="72" operator="greaterThanOrEqual">
      <formula>0.95</formula>
    </cfRule>
    <cfRule type="cellIs" dxfId="138" priority="71" operator="between">
      <formula>0.95</formula>
      <formula>0.85</formula>
    </cfRule>
    <cfRule type="cellIs" dxfId="137" priority="69" operator="equal">
      <formula>"Too early"</formula>
    </cfRule>
    <cfRule type="cellIs" dxfId="136" priority="48" stopIfTrue="1" operator="equal">
      <formula>""</formula>
    </cfRule>
  </conditionalFormatting>
  <conditionalFormatting sqref="O119:O126">
    <cfRule type="cellIs" dxfId="135" priority="92" operator="greaterThanOrEqual">
      <formula>0.95</formula>
    </cfRule>
    <cfRule type="cellIs" dxfId="134" priority="91" operator="between">
      <formula>0.95</formula>
      <formula>0.8</formula>
    </cfRule>
    <cfRule type="cellIs" dxfId="133" priority="90" operator="lessThanOrEqual">
      <formula>0.8</formula>
    </cfRule>
    <cfRule type="cellIs" dxfId="132" priority="89" operator="equal">
      <formula>""</formula>
    </cfRule>
  </conditionalFormatting>
  <conditionalFormatting sqref="S6">
    <cfRule type="cellIs" priority="37" operator="equal">
      <formula>"Too early"</formula>
    </cfRule>
  </conditionalFormatting>
  <conditionalFormatting sqref="S6:S8">
    <cfRule type="cellIs" dxfId="131" priority="46" operator="lessThan">
      <formula>0.9</formula>
    </cfRule>
    <cfRule type="cellIs" dxfId="130" priority="44" operator="greaterThan">
      <formula>1</formula>
    </cfRule>
    <cfRule type="cellIs" dxfId="129" priority="45" operator="between">
      <formula>0.9</formula>
      <formula>1</formula>
    </cfRule>
  </conditionalFormatting>
  <conditionalFormatting sqref="S10:S29">
    <cfRule type="cellIs" dxfId="128" priority="34" operator="greaterThan">
      <formula>1</formula>
    </cfRule>
    <cfRule type="cellIs" dxfId="127" priority="36" operator="lessThan">
      <formula>0.9</formula>
    </cfRule>
    <cfRule type="cellIs" dxfId="126" priority="35" operator="between">
      <formula>0.9</formula>
      <formula>1</formula>
    </cfRule>
  </conditionalFormatting>
  <conditionalFormatting sqref="S21:S29">
    <cfRule type="cellIs" priority="33" stopIfTrue="1" operator="equal">
      <formula>"Too early"</formula>
    </cfRule>
  </conditionalFormatting>
  <conditionalFormatting sqref="S31:S50">
    <cfRule type="cellIs" dxfId="125" priority="31" operator="between">
      <formula>0.9</formula>
      <formula>1</formula>
    </cfRule>
    <cfRule type="cellIs" dxfId="124" priority="32" operator="lessThan">
      <formula>0.9</formula>
    </cfRule>
    <cfRule type="cellIs" priority="29" stopIfTrue="1" operator="equal">
      <formula>"Too early"</formula>
    </cfRule>
    <cfRule type="cellIs" dxfId="123" priority="30" operator="greaterThan">
      <formula>1</formula>
    </cfRule>
  </conditionalFormatting>
  <conditionalFormatting sqref="S52:S77">
    <cfRule type="cellIs" dxfId="122" priority="28" operator="lessThan">
      <formula>0.9</formula>
    </cfRule>
    <cfRule type="cellIs" dxfId="121" priority="27" operator="between">
      <formula>0.9</formula>
      <formula>1</formula>
    </cfRule>
    <cfRule type="cellIs" dxfId="120" priority="26" operator="greaterThan">
      <formula>1</formula>
    </cfRule>
    <cfRule type="cellIs" priority="25" stopIfTrue="1" operator="equal">
      <formula>"Too early"</formula>
    </cfRule>
  </conditionalFormatting>
  <conditionalFormatting sqref="S79:S81">
    <cfRule type="cellIs" priority="21" stopIfTrue="1" operator="equal">
      <formula>"Too early"</formula>
    </cfRule>
    <cfRule type="cellIs" dxfId="119" priority="24" operator="lessThan">
      <formula>0.9</formula>
    </cfRule>
    <cfRule type="cellIs" dxfId="118" priority="23" operator="between">
      <formula>0.9</formula>
      <formula>1</formula>
    </cfRule>
    <cfRule type="cellIs" dxfId="117" priority="22" operator="greaterThan">
      <formula>1</formula>
    </cfRule>
  </conditionalFormatting>
  <conditionalFormatting sqref="S83:S87">
    <cfRule type="cellIs" priority="17" stopIfTrue="1" operator="equal">
      <formula>"Too early"</formula>
    </cfRule>
    <cfRule type="cellIs" dxfId="116" priority="18" operator="greaterThan">
      <formula>1</formula>
    </cfRule>
    <cfRule type="cellIs" dxfId="115" priority="20" operator="lessThan">
      <formula>0.9</formula>
    </cfRule>
    <cfRule type="cellIs" dxfId="114" priority="19" operator="between">
      <formula>0.9</formula>
      <formula>1</formula>
    </cfRule>
  </conditionalFormatting>
  <conditionalFormatting sqref="S89:S94">
    <cfRule type="cellIs" dxfId="113" priority="16" operator="lessThan">
      <formula>0.9</formula>
    </cfRule>
    <cfRule type="cellIs" dxfId="112" priority="14" operator="greaterThan">
      <formula>1</formula>
    </cfRule>
    <cfRule type="cellIs" priority="13" stopIfTrue="1" operator="equal">
      <formula>"Too early"</formula>
    </cfRule>
    <cfRule type="cellIs" dxfId="111" priority="15" operator="between">
      <formula>0.9</formula>
      <formula>1</formula>
    </cfRule>
  </conditionalFormatting>
  <conditionalFormatting sqref="S97:S102">
    <cfRule type="cellIs" dxfId="110" priority="12" operator="lessThan">
      <formula>0.9</formula>
    </cfRule>
    <cfRule type="cellIs" dxfId="109" priority="11" operator="between">
      <formula>0.9</formula>
      <formula>1</formula>
    </cfRule>
    <cfRule type="cellIs" dxfId="108" priority="10" operator="greaterThan">
      <formula>1</formula>
    </cfRule>
    <cfRule type="cellIs" priority="9" stopIfTrue="1" operator="equal">
      <formula>"Too early"</formula>
    </cfRule>
  </conditionalFormatting>
  <conditionalFormatting sqref="S104:S113">
    <cfRule type="cellIs" dxfId="107" priority="8" operator="lessThan">
      <formula>0.9</formula>
    </cfRule>
    <cfRule type="cellIs" dxfId="106" priority="7" operator="between">
      <formula>0.9</formula>
      <formula>1</formula>
    </cfRule>
    <cfRule type="cellIs" dxfId="105" priority="6" operator="greaterThan">
      <formula>1</formula>
    </cfRule>
    <cfRule type="cellIs" priority="5" stopIfTrue="1" operator="equal">
      <formula>"Too early"</formula>
    </cfRule>
  </conditionalFormatting>
  <conditionalFormatting sqref="S115:S117">
    <cfRule type="cellIs" priority="1" stopIfTrue="1" operator="equal">
      <formula>"Too early"</formula>
    </cfRule>
    <cfRule type="cellIs" dxfId="104" priority="3" operator="between">
      <formula>0.9</formula>
      <formula>1</formula>
    </cfRule>
    <cfRule type="cellIs" dxfId="103" priority="2" operator="greaterThan">
      <formula>1</formula>
    </cfRule>
    <cfRule type="cellIs" dxfId="102" priority="4" operator="lessThan">
      <formula>0.9</formula>
    </cfRule>
  </conditionalFormatting>
  <conditionalFormatting sqref="W21:W117">
    <cfRule type="cellIs" dxfId="101" priority="49" stopIfTrue="1" operator="equal">
      <formula>""</formula>
    </cfRule>
    <cfRule type="cellIs" dxfId="100" priority="55" operator="between">
      <formula>0.95</formula>
      <formula>0.85</formula>
    </cfRule>
    <cfRule type="cellIs" dxfId="99" priority="54" operator="lessThanOrEqual">
      <formula>0.85</formula>
    </cfRule>
    <cfRule type="cellIs" dxfId="98" priority="53" operator="equal">
      <formula>"Too early"</formula>
    </cfRule>
    <cfRule type="cellIs" dxfId="97" priority="56" operator="greaterThanOrEqual">
      <formula>0.95</formula>
    </cfRule>
  </conditionalFormatting>
  <conditionalFormatting sqref="W119:W128">
    <cfRule type="cellIs" dxfId="96" priority="96" operator="greaterThanOrEqual">
      <formula>0.95</formula>
    </cfRule>
    <cfRule type="cellIs" dxfId="95" priority="93" operator="equal">
      <formula>""</formula>
    </cfRule>
    <cfRule type="cellIs" dxfId="94" priority="94" operator="lessThanOrEqual">
      <formula>0.8</formula>
    </cfRule>
    <cfRule type="cellIs" dxfId="93" priority="95" operator="between">
      <formula>0.95</formula>
      <formula>0.8</formula>
    </cfRule>
  </conditionalFormatting>
  <conditionalFormatting sqref="AA30:AA117">
    <cfRule type="cellIs" dxfId="92" priority="47" stopIfTrue="1" operator="equal">
      <formula>"N/A"</formula>
    </cfRule>
    <cfRule type="cellIs" dxfId="91" priority="61" operator="equal">
      <formula>""</formula>
    </cfRule>
    <cfRule type="cellIs" dxfId="90" priority="62" operator="lessThanOrEqual">
      <formula>0.8</formula>
    </cfRule>
    <cfRule type="cellIs" dxfId="89" priority="63" operator="between">
      <formula>0.95</formula>
      <formula>0.8</formula>
    </cfRule>
    <cfRule type="cellIs" dxfId="88" priority="64" operator="greaterThanOrEqual">
      <formula>0.95</formula>
    </cfRule>
  </conditionalFormatting>
  <conditionalFormatting sqref="AA119:AA127">
    <cfRule type="cellIs" dxfId="87" priority="85" operator="equal">
      <formula>""</formula>
    </cfRule>
    <cfRule type="cellIs" dxfId="86" priority="87" operator="between">
      <formula>0.95</formula>
      <formula>0.8</formula>
    </cfRule>
    <cfRule type="cellIs" dxfId="85" priority="88" operator="greaterThanOrEqual">
      <formula>0.95</formula>
    </cfRule>
    <cfRule type="cellIs" dxfId="84" priority="86" operator="lessThanOrEqual">
      <formula>0.8</formula>
    </cfRule>
  </conditionalFormatting>
  <conditionalFormatting sqref="AC6:AC117">
    <cfRule type="cellIs" dxfId="83" priority="60" operator="greaterThanOrEqual">
      <formula>0.85</formula>
    </cfRule>
    <cfRule type="cellIs" dxfId="82" priority="57" operator="equal">
      <formula>""</formula>
    </cfRule>
    <cfRule type="cellIs" dxfId="81" priority="58" operator="lessThanOrEqual">
      <formula>0.7</formula>
    </cfRule>
    <cfRule type="cellIs" dxfId="80" priority="59" operator="between">
      <formula>0.85</formula>
      <formula>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C9C8-6AFE-4BA6-9D34-A3248D71E79B}">
  <dimension ref="A1:V11"/>
  <sheetViews>
    <sheetView workbookViewId="0">
      <selection activeCell="G4" sqref="G4"/>
    </sheetView>
  </sheetViews>
  <sheetFormatPr defaultRowHeight="14.4" x14ac:dyDescent="0.3"/>
  <cols>
    <col min="1" max="1" width="24.109375" customWidth="1"/>
    <col min="12" max="22" width="6.5546875" customWidth="1"/>
  </cols>
  <sheetData>
    <row r="1" spans="1:22" x14ac:dyDescent="0.3">
      <c r="B1" s="515" t="s">
        <v>121</v>
      </c>
      <c r="C1" s="515"/>
      <c r="D1" s="515"/>
      <c r="E1" s="515"/>
      <c r="F1" s="515"/>
      <c r="G1" s="515"/>
    </row>
    <row r="2" spans="1:22" x14ac:dyDescent="0.3">
      <c r="A2" t="s">
        <v>18</v>
      </c>
      <c r="B2">
        <v>5</v>
      </c>
      <c r="C2">
        <v>4</v>
      </c>
      <c r="D2" s="383">
        <v>3</v>
      </c>
      <c r="E2" s="383">
        <v>2</v>
      </c>
      <c r="F2" s="383">
        <v>1</v>
      </c>
      <c r="G2" s="383">
        <v>0</v>
      </c>
      <c r="L2" s="516" t="s">
        <v>122</v>
      </c>
      <c r="M2" s="516"/>
      <c r="N2" s="516"/>
      <c r="O2" s="516"/>
      <c r="P2" s="517" t="s">
        <v>123</v>
      </c>
      <c r="Q2" s="517"/>
      <c r="R2" s="517"/>
      <c r="S2" s="517"/>
      <c r="T2" s="517"/>
      <c r="U2" s="517"/>
      <c r="V2" s="517"/>
    </row>
    <row r="3" spans="1:22" ht="57.6" x14ac:dyDescent="0.3">
      <c r="A3" t="s">
        <v>124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270" t="s">
        <v>125</v>
      </c>
      <c r="I3" s="270" t="s">
        <v>126</v>
      </c>
      <c r="K3" s="29" t="s">
        <v>127</v>
      </c>
      <c r="L3" s="404">
        <v>10</v>
      </c>
      <c r="M3" s="404">
        <v>9</v>
      </c>
      <c r="N3" s="404">
        <v>8</v>
      </c>
      <c r="O3" s="404">
        <v>7</v>
      </c>
      <c r="P3" s="28">
        <v>6</v>
      </c>
      <c r="Q3" s="28">
        <v>5</v>
      </c>
      <c r="R3" s="389">
        <v>4</v>
      </c>
      <c r="S3" s="390">
        <v>3</v>
      </c>
      <c r="T3" s="390">
        <v>2</v>
      </c>
      <c r="U3" s="390">
        <v>1</v>
      </c>
      <c r="V3" s="389">
        <v>0</v>
      </c>
    </row>
    <row r="4" spans="1:22" x14ac:dyDescent="0.3">
      <c r="A4" s="309" t="s">
        <v>128</v>
      </c>
      <c r="B4">
        <v>60</v>
      </c>
      <c r="C4">
        <v>160</v>
      </c>
      <c r="D4">
        <v>205</v>
      </c>
      <c r="E4">
        <v>262</v>
      </c>
      <c r="F4">
        <v>311</v>
      </c>
      <c r="G4">
        <v>390</v>
      </c>
      <c r="H4">
        <f>'Performances by Week'!AB10-'Performances by Week'!X10</f>
        <v>975</v>
      </c>
      <c r="I4" s="31" t="e">
        <f>'Performances by Week'!K10</f>
        <v>#N/A</v>
      </c>
      <c r="K4" s="28" t="s">
        <v>62</v>
      </c>
      <c r="L4" s="405">
        <v>0.15</v>
      </c>
      <c r="M4" s="405">
        <v>0.18</v>
      </c>
      <c r="N4" s="405">
        <v>0.21</v>
      </c>
      <c r="O4" s="405">
        <v>0.24</v>
      </c>
      <c r="P4" s="384">
        <v>0.27</v>
      </c>
      <c r="Q4" s="384">
        <v>0.3</v>
      </c>
      <c r="R4" s="384">
        <v>0.33</v>
      </c>
      <c r="S4" s="384">
        <v>0.39</v>
      </c>
      <c r="T4" s="385">
        <v>0.46</v>
      </c>
      <c r="U4" s="384">
        <v>0.59</v>
      </c>
      <c r="V4" s="384">
        <v>1</v>
      </c>
    </row>
    <row r="5" spans="1:22" x14ac:dyDescent="0.3">
      <c r="A5" s="309" t="s">
        <v>129</v>
      </c>
      <c r="B5">
        <v>63</v>
      </c>
      <c r="C5">
        <v>206</v>
      </c>
      <c r="D5">
        <v>250</v>
      </c>
      <c r="E5">
        <v>294</v>
      </c>
      <c r="F5">
        <v>360</v>
      </c>
      <c r="G5">
        <v>422</v>
      </c>
      <c r="H5">
        <f>'Performances by Week'!AB11-'Performances by Week'!X11</f>
        <v>1076</v>
      </c>
      <c r="I5" s="31" t="e">
        <f>'Performances by Week'!K11</f>
        <v>#N/A</v>
      </c>
      <c r="K5" s="28" t="s">
        <v>57</v>
      </c>
      <c r="L5" s="405">
        <v>0.15</v>
      </c>
      <c r="M5" s="405">
        <v>0.18</v>
      </c>
      <c r="N5" s="405">
        <v>0.21</v>
      </c>
      <c r="O5" s="405">
        <v>0.24</v>
      </c>
      <c r="P5" s="384">
        <v>0.27</v>
      </c>
      <c r="Q5" s="384">
        <v>0.3</v>
      </c>
      <c r="R5" s="384">
        <v>0.33</v>
      </c>
      <c r="S5" s="384">
        <v>0.39</v>
      </c>
      <c r="T5" s="385">
        <v>0.46</v>
      </c>
      <c r="U5" s="384">
        <v>0.59</v>
      </c>
      <c r="V5" s="384">
        <v>1</v>
      </c>
    </row>
    <row r="6" spans="1:22" x14ac:dyDescent="0.3">
      <c r="A6" s="309" t="s">
        <v>130</v>
      </c>
      <c r="B6">
        <v>57</v>
      </c>
      <c r="C6">
        <v>219</v>
      </c>
      <c r="D6">
        <v>296</v>
      </c>
      <c r="E6">
        <v>322</v>
      </c>
      <c r="F6">
        <v>444</v>
      </c>
      <c r="G6">
        <v>516</v>
      </c>
      <c r="H6">
        <f>'Performances by Week'!AB12-'Performances by Week'!X12</f>
        <v>1246</v>
      </c>
      <c r="I6" s="31" t="e">
        <f>'Performances by Week'!K12</f>
        <v>#N/A</v>
      </c>
      <c r="K6" s="28" t="s">
        <v>52</v>
      </c>
      <c r="L6" s="405">
        <v>0.15</v>
      </c>
      <c r="M6" s="405">
        <v>0.18</v>
      </c>
      <c r="N6" s="405">
        <v>0.21</v>
      </c>
      <c r="O6" s="405">
        <v>0.24</v>
      </c>
      <c r="P6" s="384">
        <v>0.27</v>
      </c>
      <c r="Q6" s="384">
        <v>0.3</v>
      </c>
      <c r="R6" s="384">
        <v>0.33</v>
      </c>
      <c r="S6" s="384">
        <v>0.39</v>
      </c>
      <c r="T6" s="385">
        <v>0.46</v>
      </c>
      <c r="U6" s="384">
        <v>0.59</v>
      </c>
      <c r="V6" s="384">
        <v>1</v>
      </c>
    </row>
    <row r="7" spans="1:22" x14ac:dyDescent="0.3">
      <c r="A7" s="309" t="s">
        <v>131</v>
      </c>
      <c r="B7" s="383">
        <f t="shared" ref="B7:G7" si="0">$H$7*$H$10*Q5</f>
        <v>280.245</v>
      </c>
      <c r="C7" s="383">
        <f t="shared" si="0"/>
        <v>308.26949999999999</v>
      </c>
      <c r="D7" s="383">
        <f t="shared" si="0"/>
        <v>364.31850000000003</v>
      </c>
      <c r="E7" s="383">
        <f t="shared" si="0"/>
        <v>429.709</v>
      </c>
      <c r="F7" s="383">
        <f t="shared" si="0"/>
        <v>551.14850000000001</v>
      </c>
      <c r="G7" s="383">
        <f t="shared" si="0"/>
        <v>934.15</v>
      </c>
      <c r="H7" s="383">
        <f>AVERAGE(H4:H6)</f>
        <v>1099</v>
      </c>
      <c r="K7" s="28" t="s">
        <v>132</v>
      </c>
      <c r="L7" s="405">
        <v>0.15</v>
      </c>
      <c r="M7" s="405">
        <v>0.18</v>
      </c>
      <c r="N7" s="405">
        <v>0.21</v>
      </c>
      <c r="O7" s="405">
        <v>0.24</v>
      </c>
      <c r="P7" s="384">
        <v>0.27</v>
      </c>
      <c r="Q7" s="384">
        <v>0.3</v>
      </c>
      <c r="R7" s="384">
        <v>0.33</v>
      </c>
      <c r="S7" s="384">
        <v>0.39</v>
      </c>
      <c r="T7" s="385">
        <v>0.46</v>
      </c>
      <c r="U7" s="384">
        <v>0.59</v>
      </c>
      <c r="V7" s="384">
        <v>1</v>
      </c>
    </row>
    <row r="8" spans="1:22" x14ac:dyDescent="0.3">
      <c r="A8" s="309" t="s">
        <v>133</v>
      </c>
      <c r="B8" s="383">
        <f t="shared" ref="B8:E8" si="1">IF(B4&gt;0,AVERAGE(B4:B6)-B7,"TBD")</f>
        <v>-220.245</v>
      </c>
      <c r="C8" s="383">
        <f t="shared" si="1"/>
        <v>-113.26949999999999</v>
      </c>
      <c r="D8" s="383">
        <f t="shared" si="1"/>
        <v>-113.98516666666669</v>
      </c>
      <c r="E8" s="383">
        <f t="shared" si="1"/>
        <v>-137.04233333333332</v>
      </c>
      <c r="F8" s="383">
        <f>IF(F4&gt;0,AVERAGE(F4:F6)-F7,"TBD")</f>
        <v>-179.48183333333333</v>
      </c>
      <c r="G8" s="383">
        <f t="shared" ref="G8" si="2">IF(G4&gt;0,AVERAGE(G4:G6)-G7,"TBD")</f>
        <v>-491.48333333333329</v>
      </c>
      <c r="M8" s="382"/>
      <c r="N8" s="384"/>
      <c r="O8" s="384"/>
      <c r="P8" s="384"/>
      <c r="Q8" s="384"/>
    </row>
    <row r="9" spans="1:22" x14ac:dyDescent="0.3">
      <c r="A9" s="309"/>
      <c r="H9" t="s">
        <v>134</v>
      </c>
      <c r="M9" s="29"/>
      <c r="N9" s="384"/>
      <c r="O9" s="384"/>
      <c r="P9" s="384"/>
      <c r="Q9" s="384"/>
    </row>
    <row r="10" spans="1:22" x14ac:dyDescent="0.3">
      <c r="A10" s="309"/>
      <c r="H10" s="128">
        <v>0.85</v>
      </c>
      <c r="M10" s="27"/>
      <c r="N10" s="384"/>
      <c r="O10" s="384"/>
      <c r="P10" s="384"/>
      <c r="Q10" s="384"/>
    </row>
    <row r="11" spans="1:22" x14ac:dyDescent="0.3">
      <c r="A11" s="309"/>
      <c r="M11" s="27"/>
      <c r="N11" s="384"/>
      <c r="O11" s="384"/>
      <c r="P11" s="384"/>
      <c r="Q11" s="384"/>
    </row>
  </sheetData>
  <mergeCells count="3">
    <mergeCell ref="B1:G1"/>
    <mergeCell ref="L2:O2"/>
    <mergeCell ref="P2:V2"/>
  </mergeCells>
  <conditionalFormatting sqref="I4:I6">
    <cfRule type="cellIs" dxfId="79" priority="1" stopIfTrue="1" operator="equal">
      <formula>""</formula>
    </cfRule>
    <cfRule type="cellIs" dxfId="78" priority="2" operator="equal">
      <formula>"Too early"</formula>
    </cfRule>
    <cfRule type="cellIs" dxfId="77" priority="3" operator="lessThanOrEqual">
      <formula>0.7</formula>
    </cfRule>
    <cfRule type="cellIs" dxfId="76" priority="4" operator="between">
      <formula>0.85</formula>
      <formula>0.7</formula>
    </cfRule>
    <cfRule type="cellIs" dxfId="7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0928-6078-4C51-91A0-1202B64C6447}">
  <dimension ref="A1:Y11"/>
  <sheetViews>
    <sheetView topLeftCell="A3" workbookViewId="0">
      <selection activeCell="M11" sqref="M11"/>
    </sheetView>
  </sheetViews>
  <sheetFormatPr defaultRowHeight="14.4" x14ac:dyDescent="0.3"/>
  <cols>
    <col min="1" max="1" width="24.88671875" customWidth="1"/>
    <col min="14" max="14" width="14.44140625" customWidth="1"/>
    <col min="15" max="25" width="6.88671875" customWidth="1"/>
  </cols>
  <sheetData>
    <row r="1" spans="1:25" x14ac:dyDescent="0.3">
      <c r="B1" s="515" t="s">
        <v>121</v>
      </c>
      <c r="C1" s="515"/>
      <c r="D1" s="515"/>
      <c r="E1" s="515"/>
      <c r="F1" s="515"/>
      <c r="G1" s="515"/>
      <c r="H1" s="515"/>
      <c r="I1" s="515"/>
      <c r="J1" s="515"/>
    </row>
    <row r="2" spans="1:25" x14ac:dyDescent="0.3">
      <c r="A2" t="s">
        <v>18</v>
      </c>
      <c r="B2">
        <v>8</v>
      </c>
      <c r="C2">
        <v>7</v>
      </c>
      <c r="D2">
        <v>6</v>
      </c>
      <c r="E2">
        <v>5</v>
      </c>
      <c r="F2">
        <v>4</v>
      </c>
      <c r="G2" s="383">
        <v>3</v>
      </c>
      <c r="H2" s="383">
        <v>2</v>
      </c>
      <c r="I2" s="383">
        <v>1</v>
      </c>
      <c r="J2" s="383">
        <v>0</v>
      </c>
      <c r="O2" s="516" t="s">
        <v>122</v>
      </c>
      <c r="P2" s="516"/>
      <c r="Q2" s="516"/>
      <c r="R2" s="516"/>
      <c r="S2" s="517" t="s">
        <v>123</v>
      </c>
      <c r="T2" s="517"/>
      <c r="U2" s="517"/>
      <c r="V2" s="517"/>
      <c r="W2" s="517"/>
      <c r="X2" s="517"/>
      <c r="Y2" s="517"/>
    </row>
    <row r="3" spans="1:25" ht="57.6" x14ac:dyDescent="0.3">
      <c r="A3" t="s">
        <v>135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270" t="s">
        <v>125</v>
      </c>
      <c r="L3" s="270" t="s">
        <v>126</v>
      </c>
      <c r="N3" s="29" t="s">
        <v>127</v>
      </c>
      <c r="O3" s="404">
        <v>10</v>
      </c>
      <c r="P3" s="404">
        <v>9</v>
      </c>
      <c r="Q3" s="404">
        <v>8</v>
      </c>
      <c r="R3" s="404">
        <v>7</v>
      </c>
      <c r="S3" s="28">
        <v>6</v>
      </c>
      <c r="T3" s="28">
        <v>5</v>
      </c>
      <c r="U3" s="389">
        <v>4</v>
      </c>
      <c r="V3" s="390">
        <v>3</v>
      </c>
      <c r="W3" s="390">
        <v>2</v>
      </c>
      <c r="X3" s="390">
        <v>1</v>
      </c>
      <c r="Y3" s="389">
        <v>0</v>
      </c>
    </row>
    <row r="4" spans="1:25" x14ac:dyDescent="0.3">
      <c r="A4" s="309" t="s">
        <v>136</v>
      </c>
      <c r="B4">
        <v>60</v>
      </c>
      <c r="C4">
        <v>100</v>
      </c>
      <c r="D4">
        <v>106</v>
      </c>
      <c r="E4">
        <v>135</v>
      </c>
      <c r="F4">
        <v>193</v>
      </c>
      <c r="G4">
        <v>212</v>
      </c>
      <c r="H4">
        <v>238</v>
      </c>
      <c r="K4">
        <f>1433-543</f>
        <v>890</v>
      </c>
      <c r="L4" s="31">
        <f>'Performances by Week'!K15</f>
        <v>0.74204314451287967</v>
      </c>
      <c r="N4" s="28" t="s">
        <v>62</v>
      </c>
      <c r="O4" s="405">
        <v>0.15</v>
      </c>
      <c r="P4" s="405">
        <v>0.18</v>
      </c>
      <c r="Q4" s="405">
        <v>0.21</v>
      </c>
      <c r="R4" s="405">
        <v>0.24</v>
      </c>
      <c r="S4" s="384">
        <v>0.27</v>
      </c>
      <c r="T4" s="384">
        <v>0.3</v>
      </c>
      <c r="U4" s="384">
        <v>0.33</v>
      </c>
      <c r="V4" s="384">
        <v>0.39</v>
      </c>
      <c r="W4" s="385">
        <v>0.46</v>
      </c>
      <c r="X4" s="384">
        <v>0.59</v>
      </c>
      <c r="Y4" s="384">
        <v>1</v>
      </c>
    </row>
    <row r="5" spans="1:25" x14ac:dyDescent="0.3">
      <c r="A5" s="309" t="s">
        <v>137</v>
      </c>
      <c r="B5">
        <v>63</v>
      </c>
      <c r="C5">
        <v>98</v>
      </c>
      <c r="D5">
        <v>115</v>
      </c>
      <c r="E5">
        <v>130</v>
      </c>
      <c r="F5">
        <v>179</v>
      </c>
      <c r="G5">
        <v>225</v>
      </c>
      <c r="H5">
        <v>258</v>
      </c>
      <c r="K5">
        <f>1433-581</f>
        <v>852</v>
      </c>
      <c r="L5" s="31">
        <f>'Performances by Week'!K16</f>
        <v>0.83619041839861652</v>
      </c>
      <c r="N5" s="28" t="s">
        <v>57</v>
      </c>
      <c r="O5" s="405">
        <v>0.15</v>
      </c>
      <c r="P5" s="405">
        <v>0.18</v>
      </c>
      <c r="Q5" s="405">
        <v>0.21</v>
      </c>
      <c r="R5" s="405">
        <v>0.24</v>
      </c>
      <c r="S5" s="384">
        <v>0.27</v>
      </c>
      <c r="T5" s="384">
        <v>0.3</v>
      </c>
      <c r="U5" s="384">
        <v>0.33</v>
      </c>
      <c r="V5" s="384">
        <v>0.39</v>
      </c>
      <c r="W5" s="385">
        <v>0.46</v>
      </c>
      <c r="X5" s="384">
        <v>0.59</v>
      </c>
      <c r="Y5" s="384">
        <v>1</v>
      </c>
    </row>
    <row r="6" spans="1:25" x14ac:dyDescent="0.3">
      <c r="A6" s="309" t="s">
        <v>138</v>
      </c>
      <c r="B6">
        <v>57</v>
      </c>
      <c r="C6">
        <v>137</v>
      </c>
      <c r="D6">
        <v>154</v>
      </c>
      <c r="E6">
        <v>174</v>
      </c>
      <c r="F6">
        <v>239</v>
      </c>
      <c r="G6">
        <v>295</v>
      </c>
      <c r="H6">
        <v>328</v>
      </c>
      <c r="K6">
        <f>1433-613</f>
        <v>820</v>
      </c>
      <c r="L6" s="31">
        <f>'Performances by Week'!K17</f>
        <v>0.95048393458539393</v>
      </c>
      <c r="N6" s="28" t="s">
        <v>52</v>
      </c>
      <c r="O6" s="405">
        <v>0.15</v>
      </c>
      <c r="P6" s="405">
        <v>0.18</v>
      </c>
      <c r="Q6" s="405">
        <v>0.21</v>
      </c>
      <c r="R6" s="405">
        <v>0.24</v>
      </c>
      <c r="S6" s="384">
        <v>0.27</v>
      </c>
      <c r="T6" s="384">
        <v>0.3</v>
      </c>
      <c r="U6" s="384">
        <v>0.33</v>
      </c>
      <c r="V6" s="384">
        <v>0.39</v>
      </c>
      <c r="W6" s="385">
        <v>0.46</v>
      </c>
      <c r="X6" s="384">
        <v>0.59</v>
      </c>
      <c r="Y6" s="384">
        <v>1</v>
      </c>
    </row>
    <row r="7" spans="1:25" x14ac:dyDescent="0.3">
      <c r="A7" s="309" t="s">
        <v>131</v>
      </c>
      <c r="B7" s="383">
        <f t="shared" ref="B7:J7" si="0">$K$7*$K$10*Q4</f>
        <v>151.72499999999999</v>
      </c>
      <c r="C7" s="383">
        <f t="shared" si="0"/>
        <v>173.4</v>
      </c>
      <c r="D7" s="383">
        <f t="shared" si="0"/>
        <v>195.07500000000002</v>
      </c>
      <c r="E7" s="383">
        <f t="shared" si="0"/>
        <v>216.75</v>
      </c>
      <c r="F7" s="383">
        <f t="shared" si="0"/>
        <v>238.42500000000001</v>
      </c>
      <c r="G7" s="383">
        <f t="shared" si="0"/>
        <v>281.77500000000003</v>
      </c>
      <c r="H7" s="383">
        <f t="shared" si="0"/>
        <v>332.35</v>
      </c>
      <c r="I7" s="383">
        <f t="shared" si="0"/>
        <v>426.27499999999998</v>
      </c>
      <c r="J7" s="383">
        <f t="shared" si="0"/>
        <v>722.5</v>
      </c>
      <c r="K7">
        <v>850</v>
      </c>
      <c r="N7" s="28" t="s">
        <v>132</v>
      </c>
      <c r="O7" s="405">
        <v>0.15</v>
      </c>
      <c r="P7" s="405">
        <v>0.18</v>
      </c>
      <c r="Q7" s="405">
        <v>0.21</v>
      </c>
      <c r="R7" s="405">
        <v>0.24</v>
      </c>
      <c r="S7" s="384">
        <v>0.27</v>
      </c>
      <c r="T7" s="384">
        <v>0.3</v>
      </c>
      <c r="U7" s="384">
        <v>0.33</v>
      </c>
      <c r="V7" s="384">
        <v>0.39</v>
      </c>
      <c r="W7" s="385">
        <v>0.46</v>
      </c>
      <c r="X7" s="384">
        <v>0.59</v>
      </c>
      <c r="Y7" s="384">
        <v>1</v>
      </c>
    </row>
    <row r="8" spans="1:25" x14ac:dyDescent="0.3">
      <c r="A8" s="309" t="s">
        <v>133</v>
      </c>
      <c r="B8" s="383">
        <f t="shared" ref="B8:E8" si="1">IF(B4&gt;0,AVERAGE(B4:B6)-B7,"TBD")</f>
        <v>-91.724999999999994</v>
      </c>
      <c r="C8" s="383">
        <f t="shared" si="1"/>
        <v>-61.733333333333334</v>
      </c>
      <c r="D8" s="383">
        <f t="shared" si="1"/>
        <v>-70.075000000000017</v>
      </c>
      <c r="E8" s="383">
        <f t="shared" si="1"/>
        <v>-70.416666666666657</v>
      </c>
      <c r="F8" s="383">
        <f>IF(F4&gt;0,AVERAGE(F4:F6)-F7,"TBD")</f>
        <v>-34.758333333333354</v>
      </c>
      <c r="G8" s="383">
        <f t="shared" ref="G8:J8" si="2">IF(G4&gt;0,AVERAGE(G4:G6)-G7,"TBD")</f>
        <v>-37.775000000000034</v>
      </c>
      <c r="H8" s="383">
        <f t="shared" si="2"/>
        <v>-57.683333333333337</v>
      </c>
      <c r="I8" s="383" t="str">
        <f t="shared" si="2"/>
        <v>TBD</v>
      </c>
      <c r="J8" s="383" t="str">
        <f t="shared" si="2"/>
        <v>TBD</v>
      </c>
      <c r="N8" s="382"/>
      <c r="O8" s="384"/>
      <c r="P8" s="384"/>
      <c r="Q8" s="384"/>
      <c r="R8" s="384"/>
    </row>
    <row r="9" spans="1:25" x14ac:dyDescent="0.3">
      <c r="A9" s="309"/>
      <c r="K9" t="s">
        <v>134</v>
      </c>
      <c r="N9" s="29"/>
      <c r="O9" s="384"/>
      <c r="P9" s="384"/>
      <c r="Q9" s="384"/>
      <c r="R9" s="384"/>
    </row>
    <row r="10" spans="1:25" x14ac:dyDescent="0.3">
      <c r="A10" s="309"/>
      <c r="K10" s="128">
        <v>0.85</v>
      </c>
      <c r="N10" s="27"/>
      <c r="O10" s="384"/>
      <c r="P10" s="384"/>
      <c r="Q10" s="384"/>
      <c r="R10" s="384"/>
    </row>
    <row r="11" spans="1:25" x14ac:dyDescent="0.3">
      <c r="A11" s="309"/>
      <c r="N11" s="27"/>
      <c r="O11" s="384"/>
      <c r="P11" s="384"/>
      <c r="Q11" s="384"/>
      <c r="R11" s="384"/>
    </row>
  </sheetData>
  <mergeCells count="3">
    <mergeCell ref="B1:J1"/>
    <mergeCell ref="O2:R2"/>
    <mergeCell ref="S2:Y2"/>
  </mergeCells>
  <conditionalFormatting sqref="L4:L6">
    <cfRule type="cellIs" dxfId="74" priority="1" stopIfTrue="1" operator="equal">
      <formula>""</formula>
    </cfRule>
    <cfRule type="cellIs" dxfId="73" priority="2" operator="equal">
      <formula>"Too early"</formula>
    </cfRule>
    <cfRule type="cellIs" dxfId="72" priority="3" operator="lessThanOrEqual">
      <formula>0.7</formula>
    </cfRule>
    <cfRule type="cellIs" dxfId="71" priority="4" operator="between">
      <formula>0.85</formula>
      <formula>0.7</formula>
    </cfRule>
    <cfRule type="cellIs" dxfId="7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B552-1C8B-4D0F-BE7C-4211098FFCDD}">
  <dimension ref="A1:AA11"/>
  <sheetViews>
    <sheetView topLeftCell="A7" workbookViewId="0">
      <selection activeCell="G7" sqref="G7"/>
    </sheetView>
  </sheetViews>
  <sheetFormatPr defaultRowHeight="14.4" x14ac:dyDescent="0.3"/>
  <cols>
    <col min="1" max="1" width="24.109375" customWidth="1"/>
    <col min="16" max="16" width="12.88671875" customWidth="1"/>
    <col min="17" max="27" width="6.5546875" customWidth="1"/>
  </cols>
  <sheetData>
    <row r="1" spans="1:27" x14ac:dyDescent="0.3">
      <c r="B1" s="515" t="s">
        <v>139</v>
      </c>
      <c r="C1" s="515"/>
      <c r="D1" s="515"/>
      <c r="E1" s="515"/>
      <c r="F1" s="515"/>
      <c r="G1" s="515"/>
      <c r="H1" s="515"/>
      <c r="I1" s="515"/>
      <c r="J1" s="515"/>
      <c r="K1" s="515"/>
      <c r="L1" s="515"/>
      <c r="Q1" s="516" t="s">
        <v>122</v>
      </c>
      <c r="R1" s="516"/>
      <c r="S1" s="516"/>
      <c r="T1" s="516"/>
      <c r="U1" s="517" t="s">
        <v>123</v>
      </c>
      <c r="V1" s="517"/>
      <c r="W1" s="517"/>
      <c r="X1" s="517"/>
      <c r="Y1" s="517"/>
      <c r="Z1" s="517"/>
      <c r="AA1" s="517"/>
    </row>
    <row r="2" spans="1:27" ht="27" x14ac:dyDescent="0.3">
      <c r="A2" t="s">
        <v>18</v>
      </c>
      <c r="B2">
        <v>10</v>
      </c>
      <c r="C2">
        <v>9</v>
      </c>
      <c r="D2" s="383">
        <v>8</v>
      </c>
      <c r="E2" s="383">
        <v>7</v>
      </c>
      <c r="F2" s="383">
        <v>6</v>
      </c>
      <c r="G2" s="383">
        <v>5</v>
      </c>
      <c r="H2" s="383">
        <v>4</v>
      </c>
      <c r="I2" s="383">
        <v>3</v>
      </c>
      <c r="J2" s="383">
        <v>2</v>
      </c>
      <c r="K2" s="383">
        <v>1</v>
      </c>
      <c r="L2" s="383">
        <v>0</v>
      </c>
      <c r="P2" s="29" t="s">
        <v>127</v>
      </c>
      <c r="Q2" s="404">
        <v>10</v>
      </c>
      <c r="R2" s="404">
        <v>9</v>
      </c>
      <c r="S2" s="404">
        <v>8</v>
      </c>
      <c r="T2" s="404">
        <v>7</v>
      </c>
      <c r="U2" s="28">
        <v>6</v>
      </c>
      <c r="V2" s="28">
        <v>5</v>
      </c>
      <c r="W2" s="389">
        <v>4</v>
      </c>
      <c r="X2" s="390">
        <v>3</v>
      </c>
      <c r="Y2" s="390">
        <v>2</v>
      </c>
      <c r="Z2" s="390">
        <v>1</v>
      </c>
      <c r="AA2" s="389">
        <v>0</v>
      </c>
    </row>
    <row r="3" spans="1:27" ht="57.6" x14ac:dyDescent="0.3">
      <c r="A3" s="388" t="s">
        <v>140</v>
      </c>
      <c r="B3" s="309">
        <v>45880</v>
      </c>
      <c r="C3" s="309">
        <v>45887</v>
      </c>
      <c r="D3" s="309">
        <v>45894</v>
      </c>
      <c r="E3" s="309">
        <v>45901</v>
      </c>
      <c r="F3" s="309">
        <v>45908</v>
      </c>
      <c r="G3" s="309">
        <v>45915</v>
      </c>
      <c r="H3" s="309">
        <v>45922</v>
      </c>
      <c r="I3" s="309">
        <v>45929</v>
      </c>
      <c r="J3" s="309">
        <v>45936</v>
      </c>
      <c r="K3" s="309">
        <v>45943</v>
      </c>
      <c r="L3" s="309">
        <v>45950</v>
      </c>
      <c r="M3" s="270" t="s">
        <v>125</v>
      </c>
      <c r="N3" s="270" t="s">
        <v>126</v>
      </c>
      <c r="P3" s="28" t="s">
        <v>62</v>
      </c>
      <c r="Q3" s="405">
        <v>0.15</v>
      </c>
      <c r="R3" s="405">
        <v>0.18</v>
      </c>
      <c r="S3" s="405">
        <v>0.21</v>
      </c>
      <c r="T3" s="405">
        <v>0.24</v>
      </c>
      <c r="U3" s="384">
        <v>0.27</v>
      </c>
      <c r="V3" s="384">
        <v>0.3</v>
      </c>
      <c r="W3" s="384">
        <v>0.33</v>
      </c>
      <c r="X3" s="384">
        <v>0.39</v>
      </c>
      <c r="Y3" s="385">
        <v>0.46</v>
      </c>
      <c r="Z3" s="384">
        <v>0.59</v>
      </c>
      <c r="AA3" s="384">
        <v>1</v>
      </c>
    </row>
    <row r="4" spans="1:27" x14ac:dyDescent="0.3">
      <c r="A4" s="309" t="s">
        <v>141</v>
      </c>
      <c r="B4">
        <v>60</v>
      </c>
      <c r="C4">
        <v>64</v>
      </c>
      <c r="D4">
        <v>68</v>
      </c>
      <c r="E4">
        <v>74</v>
      </c>
      <c r="F4">
        <v>80</v>
      </c>
      <c r="G4">
        <v>92</v>
      </c>
      <c r="M4">
        <f>'Performances by Week'!AB22-'Performances by Week'!X22</f>
        <v>882</v>
      </c>
      <c r="N4" s="31">
        <f>'Performances by Week'!K22</f>
        <v>0.67589098532494751</v>
      </c>
      <c r="P4" s="28" t="s">
        <v>57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142</v>
      </c>
      <c r="B5">
        <v>63</v>
      </c>
      <c r="C5">
        <v>63</v>
      </c>
      <c r="D5">
        <v>73</v>
      </c>
      <c r="E5">
        <v>93</v>
      </c>
      <c r="F5">
        <v>106</v>
      </c>
      <c r="G5">
        <v>114</v>
      </c>
      <c r="M5">
        <f>'Performances by Week'!AB23-'Performances by Week'!X23</f>
        <v>961</v>
      </c>
      <c r="N5" s="31">
        <f>'Performances by Week'!K23</f>
        <v>0.6967219363445778</v>
      </c>
      <c r="P5" s="28" t="s">
        <v>52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143</v>
      </c>
      <c r="B6">
        <v>57</v>
      </c>
      <c r="C6">
        <v>59</v>
      </c>
      <c r="D6">
        <v>66</v>
      </c>
      <c r="E6">
        <v>74</v>
      </c>
      <c r="F6">
        <v>76</v>
      </c>
      <c r="G6">
        <v>87</v>
      </c>
      <c r="M6">
        <f>'Performances by Week'!AB24-'Performances by Week'!X24</f>
        <v>1208</v>
      </c>
      <c r="N6" s="31">
        <f>'Performances by Week'!K24</f>
        <v>0.46704783685915757</v>
      </c>
      <c r="P6" s="28" t="s">
        <v>132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L7" si="0">$M$7*$M$10*Q4</f>
        <v>129.66749999999999</v>
      </c>
      <c r="C7" s="383">
        <f t="shared" si="0"/>
        <v>155.60099999999997</v>
      </c>
      <c r="D7" s="383">
        <f t="shared" si="0"/>
        <v>181.53449999999998</v>
      </c>
      <c r="E7" s="383">
        <f t="shared" si="0"/>
        <v>207.46799999999999</v>
      </c>
      <c r="F7" s="383">
        <f t="shared" si="0"/>
        <v>233.4015</v>
      </c>
      <c r="G7" s="383">
        <f t="shared" si="0"/>
        <v>259.33499999999998</v>
      </c>
      <c r="H7" s="383">
        <f t="shared" si="0"/>
        <v>285.26850000000002</v>
      </c>
      <c r="I7" s="383">
        <f t="shared" si="0"/>
        <v>337.13549999999998</v>
      </c>
      <c r="J7" s="383">
        <f t="shared" si="0"/>
        <v>397.64699999999999</v>
      </c>
      <c r="K7" s="383">
        <f t="shared" si="0"/>
        <v>510.02549999999991</v>
      </c>
      <c r="L7" s="383">
        <f t="shared" si="0"/>
        <v>864.44999999999993</v>
      </c>
      <c r="M7" s="383">
        <f>AVERAGE(M4:M6)</f>
        <v>1017</v>
      </c>
    </row>
    <row r="8" spans="1:27" x14ac:dyDescent="0.3">
      <c r="A8" s="309" t="s">
        <v>133</v>
      </c>
      <c r="B8" s="383">
        <f t="shared" ref="B8:E8" si="1">IF(B4&gt;0,AVERAGE(B4:B6)-B7,"TBD")</f>
        <v>-69.66749999999999</v>
      </c>
      <c r="C8" s="383">
        <f t="shared" si="1"/>
        <v>-93.600999999999971</v>
      </c>
      <c r="D8" s="383">
        <f t="shared" si="1"/>
        <v>-112.53449999999998</v>
      </c>
      <c r="E8" s="383">
        <f t="shared" si="1"/>
        <v>-127.13466666666666</v>
      </c>
      <c r="F8" s="383">
        <f>IF(F4&gt;0,AVERAGE(F4:F6)-F7,"TBD")</f>
        <v>-146.06816666666668</v>
      </c>
      <c r="G8" s="383">
        <f t="shared" ref="G8:L8" si="2">IF(G4&gt;0,AVERAGE(G4:G6)-G7,"TBD")</f>
        <v>-161.66833333333329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</row>
    <row r="9" spans="1:27" x14ac:dyDescent="0.3">
      <c r="A9" s="309"/>
      <c r="M9" t="s">
        <v>134</v>
      </c>
    </row>
    <row r="10" spans="1:27" x14ac:dyDescent="0.3">
      <c r="A10" s="309"/>
      <c r="M10" s="128">
        <v>0.85</v>
      </c>
    </row>
    <row r="11" spans="1:27" x14ac:dyDescent="0.3">
      <c r="A11" s="309"/>
    </row>
  </sheetData>
  <mergeCells count="3">
    <mergeCell ref="B1:L1"/>
    <mergeCell ref="Q1:T1"/>
    <mergeCell ref="U1:AA1"/>
  </mergeCells>
  <conditionalFormatting sqref="N4:N6">
    <cfRule type="cellIs" dxfId="69" priority="1" stopIfTrue="1" operator="equal">
      <formula>""</formula>
    </cfRule>
    <cfRule type="cellIs" dxfId="68" priority="2" operator="equal">
      <formula>"Too early"</formula>
    </cfRule>
    <cfRule type="cellIs" dxfId="67" priority="3" operator="lessThanOrEqual">
      <formula>0.7</formula>
    </cfRule>
    <cfRule type="cellIs" dxfId="66" priority="4" operator="between">
      <formula>0.85</formula>
      <formula>0.7</formula>
    </cfRule>
    <cfRule type="cellIs" dxfId="6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45D-7497-4694-AE77-281F96865DF3}">
  <dimension ref="A1:O10"/>
  <sheetViews>
    <sheetView workbookViewId="0">
      <selection activeCell="F2" sqref="F2"/>
    </sheetView>
  </sheetViews>
  <sheetFormatPr defaultRowHeight="14.4" x14ac:dyDescent="0.3"/>
  <cols>
    <col min="1" max="1" width="19.44140625" customWidth="1"/>
  </cols>
  <sheetData>
    <row r="1" spans="1:15" x14ac:dyDescent="0.3">
      <c r="A1" t="s">
        <v>18</v>
      </c>
      <c r="B1" s="383">
        <v>3</v>
      </c>
      <c r="C1" s="383">
        <v>2</v>
      </c>
      <c r="D1" s="383">
        <v>1</v>
      </c>
      <c r="E1" s="383">
        <v>0</v>
      </c>
      <c r="K1" s="382"/>
      <c r="L1" s="518" t="s">
        <v>18</v>
      </c>
      <c r="M1" s="519"/>
      <c r="N1" s="519"/>
      <c r="O1" s="519"/>
    </row>
    <row r="2" spans="1:15" ht="57.6" x14ac:dyDescent="0.3">
      <c r="A2" t="s">
        <v>144</v>
      </c>
      <c r="B2" s="309">
        <v>45880</v>
      </c>
      <c r="C2" s="309">
        <v>45887</v>
      </c>
      <c r="D2" s="309">
        <v>45894</v>
      </c>
      <c r="E2" s="309">
        <v>45901</v>
      </c>
      <c r="F2" s="270" t="s">
        <v>125</v>
      </c>
      <c r="K2" s="29" t="s">
        <v>127</v>
      </c>
      <c r="L2" s="28" t="s">
        <v>62</v>
      </c>
      <c r="M2" s="28" t="s">
        <v>57</v>
      </c>
      <c r="N2" s="28" t="s">
        <v>52</v>
      </c>
      <c r="O2" s="28" t="s">
        <v>132</v>
      </c>
    </row>
    <row r="3" spans="1:15" x14ac:dyDescent="0.3">
      <c r="A3" s="309" t="s">
        <v>145</v>
      </c>
      <c r="B3">
        <v>754</v>
      </c>
      <c r="C3">
        <v>915</v>
      </c>
      <c r="D3">
        <v>1013</v>
      </c>
      <c r="E3">
        <v>1096</v>
      </c>
      <c r="G3">
        <f>E3/F5</f>
        <v>0.84178187403993854</v>
      </c>
      <c r="K3" s="29"/>
      <c r="L3" s="27"/>
      <c r="M3" s="27"/>
      <c r="N3" s="27"/>
      <c r="O3" s="27"/>
    </row>
    <row r="4" spans="1:15" x14ac:dyDescent="0.3">
      <c r="A4" s="309" t="s">
        <v>146</v>
      </c>
      <c r="B4">
        <v>651</v>
      </c>
      <c r="C4">
        <v>826</v>
      </c>
      <c r="D4">
        <v>926</v>
      </c>
      <c r="E4">
        <v>1027</v>
      </c>
      <c r="G4">
        <f>E4/F5</f>
        <v>0.78878648233486948</v>
      </c>
      <c r="K4" s="29">
        <v>0</v>
      </c>
      <c r="L4" s="384">
        <v>1</v>
      </c>
      <c r="M4" s="384">
        <v>1</v>
      </c>
      <c r="N4" s="384">
        <v>1</v>
      </c>
      <c r="O4" s="384">
        <v>1</v>
      </c>
    </row>
    <row r="5" spans="1:15" x14ac:dyDescent="0.3">
      <c r="A5" s="309" t="s">
        <v>131</v>
      </c>
      <c r="B5" s="383">
        <f>$F$5*$G$5*N7</f>
        <v>431.61300000000006</v>
      </c>
      <c r="C5" s="383">
        <f>$F$5*$G$5*N6</f>
        <v>509.08200000000005</v>
      </c>
      <c r="D5" s="383">
        <f>$F$5*$G$5*N5</f>
        <v>652.95299999999997</v>
      </c>
      <c r="E5" s="383">
        <f>$F$5*$G$5*N4</f>
        <v>1106.7</v>
      </c>
      <c r="F5">
        <v>1302</v>
      </c>
      <c r="G5" s="128">
        <v>0.85</v>
      </c>
      <c r="K5" s="382">
        <v>1</v>
      </c>
      <c r="L5" s="384">
        <v>0.59</v>
      </c>
      <c r="M5" s="384">
        <v>0.59</v>
      </c>
      <c r="N5" s="384">
        <v>0.59</v>
      </c>
      <c r="O5" s="384">
        <v>0.59</v>
      </c>
    </row>
    <row r="6" spans="1:15" x14ac:dyDescent="0.3">
      <c r="A6" s="309"/>
      <c r="K6" s="382">
        <v>2</v>
      </c>
      <c r="L6" s="385">
        <v>0.46</v>
      </c>
      <c r="M6" s="385">
        <v>0.46</v>
      </c>
      <c r="N6" s="385">
        <v>0.46</v>
      </c>
      <c r="O6" s="385">
        <v>0.46</v>
      </c>
    </row>
    <row r="7" spans="1:15" x14ac:dyDescent="0.3">
      <c r="A7" s="309"/>
      <c r="K7" s="382">
        <v>3</v>
      </c>
      <c r="L7" s="384">
        <v>0.39</v>
      </c>
      <c r="M7" s="384">
        <v>0.39</v>
      </c>
      <c r="N7" s="384">
        <v>0.39</v>
      </c>
      <c r="O7" s="384">
        <v>0.39</v>
      </c>
    </row>
    <row r="8" spans="1:15" x14ac:dyDescent="0.3">
      <c r="A8" s="309"/>
      <c r="K8" s="29">
        <v>4</v>
      </c>
      <c r="L8" s="384">
        <v>0.33</v>
      </c>
      <c r="M8" s="384">
        <v>0.33</v>
      </c>
      <c r="N8" s="384">
        <v>0.33</v>
      </c>
      <c r="O8" s="384">
        <v>0.33</v>
      </c>
    </row>
    <row r="9" spans="1:15" x14ac:dyDescent="0.3">
      <c r="A9" s="309"/>
      <c r="K9" s="27">
        <v>5</v>
      </c>
      <c r="L9" s="384">
        <v>0.3</v>
      </c>
      <c r="M9" s="384">
        <v>0.3</v>
      </c>
      <c r="N9" s="384">
        <v>0.3</v>
      </c>
      <c r="O9" s="384">
        <v>0.3</v>
      </c>
    </row>
    <row r="10" spans="1:15" x14ac:dyDescent="0.3">
      <c r="K10" s="27">
        <v>6</v>
      </c>
      <c r="L10" s="384">
        <v>0.27</v>
      </c>
      <c r="M10" s="384">
        <v>0.27</v>
      </c>
      <c r="N10" s="384">
        <v>0.27</v>
      </c>
      <c r="O10" s="384">
        <v>0.27</v>
      </c>
    </row>
  </sheetData>
  <mergeCells count="1">
    <mergeCell ref="L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AC7C-A032-47B5-AD21-3F21FDBBACEB}">
  <dimension ref="A1:AA11"/>
  <sheetViews>
    <sheetView topLeftCell="A13" workbookViewId="0">
      <selection activeCell="G7" sqref="G7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515" t="s">
        <v>121</v>
      </c>
      <c r="E1" s="515"/>
      <c r="F1" s="515"/>
      <c r="G1" s="515"/>
      <c r="H1" s="515"/>
      <c r="I1" s="515"/>
      <c r="J1" s="515"/>
      <c r="K1" s="515"/>
      <c r="L1" s="515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516" t="s">
        <v>122</v>
      </c>
      <c r="R2" s="516"/>
      <c r="S2" s="516"/>
      <c r="T2" s="516"/>
      <c r="U2" s="517" t="s">
        <v>123</v>
      </c>
      <c r="V2" s="517"/>
      <c r="W2" s="517"/>
      <c r="X2" s="517"/>
      <c r="Y2" s="517"/>
      <c r="Z2" s="517"/>
      <c r="AA2" s="517"/>
    </row>
    <row r="3" spans="1:27" ht="57.6" x14ac:dyDescent="0.3">
      <c r="A3" t="s">
        <v>147</v>
      </c>
      <c r="B3" s="309">
        <v>45887</v>
      </c>
      <c r="C3" s="309">
        <v>45894</v>
      </c>
      <c r="D3" s="309">
        <v>45901</v>
      </c>
      <c r="E3" s="309">
        <v>45908</v>
      </c>
      <c r="F3" s="309">
        <v>45915</v>
      </c>
      <c r="G3" s="309">
        <v>45922</v>
      </c>
      <c r="H3" s="309">
        <v>45929</v>
      </c>
      <c r="I3" s="309">
        <v>45936</v>
      </c>
      <c r="J3" s="309">
        <v>45943</v>
      </c>
      <c r="K3" s="309">
        <v>45950</v>
      </c>
      <c r="L3" s="309">
        <v>45957</v>
      </c>
      <c r="M3" s="270" t="s">
        <v>125</v>
      </c>
      <c r="N3" s="270" t="s">
        <v>126</v>
      </c>
      <c r="P3" s="29" t="s">
        <v>127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148</v>
      </c>
      <c r="B4" s="391">
        <v>87</v>
      </c>
      <c r="C4" s="391">
        <v>93</v>
      </c>
      <c r="D4">
        <v>102</v>
      </c>
      <c r="E4">
        <v>106</v>
      </c>
      <c r="F4">
        <v>111</v>
      </c>
      <c r="G4">
        <v>124</v>
      </c>
      <c r="M4">
        <f>'Performances by Week'!AB26-'Performances by Week'!X26</f>
        <v>1091</v>
      </c>
      <c r="N4" s="31">
        <f>'Performances by Week'!K26</f>
        <v>0.55733891602698304</v>
      </c>
      <c r="P4" s="28" t="s">
        <v>62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149</v>
      </c>
      <c r="B5" s="391">
        <v>192</v>
      </c>
      <c r="C5" s="391">
        <v>209</v>
      </c>
      <c r="D5">
        <v>256</v>
      </c>
      <c r="E5">
        <v>310</v>
      </c>
      <c r="F5">
        <v>340</v>
      </c>
      <c r="G5">
        <v>382</v>
      </c>
      <c r="M5">
        <f>'Performances by Week'!AB27-'Performances by Week'!X27</f>
        <v>875</v>
      </c>
      <c r="N5" s="31">
        <f>'Performances by Week'!K27</f>
        <v>1.3337985578041407</v>
      </c>
      <c r="P5" s="28" t="s">
        <v>57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150</v>
      </c>
      <c r="B6" s="391">
        <v>138</v>
      </c>
      <c r="C6" s="391">
        <v>165</v>
      </c>
      <c r="D6">
        <v>187</v>
      </c>
      <c r="E6">
        <v>219</v>
      </c>
      <c r="F6">
        <v>232</v>
      </c>
      <c r="G6">
        <v>267</v>
      </c>
      <c r="M6">
        <f>'Performances by Week'!AB28-'Performances by Week'!X28</f>
        <v>872</v>
      </c>
      <c r="N6" s="31">
        <f>'Performances by Week'!K28</f>
        <v>1.0683879972086532</v>
      </c>
      <c r="P6" s="28" t="s">
        <v>52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L7" si="0">$M$7*$M$10*Q4</f>
        <v>120.61499999999999</v>
      </c>
      <c r="C7" s="383">
        <f t="shared" si="0"/>
        <v>144.738</v>
      </c>
      <c r="D7" s="383">
        <f t="shared" si="0"/>
        <v>168.86099999999999</v>
      </c>
      <c r="E7" s="383">
        <f t="shared" si="0"/>
        <v>192.98400000000001</v>
      </c>
      <c r="F7" s="383">
        <f t="shared" si="0"/>
        <v>217.10700000000003</v>
      </c>
      <c r="G7" s="383">
        <f t="shared" si="0"/>
        <v>241.23</v>
      </c>
      <c r="H7" s="383">
        <f t="shared" si="0"/>
        <v>265.35300000000001</v>
      </c>
      <c r="I7" s="383">
        <f t="shared" si="0"/>
        <v>313.59900000000005</v>
      </c>
      <c r="J7" s="383">
        <f t="shared" si="0"/>
        <v>369.88600000000002</v>
      </c>
      <c r="K7" s="383">
        <f t="shared" si="0"/>
        <v>474.41899999999998</v>
      </c>
      <c r="L7" s="383">
        <f t="shared" si="0"/>
        <v>804.1</v>
      </c>
      <c r="M7" s="383">
        <f>AVERAGE(M4:M6)</f>
        <v>946</v>
      </c>
      <c r="P7" s="28" t="s">
        <v>132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133</v>
      </c>
      <c r="B8" s="383">
        <f t="shared" ref="B8:D8" si="1">IF(B4&gt;0,AVERAGE(B4:B6)-B7,"TBD")</f>
        <v>18.385000000000005</v>
      </c>
      <c r="C8" s="383">
        <f t="shared" si="1"/>
        <v>10.928666666666658</v>
      </c>
      <c r="D8" s="383">
        <f t="shared" si="1"/>
        <v>12.805666666666667</v>
      </c>
      <c r="E8" s="383">
        <f>IF(E4&gt;0,AVERAGE(E4:E6)-E7,"TBD")</f>
        <v>18.682666666666648</v>
      </c>
      <c r="F8" s="383">
        <f t="shared" ref="F8:L8" si="2">IF(F4&gt;0,AVERAGE(F4:F6)-F7,"TBD")</f>
        <v>10.559666666666629</v>
      </c>
      <c r="G8" s="383">
        <f t="shared" si="2"/>
        <v>16.436666666666696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  <c r="P8" s="382"/>
      <c r="Q8" s="384"/>
      <c r="R8" s="384"/>
      <c r="S8" s="384"/>
      <c r="T8" s="384"/>
    </row>
    <row r="9" spans="1:27" x14ac:dyDescent="0.3">
      <c r="A9" s="309"/>
      <c r="B9" s="309"/>
      <c r="C9" s="309"/>
      <c r="M9" t="s">
        <v>134</v>
      </c>
      <c r="P9" s="29"/>
      <c r="Q9" s="384"/>
      <c r="R9" s="384"/>
      <c r="S9" s="384"/>
      <c r="T9" s="384"/>
    </row>
    <row r="10" spans="1:27" x14ac:dyDescent="0.3">
      <c r="A10" s="309"/>
      <c r="B10" s="309"/>
      <c r="C10" s="309"/>
      <c r="M10" s="128">
        <v>0.85</v>
      </c>
      <c r="P10" s="27"/>
      <c r="Q10" s="384"/>
      <c r="R10" s="384"/>
      <c r="S10" s="384"/>
      <c r="T10" s="384"/>
    </row>
    <row r="11" spans="1:27" x14ac:dyDescent="0.3">
      <c r="A11" s="309"/>
      <c r="B11" s="309"/>
      <c r="C11" s="309"/>
      <c r="P11" s="27"/>
      <c r="Q11" s="384"/>
      <c r="R11" s="384"/>
      <c r="S11" s="384"/>
      <c r="T11" s="384"/>
    </row>
  </sheetData>
  <mergeCells count="3">
    <mergeCell ref="D1:L1"/>
    <mergeCell ref="Q2:T2"/>
    <mergeCell ref="U2:AA2"/>
  </mergeCells>
  <conditionalFormatting sqref="N4:N6">
    <cfRule type="cellIs" dxfId="64" priority="1" stopIfTrue="1" operator="equal">
      <formula>""</formula>
    </cfRule>
    <cfRule type="cellIs" dxfId="63" priority="2" operator="equal">
      <formula>"Too early"</formula>
    </cfRule>
    <cfRule type="cellIs" dxfId="62" priority="3" operator="lessThanOrEqual">
      <formula>0.7</formula>
    </cfRule>
    <cfRule type="cellIs" dxfId="61" priority="4" operator="between">
      <formula>0.85</formula>
      <formula>0.7</formula>
    </cfRule>
    <cfRule type="cellIs" dxfId="6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939A-2AC1-456E-95DF-409678D4C0E7}">
  <dimension ref="A1:AA11"/>
  <sheetViews>
    <sheetView topLeftCell="A8" workbookViewId="0">
      <selection activeCell="N6" sqref="N6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515" t="s">
        <v>121</v>
      </c>
      <c r="E1" s="515"/>
      <c r="F1" s="515"/>
      <c r="G1" s="515"/>
      <c r="H1" s="515"/>
      <c r="I1" s="515"/>
      <c r="J1" s="515"/>
      <c r="K1" s="515"/>
      <c r="L1" s="515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516" t="s">
        <v>122</v>
      </c>
      <c r="R2" s="516"/>
      <c r="S2" s="516"/>
      <c r="T2" s="516"/>
      <c r="U2" s="517" t="s">
        <v>123</v>
      </c>
      <c r="V2" s="517"/>
      <c r="W2" s="517"/>
      <c r="X2" s="517"/>
      <c r="Y2" s="517"/>
      <c r="Z2" s="517"/>
      <c r="AA2" s="517"/>
    </row>
    <row r="3" spans="1:27" ht="57.6" x14ac:dyDescent="0.3">
      <c r="A3" t="s">
        <v>151</v>
      </c>
      <c r="B3" s="309">
        <v>45908</v>
      </c>
      <c r="C3" s="309">
        <v>45915</v>
      </c>
      <c r="D3" s="309">
        <v>45922</v>
      </c>
      <c r="E3" s="309">
        <v>45929</v>
      </c>
      <c r="F3" s="309">
        <v>45936</v>
      </c>
      <c r="G3" s="309">
        <v>45943</v>
      </c>
      <c r="H3" s="309">
        <v>45950</v>
      </c>
      <c r="I3" s="309">
        <v>45957</v>
      </c>
      <c r="J3" s="309">
        <v>45964</v>
      </c>
      <c r="K3" s="309">
        <v>45971</v>
      </c>
      <c r="L3" s="309">
        <v>45978</v>
      </c>
      <c r="M3" s="270" t="s">
        <v>125</v>
      </c>
      <c r="N3" s="270" t="s">
        <v>126</v>
      </c>
      <c r="P3" s="29" t="s">
        <v>127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152</v>
      </c>
      <c r="B4" s="391">
        <v>55</v>
      </c>
      <c r="C4" s="391">
        <v>60</v>
      </c>
      <c r="D4">
        <v>66</v>
      </c>
      <c r="M4">
        <f>'Performances by Week'!AB31-'Performances by Week'!X31</f>
        <v>1223</v>
      </c>
      <c r="N4" s="31" t="str">
        <f>'Performances by Week'!K31</f>
        <v>Too early</v>
      </c>
      <c r="P4" s="28" t="s">
        <v>62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153</v>
      </c>
      <c r="B5" s="391">
        <v>95</v>
      </c>
      <c r="C5" s="391">
        <v>110</v>
      </c>
      <c r="D5">
        <v>114</v>
      </c>
      <c r="M5">
        <f>'Performances by Week'!AB32-'Performances by Week'!X32</f>
        <v>1007</v>
      </c>
      <c r="N5" s="31" t="str">
        <f>'Performances by Week'!K32</f>
        <v>Too early</v>
      </c>
      <c r="P5" s="28" t="s">
        <v>57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154</v>
      </c>
      <c r="B6" s="391">
        <v>75</v>
      </c>
      <c r="C6" s="391">
        <v>81</v>
      </c>
      <c r="D6">
        <v>83</v>
      </c>
      <c r="M6">
        <f>'Performances by Week'!AB33-'Performances by Week'!X33</f>
        <v>968</v>
      </c>
      <c r="N6" s="31" t="str">
        <f>'Performances by Week'!K33</f>
        <v>Too early</v>
      </c>
      <c r="P6" s="28" t="s">
        <v>52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L7" si="0">$M$7*$M$10*Q4</f>
        <v>135.91499999999999</v>
      </c>
      <c r="C7" s="383">
        <f t="shared" si="0"/>
        <v>163.09799999999998</v>
      </c>
      <c r="D7" s="383">
        <f t="shared" si="0"/>
        <v>190.28100000000001</v>
      </c>
      <c r="E7" s="383">
        <f t="shared" si="0"/>
        <v>217.464</v>
      </c>
      <c r="F7" s="383">
        <f t="shared" si="0"/>
        <v>244.64700000000002</v>
      </c>
      <c r="G7" s="383">
        <f t="shared" si="0"/>
        <v>271.83</v>
      </c>
      <c r="H7" s="383">
        <f t="shared" si="0"/>
        <v>299.01300000000003</v>
      </c>
      <c r="I7" s="383">
        <f t="shared" si="0"/>
        <v>353.37900000000002</v>
      </c>
      <c r="J7" s="383">
        <f t="shared" si="0"/>
        <v>416.80600000000004</v>
      </c>
      <c r="K7" s="383">
        <f t="shared" si="0"/>
        <v>534.59899999999993</v>
      </c>
      <c r="L7" s="383">
        <f t="shared" si="0"/>
        <v>906.1</v>
      </c>
      <c r="M7" s="383">
        <f>AVERAGE(M4:M6)</f>
        <v>1066</v>
      </c>
      <c r="P7" s="28" t="s">
        <v>132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133</v>
      </c>
      <c r="B8" s="383">
        <f t="shared" ref="B8:D8" si="1">IF(B4&gt;0,AVERAGE(B4:B6)-B7,"TBD")</f>
        <v>-60.914999999999992</v>
      </c>
      <c r="C8" s="383">
        <f t="shared" si="1"/>
        <v>-79.431333333333313</v>
      </c>
      <c r="D8" s="383">
        <f t="shared" si="1"/>
        <v>-102.61433333333333</v>
      </c>
      <c r="E8" s="383" t="str">
        <f>IF(E4&gt;0,AVERAGE(E4:E6)-E7,"TBD")</f>
        <v>TBD</v>
      </c>
      <c r="F8" s="383" t="str">
        <f t="shared" ref="F8:L8" si="2">IF(F4&gt;0,AVERAGE(F4:F6)-F7,"TBD")</f>
        <v>TBD</v>
      </c>
      <c r="G8" s="383" t="str">
        <f t="shared" si="2"/>
        <v>TBD</v>
      </c>
      <c r="H8" s="383" t="str">
        <f t="shared" si="2"/>
        <v>TBD</v>
      </c>
      <c r="I8" s="383" t="str">
        <f t="shared" si="2"/>
        <v>TBD</v>
      </c>
      <c r="J8" s="383" t="str">
        <f t="shared" si="2"/>
        <v>TBD</v>
      </c>
      <c r="K8" s="383" t="str">
        <f t="shared" si="2"/>
        <v>TBD</v>
      </c>
      <c r="L8" s="383" t="str">
        <f t="shared" si="2"/>
        <v>TBD</v>
      </c>
      <c r="P8" s="382"/>
      <c r="Q8" s="384"/>
      <c r="R8" s="384"/>
      <c r="S8" s="384"/>
      <c r="T8" s="384"/>
    </row>
    <row r="9" spans="1:27" x14ac:dyDescent="0.3">
      <c r="A9" s="309"/>
      <c r="B9" s="309"/>
      <c r="C9" s="309"/>
      <c r="M9" t="s">
        <v>134</v>
      </c>
      <c r="P9" s="29"/>
      <c r="Q9" s="384"/>
      <c r="R9" s="384"/>
      <c r="S9" s="384"/>
      <c r="T9" s="384"/>
    </row>
    <row r="10" spans="1:27" x14ac:dyDescent="0.3">
      <c r="A10" s="309"/>
      <c r="B10" s="309"/>
      <c r="C10" s="309"/>
      <c r="M10" s="128">
        <v>0.85</v>
      </c>
      <c r="P10" s="27"/>
      <c r="Q10" s="384"/>
      <c r="R10" s="384"/>
      <c r="S10" s="384"/>
      <c r="T10" s="384"/>
    </row>
    <row r="11" spans="1:27" x14ac:dyDescent="0.3">
      <c r="A11" s="309"/>
      <c r="B11" s="309"/>
      <c r="C11" s="309"/>
      <c r="P11" s="27"/>
      <c r="Q11" s="384"/>
      <c r="R11" s="384"/>
      <c r="S11" s="384"/>
      <c r="T11" s="384"/>
    </row>
  </sheetData>
  <mergeCells count="3">
    <mergeCell ref="D1:L1"/>
    <mergeCell ref="Q2:T2"/>
    <mergeCell ref="U2:AA2"/>
  </mergeCells>
  <conditionalFormatting sqref="N4:N6">
    <cfRule type="cellIs" dxfId="59" priority="1" stopIfTrue="1" operator="equal">
      <formula>""</formula>
    </cfRule>
    <cfRule type="cellIs" dxfId="58" priority="2" operator="equal">
      <formula>"Too early"</formula>
    </cfRule>
    <cfRule type="cellIs" dxfId="57" priority="3" operator="lessThanOrEqual">
      <formula>0.7</formula>
    </cfRule>
    <cfRule type="cellIs" dxfId="56" priority="4" operator="between">
      <formula>0.85</formula>
      <formula>0.7</formula>
    </cfRule>
    <cfRule type="cellIs" dxfId="5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B132-6A49-4E47-B471-7658149C44FA}">
  <dimension ref="A1:AA48"/>
  <sheetViews>
    <sheetView workbookViewId="0">
      <selection activeCell="P11" sqref="P11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515" t="s">
        <v>121</v>
      </c>
      <c r="E1" s="515"/>
      <c r="F1" s="515"/>
      <c r="G1" s="515"/>
      <c r="H1" s="515"/>
      <c r="I1" s="515"/>
      <c r="J1" s="515"/>
      <c r="K1" s="515"/>
      <c r="L1" s="515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516" t="s">
        <v>122</v>
      </c>
      <c r="R2" s="516"/>
      <c r="S2" s="516"/>
      <c r="T2" s="516"/>
      <c r="U2" s="517" t="s">
        <v>123</v>
      </c>
      <c r="V2" s="517"/>
      <c r="W2" s="517"/>
      <c r="X2" s="517"/>
      <c r="Y2" s="517"/>
      <c r="Z2" s="517"/>
      <c r="AA2" s="517"/>
    </row>
    <row r="3" spans="1:27" ht="57.6" x14ac:dyDescent="0.3">
      <c r="A3" t="s">
        <v>155</v>
      </c>
      <c r="B3" s="309">
        <v>45915</v>
      </c>
      <c r="C3" s="309">
        <v>45922</v>
      </c>
      <c r="D3" s="309">
        <v>45929</v>
      </c>
      <c r="E3" s="309">
        <v>45936</v>
      </c>
      <c r="F3" s="309">
        <v>45943</v>
      </c>
      <c r="G3" s="309">
        <v>45950</v>
      </c>
      <c r="H3" s="309">
        <v>45957</v>
      </c>
      <c r="I3" s="309">
        <v>45964</v>
      </c>
      <c r="J3" s="309">
        <v>45971</v>
      </c>
      <c r="K3" s="309">
        <v>45978</v>
      </c>
      <c r="L3" s="309">
        <v>45985</v>
      </c>
      <c r="M3" s="270" t="s">
        <v>125</v>
      </c>
      <c r="N3" s="270" t="s">
        <v>126</v>
      </c>
      <c r="P3" s="29" t="s">
        <v>127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156</v>
      </c>
      <c r="B4" s="424">
        <v>306</v>
      </c>
      <c r="C4" s="424">
        <v>323</v>
      </c>
      <c r="D4" s="425"/>
      <c r="E4" s="425"/>
      <c r="F4" s="425"/>
      <c r="G4" s="425"/>
      <c r="H4" s="425"/>
      <c r="I4" s="425"/>
      <c r="J4" s="425"/>
      <c r="K4" s="425"/>
      <c r="L4" s="425"/>
      <c r="M4">
        <f>'Performances by Week'!AB34-'Performances by Week'!X34</f>
        <v>1302</v>
      </c>
      <c r="N4" s="31" t="str">
        <f>'Performances by Week'!K34</f>
        <v>Too early</v>
      </c>
      <c r="P4" s="28" t="s">
        <v>62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157</v>
      </c>
      <c r="B5" s="424">
        <v>370</v>
      </c>
      <c r="C5" s="424">
        <v>374</v>
      </c>
      <c r="D5" s="425"/>
      <c r="E5" s="425"/>
      <c r="F5" s="425"/>
      <c r="G5" s="425"/>
      <c r="H5" s="425"/>
      <c r="I5" s="425"/>
      <c r="J5" s="425"/>
      <c r="K5" s="425"/>
      <c r="L5" s="425"/>
      <c r="M5">
        <f>'Performances by Week'!AB35-'Performances by Week'!X35</f>
        <v>1302</v>
      </c>
      <c r="N5" s="31" t="str">
        <f>'Performances by Week'!K35</f>
        <v>Too early</v>
      </c>
      <c r="P5" s="28" t="s">
        <v>57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158</v>
      </c>
      <c r="B6" s="424">
        <v>283</v>
      </c>
      <c r="C6" s="424">
        <v>303</v>
      </c>
      <c r="D6" s="425"/>
      <c r="E6" s="425"/>
      <c r="F6" s="425"/>
      <c r="G6" s="425"/>
      <c r="H6" s="425"/>
      <c r="I6" s="425"/>
      <c r="J6" s="425"/>
      <c r="K6" s="425"/>
      <c r="L6" s="425"/>
      <c r="M6">
        <f>'Performances by Week'!AB36-'Performances by Week'!X36</f>
        <v>1302</v>
      </c>
      <c r="N6" s="31" t="str">
        <f>'Performances by Week'!K36</f>
        <v>Too early</v>
      </c>
      <c r="P6" s="28" t="s">
        <v>52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159</v>
      </c>
      <c r="B7" s="424">
        <v>483</v>
      </c>
      <c r="C7" s="424">
        <v>514</v>
      </c>
      <c r="D7" s="425"/>
      <c r="E7" s="425"/>
      <c r="F7" s="425"/>
      <c r="G7" s="425"/>
      <c r="H7" s="425"/>
      <c r="I7" s="425"/>
      <c r="J7" s="425"/>
      <c r="K7" s="425"/>
      <c r="L7" s="425"/>
      <c r="M7">
        <f>'Performances by Week'!AB37-'Performances by Week'!X37</f>
        <v>1302</v>
      </c>
      <c r="N7" s="31" t="str">
        <f>'Performances by Week'!K37</f>
        <v>Too early</v>
      </c>
      <c r="P7" s="28" t="s">
        <v>132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131</v>
      </c>
      <c r="B8" s="383">
        <f t="shared" ref="B8:K8" si="0">$M$8*$M$13*Q6</f>
        <v>166.005</v>
      </c>
      <c r="C8" s="383">
        <f t="shared" si="0"/>
        <v>199.20599999999999</v>
      </c>
      <c r="D8" s="383">
        <f t="shared" si="0"/>
        <v>232.40700000000001</v>
      </c>
      <c r="E8" s="383">
        <f t="shared" si="0"/>
        <v>265.608</v>
      </c>
      <c r="F8" s="383">
        <f t="shared" si="0"/>
        <v>298.80900000000003</v>
      </c>
      <c r="G8" s="383">
        <f t="shared" si="0"/>
        <v>332.01</v>
      </c>
      <c r="H8" s="383">
        <f t="shared" si="0"/>
        <v>365.21100000000001</v>
      </c>
      <c r="I8" s="383">
        <f t="shared" si="0"/>
        <v>431.61300000000006</v>
      </c>
      <c r="J8" s="383">
        <f t="shared" si="0"/>
        <v>509.08200000000005</v>
      </c>
      <c r="K8" s="383">
        <f t="shared" si="0"/>
        <v>652.95299999999997</v>
      </c>
      <c r="L8" s="383">
        <f>$M$8*$M$13*AA6</f>
        <v>1106.7</v>
      </c>
      <c r="M8" s="383">
        <f>AVERAGE(M4:M7)</f>
        <v>1302</v>
      </c>
      <c r="P8" s="382"/>
      <c r="Q8" s="384"/>
      <c r="R8" s="384"/>
      <c r="S8" s="384"/>
      <c r="T8" s="384"/>
    </row>
    <row r="9" spans="1:27" x14ac:dyDescent="0.3">
      <c r="A9" s="309" t="s">
        <v>160</v>
      </c>
      <c r="B9" s="423">
        <f>AVERAGE(B32:B35)</f>
        <v>480.5</v>
      </c>
      <c r="C9" s="423">
        <f t="shared" ref="C9:L9" si="1">AVERAGE(C32:C35)</f>
        <v>532.5</v>
      </c>
      <c r="D9" s="423">
        <f t="shared" si="1"/>
        <v>570.5</v>
      </c>
      <c r="E9" s="423">
        <f t="shared" si="1"/>
        <v>607.5</v>
      </c>
      <c r="F9" s="423">
        <f t="shared" si="1"/>
        <v>645.75</v>
      </c>
      <c r="G9" s="423">
        <f t="shared" si="1"/>
        <v>720</v>
      </c>
      <c r="H9" s="423">
        <f t="shared" si="1"/>
        <v>836.5</v>
      </c>
      <c r="I9" s="423">
        <f t="shared" si="1"/>
        <v>956.75</v>
      </c>
      <c r="J9" s="423">
        <f t="shared" si="1"/>
        <v>1099.75</v>
      </c>
      <c r="K9" s="423">
        <f t="shared" si="1"/>
        <v>1227.25</v>
      </c>
      <c r="L9" s="423">
        <f t="shared" si="1"/>
        <v>1293.25</v>
      </c>
      <c r="M9" s="383"/>
      <c r="P9" s="382"/>
      <c r="Q9" s="384"/>
      <c r="R9" s="384"/>
      <c r="S9" s="384"/>
      <c r="T9" s="384"/>
    </row>
    <row r="10" spans="1:27" x14ac:dyDescent="0.3">
      <c r="A10" s="309" t="s">
        <v>161</v>
      </c>
      <c r="B10" s="383">
        <f>AVERAGE(B43:B44)</f>
        <v>943.5</v>
      </c>
      <c r="C10" s="383">
        <f t="shared" ref="C10:L10" si="2">AVERAGE(C43:C44)</f>
        <v>992.5</v>
      </c>
      <c r="D10" s="383">
        <f t="shared" si="2"/>
        <v>1056</v>
      </c>
      <c r="E10" s="383">
        <f t="shared" si="2"/>
        <v>1088</v>
      </c>
      <c r="F10" s="383">
        <f t="shared" si="2"/>
        <v>1158</v>
      </c>
      <c r="G10" s="383">
        <f t="shared" si="2"/>
        <v>1220</v>
      </c>
      <c r="H10" s="383">
        <f t="shared" si="2"/>
        <v>1242.5</v>
      </c>
      <c r="I10" s="383">
        <f t="shared" si="2"/>
        <v>1259.5</v>
      </c>
      <c r="J10" s="383">
        <f t="shared" si="2"/>
        <v>1266.5</v>
      </c>
      <c r="K10" s="383">
        <f t="shared" si="2"/>
        <v>1274.5</v>
      </c>
      <c r="L10" s="383">
        <f t="shared" si="2"/>
        <v>1288.5</v>
      </c>
      <c r="M10" s="383"/>
      <c r="P10" s="382"/>
      <c r="Q10" s="384"/>
      <c r="R10" s="384"/>
      <c r="S10" s="384"/>
      <c r="T10" s="384"/>
    </row>
    <row r="11" spans="1:27" x14ac:dyDescent="0.3">
      <c r="A11" s="309" t="s">
        <v>162</v>
      </c>
      <c r="B11" s="383">
        <f>IF(B4&gt;0,AVERAGE(B4:B7)-B9,"TBD")</f>
        <v>-120</v>
      </c>
      <c r="C11" s="383">
        <f t="shared" ref="C11:L11" si="3">IF(C4&gt;0,AVERAGE(C4:C7)-C9,"TBD")</f>
        <v>-154</v>
      </c>
      <c r="D11" s="383" t="str">
        <f t="shared" si="3"/>
        <v>TBD</v>
      </c>
      <c r="E11" s="383" t="str">
        <f t="shared" si="3"/>
        <v>TBD</v>
      </c>
      <c r="F11" s="383" t="str">
        <f t="shared" si="3"/>
        <v>TBD</v>
      </c>
      <c r="G11" s="383" t="str">
        <f t="shared" si="3"/>
        <v>TBD</v>
      </c>
      <c r="H11" s="383" t="str">
        <f t="shared" si="3"/>
        <v>TBD</v>
      </c>
      <c r="I11" s="383" t="str">
        <f t="shared" si="3"/>
        <v>TBD</v>
      </c>
      <c r="J11" s="383" t="str">
        <f t="shared" si="3"/>
        <v>TBD</v>
      </c>
      <c r="K11" s="383" t="str">
        <f t="shared" si="3"/>
        <v>TBD</v>
      </c>
      <c r="L11" s="383" t="str">
        <f t="shared" si="3"/>
        <v>TBD</v>
      </c>
      <c r="P11" s="29"/>
      <c r="Q11" s="384"/>
      <c r="R11" s="384"/>
      <c r="S11" s="384"/>
      <c r="T11" s="384"/>
    </row>
    <row r="12" spans="1:27" x14ac:dyDescent="0.3">
      <c r="A12" s="309"/>
      <c r="B12" s="309"/>
      <c r="C12" s="309"/>
      <c r="M12" t="s">
        <v>134</v>
      </c>
      <c r="P12" s="27"/>
      <c r="Q12" s="384"/>
      <c r="R12" s="384"/>
      <c r="S12" s="384"/>
      <c r="T12" s="384"/>
    </row>
    <row r="13" spans="1:27" x14ac:dyDescent="0.3">
      <c r="A13" s="309"/>
      <c r="B13" s="309"/>
      <c r="C13" s="309"/>
      <c r="M13" s="128">
        <v>0.85</v>
      </c>
      <c r="P13" s="27"/>
      <c r="Q13" s="384"/>
      <c r="R13" s="384"/>
      <c r="S13" s="384"/>
      <c r="T13" s="384"/>
    </row>
    <row r="14" spans="1:27" x14ac:dyDescent="0.3">
      <c r="A14" s="309"/>
      <c r="B14" s="309"/>
      <c r="C14" s="309"/>
    </row>
    <row r="30" spans="1:14" x14ac:dyDescent="0.3">
      <c r="A30" s="409" t="s">
        <v>18</v>
      </c>
      <c r="B30" s="409">
        <v>10</v>
      </c>
      <c r="C30" s="409">
        <v>9</v>
      </c>
      <c r="D30" s="409">
        <v>8</v>
      </c>
      <c r="E30" s="409">
        <v>7</v>
      </c>
      <c r="F30" s="409">
        <v>6</v>
      </c>
      <c r="G30" s="409">
        <v>5</v>
      </c>
      <c r="H30" s="409">
        <v>4</v>
      </c>
      <c r="I30" s="409">
        <v>3</v>
      </c>
      <c r="J30" s="409">
        <v>2</v>
      </c>
      <c r="K30" s="409">
        <v>1</v>
      </c>
      <c r="L30" s="409">
        <v>0</v>
      </c>
      <c r="M30" s="409"/>
      <c r="N30" s="410"/>
    </row>
    <row r="31" spans="1:14" ht="83.4" x14ac:dyDescent="0.3">
      <c r="A31" s="411" t="s">
        <v>163</v>
      </c>
      <c r="B31" s="412">
        <v>45551</v>
      </c>
      <c r="C31" s="412">
        <v>45558</v>
      </c>
      <c r="D31" s="412">
        <v>45565</v>
      </c>
      <c r="E31" s="412">
        <v>45572</v>
      </c>
      <c r="F31" s="412">
        <v>45579</v>
      </c>
      <c r="G31" s="412">
        <v>45586</v>
      </c>
      <c r="H31" s="412">
        <v>45593</v>
      </c>
      <c r="I31" s="412">
        <v>45600</v>
      </c>
      <c r="J31" s="412">
        <v>45607</v>
      </c>
      <c r="K31" s="412">
        <v>45614</v>
      </c>
      <c r="L31" s="412">
        <v>45621</v>
      </c>
      <c r="M31" s="413" t="s">
        <v>125</v>
      </c>
      <c r="N31" s="414" t="s">
        <v>164</v>
      </c>
    </row>
    <row r="32" spans="1:14" x14ac:dyDescent="0.3">
      <c r="A32" s="409" t="s">
        <v>165</v>
      </c>
      <c r="B32" s="415">
        <v>395</v>
      </c>
      <c r="C32" s="415">
        <v>422</v>
      </c>
      <c r="D32" s="415">
        <v>451</v>
      </c>
      <c r="E32" s="415">
        <v>488</v>
      </c>
      <c r="F32" s="415">
        <v>518</v>
      </c>
      <c r="G32" s="415">
        <v>591</v>
      </c>
      <c r="H32" s="415">
        <v>667</v>
      </c>
      <c r="I32" s="415">
        <v>754</v>
      </c>
      <c r="J32" s="415">
        <v>913</v>
      </c>
      <c r="K32" s="415">
        <v>1165</v>
      </c>
      <c r="L32" s="415">
        <v>1276</v>
      </c>
      <c r="M32" s="415">
        <v>1342</v>
      </c>
      <c r="N32" s="416">
        <v>0.96640000000000004</v>
      </c>
    </row>
    <row r="33" spans="1:14" x14ac:dyDescent="0.3">
      <c r="A33" s="409" t="s">
        <v>166</v>
      </c>
      <c r="B33" s="415">
        <v>604</v>
      </c>
      <c r="C33" s="415">
        <v>669</v>
      </c>
      <c r="D33" s="415">
        <v>701</v>
      </c>
      <c r="E33" s="415">
        <v>735</v>
      </c>
      <c r="F33" s="415">
        <v>763</v>
      </c>
      <c r="G33" s="415">
        <v>832</v>
      </c>
      <c r="H33" s="415">
        <v>955</v>
      </c>
      <c r="I33" s="415">
        <v>1040</v>
      </c>
      <c r="J33" s="415">
        <v>1229</v>
      </c>
      <c r="K33" s="415">
        <v>1269</v>
      </c>
      <c r="L33" s="415">
        <v>1301</v>
      </c>
      <c r="M33" s="415">
        <v>1342</v>
      </c>
      <c r="N33" s="416">
        <v>0.98729999999999996</v>
      </c>
    </row>
    <row r="34" spans="1:14" x14ac:dyDescent="0.3">
      <c r="A34" s="409" t="s">
        <v>167</v>
      </c>
      <c r="B34" s="415">
        <v>302</v>
      </c>
      <c r="C34" s="415">
        <v>353</v>
      </c>
      <c r="D34" s="415">
        <v>391</v>
      </c>
      <c r="E34" s="415">
        <v>422</v>
      </c>
      <c r="F34" s="415">
        <v>454</v>
      </c>
      <c r="G34" s="415">
        <v>500</v>
      </c>
      <c r="H34" s="415">
        <v>657</v>
      </c>
      <c r="I34" s="415">
        <v>813</v>
      </c>
      <c r="J34" s="415">
        <v>988</v>
      </c>
      <c r="K34" s="415">
        <v>1200</v>
      </c>
      <c r="L34" s="415">
        <v>1301</v>
      </c>
      <c r="M34" s="415">
        <v>1342</v>
      </c>
      <c r="N34" s="416">
        <v>0.98360000000000003</v>
      </c>
    </row>
    <row r="35" spans="1:14" x14ac:dyDescent="0.3">
      <c r="A35" s="409" t="s">
        <v>168</v>
      </c>
      <c r="B35" s="415">
        <v>621</v>
      </c>
      <c r="C35" s="415">
        <v>686</v>
      </c>
      <c r="D35" s="415">
        <v>739</v>
      </c>
      <c r="E35" s="415">
        <v>785</v>
      </c>
      <c r="F35" s="415">
        <v>848</v>
      </c>
      <c r="G35" s="415">
        <v>957</v>
      </c>
      <c r="H35" s="415">
        <v>1067</v>
      </c>
      <c r="I35" s="415">
        <v>1220</v>
      </c>
      <c r="J35" s="415">
        <v>1269</v>
      </c>
      <c r="K35" s="415">
        <v>1275</v>
      </c>
      <c r="L35" s="415">
        <v>1295</v>
      </c>
      <c r="M35" s="415">
        <v>1342</v>
      </c>
      <c r="N35" s="416">
        <v>0.98129999999999995</v>
      </c>
    </row>
    <row r="36" spans="1:14" x14ac:dyDescent="0.3">
      <c r="A36" s="409" t="s">
        <v>131</v>
      </c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10"/>
    </row>
    <row r="37" spans="1:14" x14ac:dyDescent="0.3">
      <c r="A37" s="409" t="s">
        <v>133</v>
      </c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10"/>
    </row>
    <row r="38" spans="1:14" x14ac:dyDescent="0.3">
      <c r="A38" s="409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 t="s">
        <v>134</v>
      </c>
      <c r="N38" s="410"/>
    </row>
    <row r="39" spans="1:14" x14ac:dyDescent="0.3">
      <c r="A39" s="409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17">
        <v>0.85</v>
      </c>
      <c r="N39" s="410"/>
    </row>
    <row r="41" spans="1:14" x14ac:dyDescent="0.3">
      <c r="A41" s="409" t="s">
        <v>18</v>
      </c>
      <c r="B41" s="409">
        <v>10</v>
      </c>
      <c r="C41" s="409">
        <v>9</v>
      </c>
      <c r="D41" s="409">
        <v>8</v>
      </c>
      <c r="E41" s="409">
        <v>7</v>
      </c>
      <c r="F41" s="409">
        <v>6</v>
      </c>
      <c r="G41" s="409">
        <v>5</v>
      </c>
      <c r="H41" s="409">
        <v>4</v>
      </c>
      <c r="I41" s="409">
        <v>3</v>
      </c>
      <c r="J41" s="409">
        <v>2</v>
      </c>
      <c r="K41" s="409">
        <v>1</v>
      </c>
      <c r="L41" s="409">
        <v>0</v>
      </c>
      <c r="M41" s="409"/>
      <c r="N41" s="418"/>
    </row>
    <row r="42" spans="1:14" ht="83.4" x14ac:dyDescent="0.3">
      <c r="A42" s="411" t="s">
        <v>169</v>
      </c>
      <c r="B42" s="412">
        <v>45194</v>
      </c>
      <c r="C42" s="412">
        <v>45201</v>
      </c>
      <c r="D42" s="412">
        <v>45208</v>
      </c>
      <c r="E42" s="412">
        <v>45215</v>
      </c>
      <c r="F42" s="412">
        <v>45222</v>
      </c>
      <c r="G42" s="412">
        <v>45229</v>
      </c>
      <c r="H42" s="412">
        <v>45236</v>
      </c>
      <c r="I42" s="412">
        <v>45243</v>
      </c>
      <c r="J42" s="412">
        <v>45250</v>
      </c>
      <c r="K42" s="412">
        <v>45988</v>
      </c>
      <c r="L42" s="412">
        <v>45995</v>
      </c>
      <c r="M42" s="413" t="s">
        <v>125</v>
      </c>
      <c r="N42" s="419" t="s">
        <v>164</v>
      </c>
    </row>
    <row r="43" spans="1:14" x14ac:dyDescent="0.3">
      <c r="A43" s="409" t="s">
        <v>170</v>
      </c>
      <c r="B43" s="415">
        <v>844</v>
      </c>
      <c r="C43" s="415">
        <v>894</v>
      </c>
      <c r="D43" s="415">
        <v>980</v>
      </c>
      <c r="E43" s="415">
        <v>1010</v>
      </c>
      <c r="F43" s="415">
        <v>1104</v>
      </c>
      <c r="G43" s="415">
        <v>1218</v>
      </c>
      <c r="H43" s="415">
        <v>1244</v>
      </c>
      <c r="I43" s="415">
        <v>1264</v>
      </c>
      <c r="J43" s="415">
        <v>1268</v>
      </c>
      <c r="K43" s="415">
        <v>1279</v>
      </c>
      <c r="L43" s="415">
        <v>1289</v>
      </c>
      <c r="M43" s="420">
        <v>1334</v>
      </c>
      <c r="N43" s="421">
        <v>0.99619999999999997</v>
      </c>
    </row>
    <row r="44" spans="1:14" x14ac:dyDescent="0.3">
      <c r="A44" s="409" t="s">
        <v>171</v>
      </c>
      <c r="B44" s="415">
        <v>1043</v>
      </c>
      <c r="C44" s="415">
        <v>1091</v>
      </c>
      <c r="D44" s="415">
        <v>1132</v>
      </c>
      <c r="E44" s="415">
        <v>1166</v>
      </c>
      <c r="F44" s="415">
        <v>1212</v>
      </c>
      <c r="G44" s="415">
        <v>1222</v>
      </c>
      <c r="H44" s="415">
        <v>1241</v>
      </c>
      <c r="I44" s="415">
        <v>1255</v>
      </c>
      <c r="J44" s="415">
        <v>1265</v>
      </c>
      <c r="K44" s="415">
        <v>1270</v>
      </c>
      <c r="L44" s="415">
        <v>1288</v>
      </c>
      <c r="M44" s="415">
        <v>1334</v>
      </c>
      <c r="N44" s="416">
        <v>0.97899999999999998</v>
      </c>
    </row>
    <row r="45" spans="1:14" x14ac:dyDescent="0.3">
      <c r="A45" s="409" t="s">
        <v>131</v>
      </c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18"/>
    </row>
    <row r="46" spans="1:14" x14ac:dyDescent="0.3">
      <c r="A46" s="409" t="s">
        <v>133</v>
      </c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18"/>
    </row>
    <row r="47" spans="1:14" x14ac:dyDescent="0.3">
      <c r="A47" s="409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 t="s">
        <v>134</v>
      </c>
      <c r="N47" s="418"/>
    </row>
    <row r="48" spans="1:14" x14ac:dyDescent="0.3">
      <c r="A48" s="409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17">
        <v>0.85</v>
      </c>
      <c r="N48" s="418"/>
    </row>
  </sheetData>
  <mergeCells count="3">
    <mergeCell ref="D1:L1"/>
    <mergeCell ref="Q2:T2"/>
    <mergeCell ref="U2:AA2"/>
  </mergeCells>
  <conditionalFormatting sqref="N4:N7">
    <cfRule type="cellIs" dxfId="54" priority="1" stopIfTrue="1" operator="equal">
      <formula>""</formula>
    </cfRule>
    <cfRule type="cellIs" dxfId="53" priority="2" operator="equal">
      <formula>"Too early"</formula>
    </cfRule>
    <cfRule type="cellIs" dxfId="52" priority="3" operator="lessThanOrEqual">
      <formula>0.7</formula>
    </cfRule>
    <cfRule type="cellIs" dxfId="51" priority="4" operator="between">
      <formula>0.85</formula>
      <formula>0.7</formula>
    </cfRule>
    <cfRule type="cellIs" dxfId="5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C1D8-D0D6-4A32-92FE-8E19825D8BFB}">
  <dimension ref="A1:AA46"/>
  <sheetViews>
    <sheetView workbookViewId="0">
      <selection activeCell="M18" sqref="M18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515" t="s">
        <v>121</v>
      </c>
      <c r="E1" s="515"/>
      <c r="F1" s="515"/>
      <c r="G1" s="515"/>
      <c r="H1" s="515"/>
      <c r="I1" s="515"/>
      <c r="J1" s="515"/>
      <c r="K1" s="515"/>
      <c r="L1" s="515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516" t="s">
        <v>122</v>
      </c>
      <c r="R2" s="516"/>
      <c r="S2" s="516"/>
      <c r="T2" s="516"/>
      <c r="U2" s="517" t="s">
        <v>123</v>
      </c>
      <c r="V2" s="517"/>
      <c r="W2" s="517"/>
      <c r="X2" s="517"/>
      <c r="Y2" s="517"/>
      <c r="Z2" s="517"/>
      <c r="AA2" s="517"/>
    </row>
    <row r="3" spans="1:27" ht="57.6" x14ac:dyDescent="0.3">
      <c r="A3" t="s">
        <v>172</v>
      </c>
      <c r="B3" s="309">
        <v>45922</v>
      </c>
      <c r="C3" s="309">
        <v>45929</v>
      </c>
      <c r="D3" s="309">
        <v>45936</v>
      </c>
      <c r="E3" s="309">
        <v>45943</v>
      </c>
      <c r="F3" s="309">
        <v>45950</v>
      </c>
      <c r="G3" s="309">
        <v>45957</v>
      </c>
      <c r="H3" s="309">
        <v>45964</v>
      </c>
      <c r="I3" s="309">
        <v>45971</v>
      </c>
      <c r="J3" s="309">
        <v>45978</v>
      </c>
      <c r="K3" s="309">
        <v>45985</v>
      </c>
      <c r="L3" s="309">
        <v>45992</v>
      </c>
      <c r="M3" s="270" t="s">
        <v>125</v>
      </c>
      <c r="N3" s="270" t="s">
        <v>126</v>
      </c>
      <c r="P3" s="29" t="s">
        <v>127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173</v>
      </c>
      <c r="B4" s="424">
        <v>369</v>
      </c>
      <c r="C4" s="424"/>
      <c r="D4" s="425"/>
      <c r="E4" s="425"/>
      <c r="F4" s="425"/>
      <c r="G4" s="425"/>
      <c r="H4" s="425"/>
      <c r="I4" s="425"/>
      <c r="J4" s="425"/>
      <c r="K4" s="425"/>
      <c r="L4" s="425"/>
      <c r="M4">
        <f>'Performances by Week'!AB38-'Performances by Week'!X38</f>
        <v>1433</v>
      </c>
      <c r="N4" s="31" t="str">
        <f>'Performances by Week'!K38</f>
        <v>Too early</v>
      </c>
      <c r="P4" s="28" t="s">
        <v>62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174</v>
      </c>
      <c r="B5" s="424">
        <v>369</v>
      </c>
      <c r="C5" s="424"/>
      <c r="D5" s="425"/>
      <c r="E5" s="425"/>
      <c r="F5" s="425"/>
      <c r="G5" s="425"/>
      <c r="H5" s="425"/>
      <c r="I5" s="425"/>
      <c r="J5" s="425"/>
      <c r="K5" s="425"/>
      <c r="L5" s="425"/>
      <c r="M5">
        <f>'Performances by Week'!AB39-'Performances by Week'!X39</f>
        <v>1433</v>
      </c>
      <c r="N5" s="31" t="str">
        <f>'Performances by Week'!K39</f>
        <v>Too early</v>
      </c>
      <c r="P5" s="28" t="s">
        <v>57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175</v>
      </c>
      <c r="B6" s="424">
        <v>410</v>
      </c>
      <c r="C6" s="424"/>
      <c r="D6" s="425"/>
      <c r="E6" s="425"/>
      <c r="F6" s="425"/>
      <c r="G6" s="425"/>
      <c r="H6" s="425"/>
      <c r="I6" s="425"/>
      <c r="J6" s="425"/>
      <c r="K6" s="425"/>
      <c r="L6" s="425"/>
      <c r="M6">
        <f>'Performances by Week'!AB40-'Performances by Week'!X40</f>
        <v>1433</v>
      </c>
      <c r="N6" s="31" t="str">
        <f>'Performances by Week'!K40</f>
        <v>Too early</v>
      </c>
      <c r="P6" s="28" t="s">
        <v>52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131</v>
      </c>
      <c r="B7" s="383">
        <f t="shared" ref="B7:K7" si="0">$M$7*$M$12*Q6</f>
        <v>182.70749999999998</v>
      </c>
      <c r="C7" s="383">
        <f t="shared" si="0"/>
        <v>219.249</v>
      </c>
      <c r="D7" s="383">
        <f t="shared" si="0"/>
        <v>255.79049999999998</v>
      </c>
      <c r="E7" s="383">
        <f t="shared" si="0"/>
        <v>292.33199999999999</v>
      </c>
      <c r="F7" s="383">
        <f t="shared" si="0"/>
        <v>328.87350000000004</v>
      </c>
      <c r="G7" s="383">
        <f t="shared" si="0"/>
        <v>365.41499999999996</v>
      </c>
      <c r="H7" s="383">
        <f t="shared" si="0"/>
        <v>401.95650000000001</v>
      </c>
      <c r="I7" s="383">
        <f t="shared" si="0"/>
        <v>475.03949999999998</v>
      </c>
      <c r="J7" s="383">
        <f t="shared" si="0"/>
        <v>560.303</v>
      </c>
      <c r="K7" s="383">
        <f t="shared" si="0"/>
        <v>718.64949999999999</v>
      </c>
      <c r="L7" s="383">
        <f>$M$7*$M$12*AA6</f>
        <v>1218.05</v>
      </c>
      <c r="M7" s="383">
        <f>AVERAGE(M4:M6)</f>
        <v>1433</v>
      </c>
      <c r="P7" s="28" t="s">
        <v>132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501" t="s">
        <v>176</v>
      </c>
      <c r="B8" s="502">
        <f t="shared" ref="B8:L8" si="1">AVERAGE(B31:B33)</f>
        <v>300.33333333333331</v>
      </c>
      <c r="C8" s="502">
        <f t="shared" si="1"/>
        <v>322.33333333333331</v>
      </c>
      <c r="D8" s="502">
        <f t="shared" si="1"/>
        <v>360</v>
      </c>
      <c r="E8" s="502">
        <f t="shared" si="1"/>
        <v>395.66666666666669</v>
      </c>
      <c r="F8" s="502">
        <f t="shared" si="1"/>
        <v>431</v>
      </c>
      <c r="G8" s="502">
        <f t="shared" si="1"/>
        <v>486.33333333333331</v>
      </c>
      <c r="H8" s="502">
        <f t="shared" si="1"/>
        <v>568.33333333333337</v>
      </c>
      <c r="I8" s="502">
        <f t="shared" si="1"/>
        <v>667</v>
      </c>
      <c r="J8" s="502">
        <f t="shared" si="1"/>
        <v>790.33333333333337</v>
      </c>
      <c r="K8" s="502">
        <f t="shared" si="1"/>
        <v>954.33333333333337</v>
      </c>
      <c r="L8" s="502">
        <f t="shared" si="1"/>
        <v>1146</v>
      </c>
      <c r="M8" s="383"/>
      <c r="P8" s="382"/>
      <c r="Q8" s="384"/>
      <c r="R8" s="384"/>
      <c r="S8" s="384"/>
      <c r="T8" s="384"/>
    </row>
    <row r="9" spans="1:27" x14ac:dyDescent="0.3">
      <c r="A9" s="309" t="s">
        <v>177</v>
      </c>
      <c r="B9" s="383">
        <f>AVERAGE(B41:B43)</f>
        <v>338</v>
      </c>
      <c r="C9" s="383">
        <f t="shared" ref="C9:L9" si="2">AVERAGE(C41:C43)</f>
        <v>372</v>
      </c>
      <c r="D9" s="383">
        <f t="shared" si="2"/>
        <v>411</v>
      </c>
      <c r="E9" s="383">
        <f t="shared" si="2"/>
        <v>447.33333333333331</v>
      </c>
      <c r="F9" s="383">
        <f t="shared" si="2"/>
        <v>494.66666666666669</v>
      </c>
      <c r="G9" s="383">
        <f t="shared" si="2"/>
        <v>557</v>
      </c>
      <c r="H9" s="383">
        <f t="shared" si="2"/>
        <v>657.66666666666663</v>
      </c>
      <c r="I9" s="383">
        <f t="shared" si="2"/>
        <v>738.33333333333337</v>
      </c>
      <c r="J9" s="383">
        <f t="shared" si="2"/>
        <v>909.66666666666663</v>
      </c>
      <c r="K9" s="383">
        <f t="shared" si="2"/>
        <v>1046.6666666666667</v>
      </c>
      <c r="L9" s="383">
        <f t="shared" si="2"/>
        <v>1180.3333333333333</v>
      </c>
      <c r="M9" s="383"/>
      <c r="P9" s="382"/>
      <c r="Q9" s="384"/>
      <c r="R9" s="384"/>
      <c r="S9" s="384"/>
      <c r="T9" s="384"/>
    </row>
    <row r="10" spans="1:27" x14ac:dyDescent="0.3">
      <c r="A10" s="309" t="s">
        <v>133</v>
      </c>
      <c r="B10" s="383">
        <f t="shared" ref="B10:L10" si="3">IF(B4&gt;0,AVERAGE(B4:B6)-B8,"TBD")</f>
        <v>82.333333333333371</v>
      </c>
      <c r="C10" s="383" t="str">
        <f t="shared" si="3"/>
        <v>TBD</v>
      </c>
      <c r="D10" s="383" t="str">
        <f t="shared" si="3"/>
        <v>TBD</v>
      </c>
      <c r="E10" s="383" t="str">
        <f t="shared" si="3"/>
        <v>TBD</v>
      </c>
      <c r="F10" s="383" t="str">
        <f t="shared" si="3"/>
        <v>TBD</v>
      </c>
      <c r="G10" s="383" t="str">
        <f t="shared" si="3"/>
        <v>TBD</v>
      </c>
      <c r="H10" s="383" t="str">
        <f t="shared" si="3"/>
        <v>TBD</v>
      </c>
      <c r="I10" s="383" t="str">
        <f t="shared" si="3"/>
        <v>TBD</v>
      </c>
      <c r="J10" s="383" t="str">
        <f t="shared" si="3"/>
        <v>TBD</v>
      </c>
      <c r="K10" s="383" t="str">
        <f t="shared" si="3"/>
        <v>TBD</v>
      </c>
      <c r="L10" s="383" t="str">
        <f t="shared" si="3"/>
        <v>TBD</v>
      </c>
      <c r="P10" s="382"/>
      <c r="Q10" s="384"/>
      <c r="R10" s="384"/>
      <c r="S10" s="384"/>
      <c r="T10" s="384"/>
    </row>
    <row r="11" spans="1:27" x14ac:dyDescent="0.3">
      <c r="A11" s="309"/>
      <c r="B11" s="309"/>
      <c r="C11" s="309"/>
      <c r="M11" t="s">
        <v>134</v>
      </c>
      <c r="P11" s="29"/>
      <c r="Q11" s="384"/>
      <c r="R11" s="384"/>
      <c r="S11" s="384"/>
      <c r="T11" s="384"/>
    </row>
    <row r="12" spans="1:27" x14ac:dyDescent="0.3">
      <c r="A12" s="309"/>
      <c r="B12" s="309"/>
      <c r="C12" s="309"/>
      <c r="M12" s="128">
        <v>0.85</v>
      </c>
      <c r="P12" s="27"/>
      <c r="Q12" s="384"/>
      <c r="R12" s="384"/>
      <c r="S12" s="384"/>
      <c r="T12" s="384"/>
    </row>
    <row r="13" spans="1:27" x14ac:dyDescent="0.3">
      <c r="A13" s="309"/>
      <c r="B13" s="309"/>
      <c r="C13" s="309"/>
      <c r="P13" s="27"/>
      <c r="Q13" s="384"/>
      <c r="R13" s="384"/>
      <c r="S13" s="384"/>
      <c r="T13" s="384"/>
    </row>
    <row r="29" spans="1:14" x14ac:dyDescent="0.3">
      <c r="A29" s="409" t="s">
        <v>18</v>
      </c>
      <c r="B29" s="409">
        <v>10</v>
      </c>
      <c r="C29" s="409">
        <v>9</v>
      </c>
      <c r="D29" s="409">
        <v>8</v>
      </c>
      <c r="E29" s="409">
        <v>7</v>
      </c>
      <c r="F29" s="409">
        <v>6</v>
      </c>
      <c r="G29" s="409">
        <v>5</v>
      </c>
      <c r="H29" s="409">
        <v>4</v>
      </c>
      <c r="I29" s="409">
        <v>3</v>
      </c>
      <c r="J29" s="409">
        <v>2</v>
      </c>
      <c r="K29" s="409">
        <v>1</v>
      </c>
      <c r="L29" s="409">
        <v>0</v>
      </c>
      <c r="M29" s="409"/>
      <c r="N29" s="410"/>
    </row>
    <row r="30" spans="1:14" ht="83.4" x14ac:dyDescent="0.3">
      <c r="A30" s="411" t="s">
        <v>178</v>
      </c>
      <c r="B30" s="412">
        <v>45558</v>
      </c>
      <c r="C30" s="412">
        <v>45565</v>
      </c>
      <c r="D30" s="412">
        <v>45572</v>
      </c>
      <c r="E30" s="412">
        <v>45579</v>
      </c>
      <c r="F30" s="412">
        <v>45586</v>
      </c>
      <c r="G30" s="412">
        <v>45593</v>
      </c>
      <c r="H30" s="412">
        <v>45600</v>
      </c>
      <c r="I30" s="412">
        <v>45607</v>
      </c>
      <c r="J30" s="412">
        <v>45614</v>
      </c>
      <c r="K30" s="412">
        <v>45621</v>
      </c>
      <c r="L30" s="412">
        <v>45628</v>
      </c>
      <c r="M30" s="413" t="s">
        <v>125</v>
      </c>
      <c r="N30" s="414" t="s">
        <v>164</v>
      </c>
    </row>
    <row r="31" spans="1:14" x14ac:dyDescent="0.3">
      <c r="A31" s="409" t="s">
        <v>179</v>
      </c>
      <c r="B31" s="415">
        <v>269</v>
      </c>
      <c r="C31" s="415">
        <v>295</v>
      </c>
      <c r="D31" s="415">
        <v>314</v>
      </c>
      <c r="E31" s="415">
        <v>335</v>
      </c>
      <c r="F31" s="415">
        <v>385</v>
      </c>
      <c r="G31" s="415">
        <v>425</v>
      </c>
      <c r="H31" s="415">
        <v>522</v>
      </c>
      <c r="I31" s="415">
        <v>615</v>
      </c>
      <c r="J31" s="415">
        <v>771</v>
      </c>
      <c r="K31" s="415">
        <v>912</v>
      </c>
      <c r="L31" s="415">
        <v>1078</v>
      </c>
      <c r="M31" s="415">
        <v>1450</v>
      </c>
      <c r="N31" s="416">
        <v>0.88339999999999996</v>
      </c>
    </row>
    <row r="32" spans="1:14" x14ac:dyDescent="0.3">
      <c r="A32" s="409" t="s">
        <v>180</v>
      </c>
      <c r="B32" s="415">
        <v>318</v>
      </c>
      <c r="C32" s="415">
        <v>333</v>
      </c>
      <c r="D32" s="415">
        <v>368</v>
      </c>
      <c r="E32" s="415">
        <v>392</v>
      </c>
      <c r="F32" s="415">
        <v>424</v>
      </c>
      <c r="G32" s="415">
        <v>483</v>
      </c>
      <c r="H32" s="415">
        <v>549</v>
      </c>
      <c r="I32" s="415">
        <v>660</v>
      </c>
      <c r="J32" s="415">
        <v>751</v>
      </c>
      <c r="K32" s="415">
        <v>918</v>
      </c>
      <c r="L32" s="415">
        <v>1127</v>
      </c>
      <c r="M32" s="415">
        <v>1450</v>
      </c>
      <c r="N32" s="416">
        <v>0.96619999999999995</v>
      </c>
    </row>
    <row r="33" spans="1:14" x14ac:dyDescent="0.3">
      <c r="A33" s="409" t="s">
        <v>181</v>
      </c>
      <c r="B33" s="415">
        <v>314</v>
      </c>
      <c r="C33" s="415">
        <v>339</v>
      </c>
      <c r="D33" s="415">
        <v>398</v>
      </c>
      <c r="E33" s="415">
        <v>460</v>
      </c>
      <c r="F33" s="415">
        <v>484</v>
      </c>
      <c r="G33" s="415">
        <v>551</v>
      </c>
      <c r="H33" s="415">
        <v>634</v>
      </c>
      <c r="I33" s="415">
        <v>726</v>
      </c>
      <c r="J33" s="415">
        <v>849</v>
      </c>
      <c r="K33" s="415">
        <v>1033</v>
      </c>
      <c r="L33" s="415">
        <v>1233</v>
      </c>
      <c r="M33" s="415">
        <v>1450</v>
      </c>
      <c r="N33" s="416">
        <v>0.97509999999999997</v>
      </c>
    </row>
    <row r="34" spans="1:14" x14ac:dyDescent="0.3">
      <c r="A34" s="409" t="s">
        <v>131</v>
      </c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10"/>
    </row>
    <row r="35" spans="1:14" x14ac:dyDescent="0.3">
      <c r="A35" s="409" t="s">
        <v>133</v>
      </c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10"/>
    </row>
    <row r="36" spans="1:14" x14ac:dyDescent="0.3">
      <c r="A36" s="409"/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 t="s">
        <v>134</v>
      </c>
      <c r="N36" s="410"/>
    </row>
    <row r="37" spans="1:14" x14ac:dyDescent="0.3">
      <c r="A37" s="409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17">
        <v>0.85</v>
      </c>
      <c r="N37" s="410"/>
    </row>
    <row r="39" spans="1:14" x14ac:dyDescent="0.3">
      <c r="A39" s="409" t="s">
        <v>18</v>
      </c>
      <c r="B39" s="409">
        <v>10</v>
      </c>
      <c r="C39" s="409">
        <v>9</v>
      </c>
      <c r="D39" s="409">
        <v>8</v>
      </c>
      <c r="E39" s="409">
        <v>7</v>
      </c>
      <c r="F39" s="409">
        <v>6</v>
      </c>
      <c r="G39" s="409">
        <v>5</v>
      </c>
      <c r="H39" s="409">
        <v>4</v>
      </c>
      <c r="I39" s="409">
        <v>3</v>
      </c>
      <c r="J39" s="409">
        <v>2</v>
      </c>
      <c r="K39" s="409">
        <v>1</v>
      </c>
      <c r="L39" s="409">
        <v>0</v>
      </c>
      <c r="M39" s="409"/>
      <c r="N39" s="418"/>
    </row>
    <row r="40" spans="1:14" ht="83.4" x14ac:dyDescent="0.3">
      <c r="A40" s="411" t="s">
        <v>178</v>
      </c>
      <c r="B40" s="412">
        <v>45187</v>
      </c>
      <c r="C40" s="412">
        <v>45194</v>
      </c>
      <c r="D40" s="412">
        <v>45201</v>
      </c>
      <c r="E40" s="412">
        <v>45208</v>
      </c>
      <c r="F40" s="412">
        <v>45215</v>
      </c>
      <c r="G40" s="412">
        <v>45222</v>
      </c>
      <c r="H40" s="412">
        <v>45229</v>
      </c>
      <c r="I40" s="412">
        <v>45236</v>
      </c>
      <c r="J40" s="412">
        <v>45243</v>
      </c>
      <c r="K40" s="412">
        <v>45250</v>
      </c>
      <c r="L40" s="412">
        <v>45988</v>
      </c>
      <c r="M40" s="413" t="s">
        <v>125</v>
      </c>
      <c r="N40" s="419" t="s">
        <v>164</v>
      </c>
    </row>
    <row r="41" spans="1:14" x14ac:dyDescent="0.3">
      <c r="A41" s="409" t="s">
        <v>182</v>
      </c>
      <c r="B41" s="415">
        <v>292</v>
      </c>
      <c r="C41" s="415">
        <v>312</v>
      </c>
      <c r="D41" s="415">
        <v>345</v>
      </c>
      <c r="E41" s="415">
        <v>367</v>
      </c>
      <c r="F41" s="415">
        <v>421</v>
      </c>
      <c r="G41" s="415">
        <v>468</v>
      </c>
      <c r="H41" s="415">
        <v>562</v>
      </c>
      <c r="I41" s="415">
        <v>635</v>
      </c>
      <c r="J41" s="415">
        <v>855</v>
      </c>
      <c r="K41" s="415">
        <v>992</v>
      </c>
      <c r="L41" s="415">
        <v>1129</v>
      </c>
      <c r="M41" s="415">
        <v>1450</v>
      </c>
      <c r="N41" s="416">
        <v>0.94340000000000002</v>
      </c>
    </row>
    <row r="42" spans="1:14" x14ac:dyDescent="0.3">
      <c r="A42" s="409" t="s">
        <v>183</v>
      </c>
      <c r="B42" s="415">
        <v>345</v>
      </c>
      <c r="C42" s="415">
        <v>396</v>
      </c>
      <c r="D42" s="415">
        <v>439</v>
      </c>
      <c r="E42" s="415">
        <v>495</v>
      </c>
      <c r="F42" s="415">
        <v>538</v>
      </c>
      <c r="G42" s="415">
        <v>590</v>
      </c>
      <c r="H42" s="415">
        <v>693</v>
      </c>
      <c r="I42" s="415">
        <v>784</v>
      </c>
      <c r="J42" s="415">
        <v>929</v>
      </c>
      <c r="K42" s="415">
        <v>1043</v>
      </c>
      <c r="L42" s="415">
        <v>1153</v>
      </c>
      <c r="M42" s="415">
        <v>1450</v>
      </c>
      <c r="N42" s="416">
        <v>0.99099999999999999</v>
      </c>
    </row>
    <row r="43" spans="1:14" x14ac:dyDescent="0.3">
      <c r="A43" s="409" t="s">
        <v>184</v>
      </c>
      <c r="B43" s="415">
        <v>377</v>
      </c>
      <c r="C43" s="415">
        <v>408</v>
      </c>
      <c r="D43" s="415">
        <v>449</v>
      </c>
      <c r="E43" s="415">
        <v>480</v>
      </c>
      <c r="F43" s="415">
        <v>525</v>
      </c>
      <c r="G43" s="415">
        <v>613</v>
      </c>
      <c r="H43" s="415">
        <v>718</v>
      </c>
      <c r="I43" s="415">
        <v>796</v>
      </c>
      <c r="J43" s="415">
        <v>945</v>
      </c>
      <c r="K43" s="415">
        <v>1105</v>
      </c>
      <c r="L43" s="415">
        <v>1259</v>
      </c>
      <c r="M43" s="415">
        <v>1450</v>
      </c>
      <c r="N43" s="416">
        <v>1</v>
      </c>
    </row>
    <row r="44" spans="1:14" x14ac:dyDescent="0.3">
      <c r="A44" s="409" t="s">
        <v>133</v>
      </c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18"/>
    </row>
    <row r="45" spans="1:14" x14ac:dyDescent="0.3">
      <c r="A45" s="409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 t="s">
        <v>134</v>
      </c>
      <c r="N45" s="418"/>
    </row>
    <row r="46" spans="1:14" x14ac:dyDescent="0.3">
      <c r="A46" s="409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17">
        <v>0.85</v>
      </c>
      <c r="N46" s="418"/>
    </row>
  </sheetData>
  <mergeCells count="3">
    <mergeCell ref="D1:L1"/>
    <mergeCell ref="Q2:T2"/>
    <mergeCell ref="U2:AA2"/>
  </mergeCells>
  <conditionalFormatting sqref="N4:N6">
    <cfRule type="cellIs" dxfId="49" priority="1" stopIfTrue="1" operator="equal">
      <formula>""</formula>
    </cfRule>
    <cfRule type="cellIs" dxfId="48" priority="2" operator="equal">
      <formula>"Too early"</formula>
    </cfRule>
    <cfRule type="cellIs" dxfId="47" priority="3" operator="lessThanOrEqual">
      <formula>0.7</formula>
    </cfRule>
    <cfRule type="cellIs" dxfId="46" priority="4" operator="between">
      <formula>0.85</formula>
      <formula>0.7</formula>
    </cfRule>
    <cfRule type="cellIs" dxfId="45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D53C-ACE8-4B13-8692-11AAB64B27AF}">
  <dimension ref="A1:AA50"/>
  <sheetViews>
    <sheetView topLeftCell="A4" workbookViewId="0">
      <selection activeCell="A4" sqref="A4"/>
    </sheetView>
  </sheetViews>
  <sheetFormatPr defaultRowHeight="14.4" x14ac:dyDescent="0.3"/>
  <cols>
    <col min="1" max="1" width="24.88671875" customWidth="1"/>
    <col min="2" max="3" width="11" customWidth="1"/>
    <col min="4" max="4" width="9.33203125" customWidth="1"/>
    <col min="16" max="16" width="14.44140625" customWidth="1"/>
    <col min="17" max="27" width="6.88671875" customWidth="1"/>
  </cols>
  <sheetData>
    <row r="1" spans="1:27" x14ac:dyDescent="0.3">
      <c r="D1" s="515" t="s">
        <v>121</v>
      </c>
      <c r="E1" s="515"/>
      <c r="F1" s="515"/>
      <c r="G1" s="515"/>
      <c r="H1" s="515"/>
      <c r="I1" s="515"/>
      <c r="J1" s="515"/>
      <c r="K1" s="515"/>
      <c r="L1" s="515"/>
    </row>
    <row r="2" spans="1:27" x14ac:dyDescent="0.3">
      <c r="A2" t="s">
        <v>18</v>
      </c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 s="383">
        <v>3</v>
      </c>
      <c r="J2" s="383">
        <v>2</v>
      </c>
      <c r="K2" s="383">
        <v>1</v>
      </c>
      <c r="L2" s="383">
        <v>0</v>
      </c>
      <c r="Q2" s="516" t="s">
        <v>122</v>
      </c>
      <c r="R2" s="516"/>
      <c r="S2" s="516"/>
      <c r="T2" s="516"/>
      <c r="U2" s="517" t="s">
        <v>123</v>
      </c>
      <c r="V2" s="517"/>
      <c r="W2" s="517"/>
      <c r="X2" s="517"/>
      <c r="Y2" s="517"/>
      <c r="Z2" s="517"/>
      <c r="AA2" s="517"/>
    </row>
    <row r="3" spans="1:27" ht="57.6" x14ac:dyDescent="0.3">
      <c r="A3" t="s">
        <v>185</v>
      </c>
      <c r="B3" s="309">
        <v>45936</v>
      </c>
      <c r="C3" s="309">
        <v>45943</v>
      </c>
      <c r="D3" s="309">
        <v>45950</v>
      </c>
      <c r="E3" s="309">
        <v>45957</v>
      </c>
      <c r="F3" s="309">
        <v>45964</v>
      </c>
      <c r="G3" s="309">
        <v>45971</v>
      </c>
      <c r="H3" s="309">
        <v>45978</v>
      </c>
      <c r="I3" s="309">
        <v>45985</v>
      </c>
      <c r="J3" s="309">
        <v>45992</v>
      </c>
      <c r="K3" s="309">
        <v>45999</v>
      </c>
      <c r="L3" s="309">
        <v>46006</v>
      </c>
      <c r="M3" s="270" t="s">
        <v>125</v>
      </c>
      <c r="N3" s="270" t="s">
        <v>126</v>
      </c>
      <c r="P3" s="29" t="s">
        <v>127</v>
      </c>
      <c r="Q3" s="404">
        <v>10</v>
      </c>
      <c r="R3" s="404">
        <v>9</v>
      </c>
      <c r="S3" s="404">
        <v>8</v>
      </c>
      <c r="T3" s="404">
        <v>7</v>
      </c>
      <c r="U3" s="28">
        <v>6</v>
      </c>
      <c r="V3" s="28">
        <v>5</v>
      </c>
      <c r="W3" s="389">
        <v>4</v>
      </c>
      <c r="X3" s="390">
        <v>3</v>
      </c>
      <c r="Y3" s="390">
        <v>2</v>
      </c>
      <c r="Z3" s="390">
        <v>1</v>
      </c>
      <c r="AA3" s="389">
        <v>0</v>
      </c>
    </row>
    <row r="4" spans="1:27" x14ac:dyDescent="0.3">
      <c r="A4" s="309" t="s">
        <v>186</v>
      </c>
      <c r="B4" s="391"/>
      <c r="C4" s="391"/>
      <c r="M4">
        <f>'Performances by Week'!AB43-'Performances by Week'!X43</f>
        <v>1433</v>
      </c>
      <c r="N4" s="31" t="str">
        <f>'Performances by Week'!K43</f>
        <v>Too early</v>
      </c>
      <c r="P4" s="28" t="s">
        <v>62</v>
      </c>
      <c r="Q4" s="405">
        <v>0.15</v>
      </c>
      <c r="R4" s="405">
        <v>0.18</v>
      </c>
      <c r="S4" s="405">
        <v>0.21</v>
      </c>
      <c r="T4" s="405">
        <v>0.24</v>
      </c>
      <c r="U4" s="384">
        <v>0.27</v>
      </c>
      <c r="V4" s="384">
        <v>0.3</v>
      </c>
      <c r="W4" s="384">
        <v>0.33</v>
      </c>
      <c r="X4" s="384">
        <v>0.39</v>
      </c>
      <c r="Y4" s="385">
        <v>0.46</v>
      </c>
      <c r="Z4" s="384">
        <v>0.59</v>
      </c>
      <c r="AA4" s="384">
        <v>1</v>
      </c>
    </row>
    <row r="5" spans="1:27" x14ac:dyDescent="0.3">
      <c r="A5" s="309" t="s">
        <v>187</v>
      </c>
      <c r="B5" s="391"/>
      <c r="C5" s="391"/>
      <c r="M5">
        <f>'Performances by Week'!AB44-'Performances by Week'!X44</f>
        <v>1433</v>
      </c>
      <c r="N5" s="31" t="str">
        <f>'Performances by Week'!K44</f>
        <v>Too early</v>
      </c>
      <c r="P5" s="28" t="s">
        <v>57</v>
      </c>
      <c r="Q5" s="405">
        <v>0.15</v>
      </c>
      <c r="R5" s="405">
        <v>0.18</v>
      </c>
      <c r="S5" s="405">
        <v>0.21</v>
      </c>
      <c r="T5" s="405">
        <v>0.24</v>
      </c>
      <c r="U5" s="384">
        <v>0.27</v>
      </c>
      <c r="V5" s="384">
        <v>0.3</v>
      </c>
      <c r="W5" s="384">
        <v>0.33</v>
      </c>
      <c r="X5" s="384">
        <v>0.39</v>
      </c>
      <c r="Y5" s="385">
        <v>0.46</v>
      </c>
      <c r="Z5" s="384">
        <v>0.59</v>
      </c>
      <c r="AA5" s="384">
        <v>1</v>
      </c>
    </row>
    <row r="6" spans="1:27" x14ac:dyDescent="0.3">
      <c r="A6" s="309" t="s">
        <v>188</v>
      </c>
      <c r="B6" s="391"/>
      <c r="C6" s="391"/>
      <c r="M6">
        <f>'Performances by Week'!AB45-'Performances by Week'!X45</f>
        <v>1433</v>
      </c>
      <c r="N6" s="31" t="str">
        <f>'Performances by Week'!K45</f>
        <v>Too early</v>
      </c>
      <c r="P6" s="28" t="s">
        <v>52</v>
      </c>
      <c r="Q6" s="405">
        <v>0.15</v>
      </c>
      <c r="R6" s="405">
        <v>0.18</v>
      </c>
      <c r="S6" s="405">
        <v>0.21</v>
      </c>
      <c r="T6" s="405">
        <v>0.24</v>
      </c>
      <c r="U6" s="384">
        <v>0.27</v>
      </c>
      <c r="V6" s="384">
        <v>0.3</v>
      </c>
      <c r="W6" s="384">
        <v>0.33</v>
      </c>
      <c r="X6" s="384">
        <v>0.39</v>
      </c>
      <c r="Y6" s="385">
        <v>0.46</v>
      </c>
      <c r="Z6" s="384">
        <v>0.59</v>
      </c>
      <c r="AA6" s="384">
        <v>1</v>
      </c>
    </row>
    <row r="7" spans="1:27" x14ac:dyDescent="0.3">
      <c r="A7" s="309" t="s">
        <v>189</v>
      </c>
      <c r="B7" s="391"/>
      <c r="C7" s="391"/>
      <c r="M7">
        <f>'Performances by Week'!AB46-'Performances by Week'!X46</f>
        <v>1433</v>
      </c>
      <c r="N7" s="31" t="str">
        <f>'Performances by Week'!K46</f>
        <v>Too early</v>
      </c>
      <c r="P7" s="28" t="s">
        <v>132</v>
      </c>
      <c r="Q7" s="405">
        <v>0.15</v>
      </c>
      <c r="R7" s="405">
        <v>0.18</v>
      </c>
      <c r="S7" s="405">
        <v>0.21</v>
      </c>
      <c r="T7" s="405">
        <v>0.24</v>
      </c>
      <c r="U7" s="384">
        <v>0.27</v>
      </c>
      <c r="V7" s="384">
        <v>0.3</v>
      </c>
      <c r="W7" s="384">
        <v>0.33</v>
      </c>
      <c r="X7" s="384">
        <v>0.39</v>
      </c>
      <c r="Y7" s="385">
        <v>0.46</v>
      </c>
      <c r="Z7" s="384">
        <v>0.59</v>
      </c>
      <c r="AA7" s="384">
        <v>1</v>
      </c>
    </row>
    <row r="8" spans="1:27" x14ac:dyDescent="0.3">
      <c r="A8" s="309" t="s">
        <v>190</v>
      </c>
      <c r="B8" s="391"/>
      <c r="C8" s="391"/>
      <c r="M8">
        <f>'Performances by Week'!AB47-'Performances by Week'!X47</f>
        <v>1132</v>
      </c>
      <c r="N8" s="31" t="str">
        <f>'Performances by Week'!K47</f>
        <v>Too early</v>
      </c>
      <c r="P8" s="382"/>
      <c r="Q8" s="384"/>
      <c r="R8" s="384"/>
      <c r="S8" s="384"/>
      <c r="T8" s="384"/>
    </row>
    <row r="9" spans="1:27" x14ac:dyDescent="0.3">
      <c r="A9" s="309" t="s">
        <v>191</v>
      </c>
      <c r="B9" s="391"/>
      <c r="C9" s="391"/>
      <c r="M9">
        <f>'Performances by Week'!AB48-'Performances by Week'!X48</f>
        <v>1433</v>
      </c>
      <c r="N9" s="31" t="str">
        <f>'Performances by Week'!K48</f>
        <v>Too early</v>
      </c>
      <c r="P9" s="382"/>
      <c r="Q9" s="384"/>
      <c r="R9" s="384"/>
      <c r="S9" s="384"/>
      <c r="T9" s="384"/>
    </row>
    <row r="10" spans="1:27" x14ac:dyDescent="0.3">
      <c r="A10" s="309" t="s">
        <v>131</v>
      </c>
      <c r="B10" s="383">
        <f t="shared" ref="B10:K10" si="0">$M$10*$M$15*Q6</f>
        <v>176.31125</v>
      </c>
      <c r="C10" s="383">
        <f t="shared" si="0"/>
        <v>211.5735</v>
      </c>
      <c r="D10" s="383">
        <f t="shared" si="0"/>
        <v>246.83574999999999</v>
      </c>
      <c r="E10" s="383">
        <f t="shared" si="0"/>
        <v>282.09799999999996</v>
      </c>
      <c r="F10" s="383">
        <f t="shared" si="0"/>
        <v>317.36025000000001</v>
      </c>
      <c r="G10" s="383">
        <f t="shared" si="0"/>
        <v>352.6225</v>
      </c>
      <c r="H10" s="383">
        <f t="shared" si="0"/>
        <v>387.88475</v>
      </c>
      <c r="I10" s="383">
        <f t="shared" si="0"/>
        <v>458.40924999999999</v>
      </c>
      <c r="J10" s="383">
        <f t="shared" si="0"/>
        <v>540.68783333333329</v>
      </c>
      <c r="K10" s="383">
        <f t="shared" si="0"/>
        <v>693.49091666666664</v>
      </c>
      <c r="L10" s="383">
        <f>$M$10*$M$15*AA6</f>
        <v>1175.4083333333333</v>
      </c>
      <c r="M10" s="383">
        <f>AVERAGE(M4:M9)</f>
        <v>1382.8333333333333</v>
      </c>
      <c r="P10" s="382"/>
      <c r="Q10" s="384"/>
      <c r="R10" s="384"/>
      <c r="S10" s="384"/>
      <c r="T10" s="384"/>
    </row>
    <row r="11" spans="1:27" x14ac:dyDescent="0.3">
      <c r="A11" s="309" t="s">
        <v>192</v>
      </c>
      <c r="B11" s="383">
        <f>AVERAGE(B34:B39)</f>
        <v>261.33333333333331</v>
      </c>
      <c r="C11" s="383">
        <f t="shared" ref="C11:L11" si="1">AVERAGE(C34:C39)</f>
        <v>282.66666666666669</v>
      </c>
      <c r="D11" s="383">
        <f t="shared" si="1"/>
        <v>315.5</v>
      </c>
      <c r="E11" s="383">
        <f t="shared" si="1"/>
        <v>360.16666666666669</v>
      </c>
      <c r="F11" s="383">
        <f t="shared" si="1"/>
        <v>412.16666666666669</v>
      </c>
      <c r="G11" s="383">
        <f t="shared" si="1"/>
        <v>494.33333333333331</v>
      </c>
      <c r="H11" s="383">
        <f t="shared" si="1"/>
        <v>597.83333333333337</v>
      </c>
      <c r="I11" s="383">
        <f t="shared" si="1"/>
        <v>699.5</v>
      </c>
      <c r="J11" s="383">
        <f t="shared" si="1"/>
        <v>806.16666666666663</v>
      </c>
      <c r="K11" s="383">
        <f t="shared" si="1"/>
        <v>955.16666666666663</v>
      </c>
      <c r="L11" s="383">
        <f t="shared" si="1"/>
        <v>1111.3333333333333</v>
      </c>
      <c r="M11" s="383"/>
      <c r="P11" s="29"/>
      <c r="Q11" s="384"/>
      <c r="R11" s="384"/>
      <c r="S11" s="384"/>
      <c r="T11" s="384"/>
    </row>
    <row r="12" spans="1:27" x14ac:dyDescent="0.3">
      <c r="A12" s="309" t="s">
        <v>193</v>
      </c>
      <c r="B12" s="383">
        <f>AVERAGE(B45:B50)</f>
        <v>349.16666666666669</v>
      </c>
      <c r="C12" s="383">
        <f t="shared" ref="C12:L12" si="2">AVERAGE(C45:C50)</f>
        <v>378.16666666666669</v>
      </c>
      <c r="D12" s="383">
        <f t="shared" si="2"/>
        <v>414.66666666666669</v>
      </c>
      <c r="E12" s="383">
        <f t="shared" si="2"/>
        <v>459.16666666666669</v>
      </c>
      <c r="F12" s="383">
        <f t="shared" si="2"/>
        <v>530.83333333333337</v>
      </c>
      <c r="G12" s="383">
        <f t="shared" si="2"/>
        <v>599.66666666666663</v>
      </c>
      <c r="H12" s="383">
        <f t="shared" si="2"/>
        <v>709</v>
      </c>
      <c r="I12" s="383">
        <f t="shared" si="2"/>
        <v>795.5</v>
      </c>
      <c r="J12" s="383">
        <f t="shared" si="2"/>
        <v>867.66666666666663</v>
      </c>
      <c r="K12" s="383">
        <f t="shared" si="2"/>
        <v>991.16666666666663</v>
      </c>
      <c r="L12" s="383">
        <f t="shared" si="2"/>
        <v>1105.8333333333333</v>
      </c>
      <c r="M12" s="383"/>
      <c r="P12" s="27"/>
      <c r="Q12" s="384"/>
      <c r="R12" s="384"/>
      <c r="S12" s="384"/>
      <c r="T12" s="384"/>
    </row>
    <row r="13" spans="1:27" x14ac:dyDescent="0.3">
      <c r="A13" s="309" t="s">
        <v>133</v>
      </c>
      <c r="B13" s="383" t="str">
        <f t="shared" ref="B13:L13" si="3">IF(B4&gt;0,AVERAGE(B4:B9)-B10,"TBD")</f>
        <v>TBD</v>
      </c>
      <c r="C13" s="383" t="str">
        <f t="shared" si="3"/>
        <v>TBD</v>
      </c>
      <c r="D13" s="383" t="str">
        <f t="shared" si="3"/>
        <v>TBD</v>
      </c>
      <c r="E13" s="383" t="str">
        <f t="shared" si="3"/>
        <v>TBD</v>
      </c>
      <c r="F13" s="383" t="str">
        <f t="shared" si="3"/>
        <v>TBD</v>
      </c>
      <c r="G13" s="383" t="str">
        <f t="shared" si="3"/>
        <v>TBD</v>
      </c>
      <c r="H13" s="383" t="str">
        <f t="shared" si="3"/>
        <v>TBD</v>
      </c>
      <c r="I13" s="383" t="str">
        <f t="shared" si="3"/>
        <v>TBD</v>
      </c>
      <c r="J13" s="383" t="str">
        <f t="shared" si="3"/>
        <v>TBD</v>
      </c>
      <c r="K13" s="383" t="str">
        <f t="shared" si="3"/>
        <v>TBD</v>
      </c>
      <c r="L13" s="383" t="str">
        <f t="shared" si="3"/>
        <v>TBD</v>
      </c>
      <c r="P13" s="27"/>
      <c r="Q13" s="384"/>
      <c r="R13" s="384"/>
      <c r="S13" s="384"/>
      <c r="T13" s="384"/>
    </row>
    <row r="14" spans="1:27" x14ac:dyDescent="0.3">
      <c r="A14" s="309"/>
      <c r="B14" s="309"/>
      <c r="C14" s="309"/>
      <c r="M14" t="s">
        <v>134</v>
      </c>
    </row>
    <row r="15" spans="1:27" x14ac:dyDescent="0.3">
      <c r="A15" s="309"/>
      <c r="B15" s="309"/>
      <c r="C15" s="309"/>
      <c r="M15" s="128">
        <v>0.85</v>
      </c>
    </row>
    <row r="16" spans="1:27" x14ac:dyDescent="0.3">
      <c r="A16" s="309"/>
      <c r="B16" s="309"/>
      <c r="C16" s="309"/>
    </row>
    <row r="32" spans="1:14" x14ac:dyDescent="0.3">
      <c r="A32" s="409" t="s">
        <v>18</v>
      </c>
      <c r="B32" s="409">
        <v>10</v>
      </c>
      <c r="C32" s="409">
        <v>9</v>
      </c>
      <c r="D32" s="409">
        <v>8</v>
      </c>
      <c r="E32" s="409">
        <v>7</v>
      </c>
      <c r="F32" s="409">
        <v>6</v>
      </c>
      <c r="G32" s="409">
        <v>5</v>
      </c>
      <c r="H32" s="409">
        <v>4</v>
      </c>
      <c r="I32" s="409">
        <v>3</v>
      </c>
      <c r="J32" s="409">
        <v>2</v>
      </c>
      <c r="K32" s="409">
        <v>1</v>
      </c>
      <c r="L32" s="409">
        <v>0</v>
      </c>
      <c r="M32" s="409"/>
      <c r="N32" s="410"/>
    </row>
    <row r="33" spans="1:14" ht="83.4" x14ac:dyDescent="0.3">
      <c r="A33" s="411" t="s">
        <v>185</v>
      </c>
      <c r="B33" s="412">
        <v>45572</v>
      </c>
      <c r="C33" s="412">
        <v>45579</v>
      </c>
      <c r="D33" s="412">
        <v>45586</v>
      </c>
      <c r="E33" s="412">
        <v>45593</v>
      </c>
      <c r="F33" s="412">
        <v>45600</v>
      </c>
      <c r="G33" s="412">
        <v>45607</v>
      </c>
      <c r="H33" s="412">
        <v>45614</v>
      </c>
      <c r="I33" s="412">
        <v>45621</v>
      </c>
      <c r="J33" s="412">
        <v>45628</v>
      </c>
      <c r="K33" s="412">
        <v>45635</v>
      </c>
      <c r="L33" s="412">
        <v>45642</v>
      </c>
      <c r="M33" s="413" t="s">
        <v>125</v>
      </c>
      <c r="N33" s="414" t="s">
        <v>164</v>
      </c>
    </row>
    <row r="34" spans="1:14" x14ac:dyDescent="0.3">
      <c r="A34" s="409" t="s">
        <v>194</v>
      </c>
      <c r="B34" s="415">
        <v>261</v>
      </c>
      <c r="C34" s="415">
        <v>267</v>
      </c>
      <c r="D34" s="415">
        <v>297</v>
      </c>
      <c r="E34" s="415">
        <v>341</v>
      </c>
      <c r="F34" s="415">
        <v>395</v>
      </c>
      <c r="G34" s="415">
        <v>447</v>
      </c>
      <c r="H34" s="415">
        <v>602</v>
      </c>
      <c r="I34" s="415">
        <v>693</v>
      </c>
      <c r="J34" s="415">
        <v>750</v>
      </c>
      <c r="K34" s="415">
        <v>932</v>
      </c>
      <c r="L34" s="415">
        <v>1069</v>
      </c>
      <c r="M34" s="415">
        <v>1446</v>
      </c>
      <c r="N34" s="422">
        <v>0.78969999999999996</v>
      </c>
    </row>
    <row r="35" spans="1:14" x14ac:dyDescent="0.3">
      <c r="A35" s="409" t="s">
        <v>195</v>
      </c>
      <c r="B35" s="415">
        <v>206</v>
      </c>
      <c r="C35" s="415">
        <v>216</v>
      </c>
      <c r="D35" s="415">
        <v>256</v>
      </c>
      <c r="E35" s="415">
        <v>310</v>
      </c>
      <c r="F35" s="415">
        <v>370</v>
      </c>
      <c r="G35" s="415">
        <v>432</v>
      </c>
      <c r="H35" s="415">
        <v>509</v>
      </c>
      <c r="I35" s="415">
        <v>605</v>
      </c>
      <c r="J35" s="415">
        <v>732</v>
      </c>
      <c r="K35" s="415">
        <v>848</v>
      </c>
      <c r="L35" s="415">
        <v>1052</v>
      </c>
      <c r="M35" s="415">
        <v>1476</v>
      </c>
      <c r="N35" s="416">
        <v>0.87409999999999999</v>
      </c>
    </row>
    <row r="36" spans="1:14" x14ac:dyDescent="0.3">
      <c r="A36" s="409" t="s">
        <v>196</v>
      </c>
      <c r="B36" s="415">
        <v>349</v>
      </c>
      <c r="C36" s="415">
        <v>398</v>
      </c>
      <c r="D36" s="415">
        <v>427</v>
      </c>
      <c r="E36" s="415">
        <v>464</v>
      </c>
      <c r="F36" s="415">
        <v>526</v>
      </c>
      <c r="G36" s="415">
        <v>606</v>
      </c>
      <c r="H36" s="415">
        <v>670</v>
      </c>
      <c r="I36" s="415">
        <v>745</v>
      </c>
      <c r="J36" s="415">
        <v>848</v>
      </c>
      <c r="K36" s="415">
        <v>1034</v>
      </c>
      <c r="L36" s="415">
        <v>1180</v>
      </c>
      <c r="M36" s="415">
        <v>1476</v>
      </c>
      <c r="N36" s="416">
        <v>0.89339999999999997</v>
      </c>
    </row>
    <row r="37" spans="1:14" x14ac:dyDescent="0.3">
      <c r="A37" s="409" t="s">
        <v>197</v>
      </c>
      <c r="B37" s="415">
        <v>276</v>
      </c>
      <c r="C37" s="415">
        <v>294</v>
      </c>
      <c r="D37" s="415">
        <v>340</v>
      </c>
      <c r="E37" s="415">
        <v>375</v>
      </c>
      <c r="F37" s="415">
        <v>400</v>
      </c>
      <c r="G37" s="415">
        <v>480</v>
      </c>
      <c r="H37" s="415">
        <v>584</v>
      </c>
      <c r="I37" s="415">
        <v>715</v>
      </c>
      <c r="J37" s="415">
        <v>844</v>
      </c>
      <c r="K37" s="415">
        <v>995</v>
      </c>
      <c r="L37" s="415">
        <v>1184</v>
      </c>
      <c r="M37" s="415">
        <v>1476</v>
      </c>
      <c r="N37" s="416">
        <v>0.95909999999999995</v>
      </c>
    </row>
    <row r="38" spans="1:14" x14ac:dyDescent="0.3">
      <c r="A38" s="409" t="s">
        <v>198</v>
      </c>
      <c r="B38" s="415">
        <v>302</v>
      </c>
      <c r="C38" s="415">
        <v>336</v>
      </c>
      <c r="D38" s="415">
        <v>363</v>
      </c>
      <c r="E38" s="415">
        <v>411</v>
      </c>
      <c r="F38" s="415">
        <v>486</v>
      </c>
      <c r="G38" s="415">
        <v>624</v>
      </c>
      <c r="H38" s="415">
        <v>730</v>
      </c>
      <c r="I38" s="415">
        <v>857</v>
      </c>
      <c r="J38" s="415">
        <v>986</v>
      </c>
      <c r="K38" s="415">
        <v>1089</v>
      </c>
      <c r="L38" s="415">
        <v>1104</v>
      </c>
      <c r="M38" s="415">
        <v>1168</v>
      </c>
      <c r="N38" s="416">
        <v>0.94120000000000004</v>
      </c>
    </row>
    <row r="39" spans="1:14" x14ac:dyDescent="0.3">
      <c r="A39" s="409" t="s">
        <v>199</v>
      </c>
      <c r="B39" s="415">
        <v>174</v>
      </c>
      <c r="C39" s="415">
        <v>185</v>
      </c>
      <c r="D39" s="415">
        <v>210</v>
      </c>
      <c r="E39" s="415">
        <v>260</v>
      </c>
      <c r="F39" s="415">
        <v>296</v>
      </c>
      <c r="G39" s="415">
        <v>377</v>
      </c>
      <c r="H39" s="415">
        <v>492</v>
      </c>
      <c r="I39" s="415">
        <v>582</v>
      </c>
      <c r="J39" s="415">
        <v>677</v>
      </c>
      <c r="K39" s="415">
        <v>833</v>
      </c>
      <c r="L39" s="415">
        <v>1079</v>
      </c>
      <c r="M39" s="415">
        <v>1476</v>
      </c>
      <c r="N39" s="416">
        <v>0.97509999999999997</v>
      </c>
    </row>
    <row r="40" spans="1:14" x14ac:dyDescent="0.3">
      <c r="A40" s="409"/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 t="s">
        <v>134</v>
      </c>
      <c r="N40" s="410"/>
    </row>
    <row r="41" spans="1:14" x14ac:dyDescent="0.3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17">
        <v>0.85</v>
      </c>
      <c r="N41" s="410"/>
    </row>
    <row r="43" spans="1:14" x14ac:dyDescent="0.3">
      <c r="A43" s="409" t="s">
        <v>18</v>
      </c>
      <c r="B43" s="409">
        <v>10</v>
      </c>
      <c r="C43" s="409">
        <v>9</v>
      </c>
      <c r="D43" s="409">
        <v>8</v>
      </c>
      <c r="E43" s="409">
        <v>7</v>
      </c>
      <c r="F43" s="409">
        <v>6</v>
      </c>
      <c r="G43" s="409">
        <v>5</v>
      </c>
      <c r="H43" s="409">
        <v>4</v>
      </c>
      <c r="I43" s="409">
        <v>3</v>
      </c>
      <c r="J43" s="409">
        <v>2</v>
      </c>
      <c r="K43" s="409">
        <v>1</v>
      </c>
      <c r="L43" s="409">
        <v>0</v>
      </c>
      <c r="M43" s="409"/>
      <c r="N43" s="418"/>
    </row>
    <row r="44" spans="1:14" ht="83.4" x14ac:dyDescent="0.3">
      <c r="A44" s="411" t="s">
        <v>185</v>
      </c>
      <c r="B44" s="412">
        <v>45201</v>
      </c>
      <c r="C44" s="412">
        <v>45208</v>
      </c>
      <c r="D44" s="412">
        <v>45215</v>
      </c>
      <c r="E44" s="412">
        <v>45222</v>
      </c>
      <c r="F44" s="412">
        <v>45229</v>
      </c>
      <c r="G44" s="412">
        <v>45236</v>
      </c>
      <c r="H44" s="412">
        <v>45243</v>
      </c>
      <c r="I44" s="412">
        <v>45250</v>
      </c>
      <c r="J44" s="412">
        <v>45988</v>
      </c>
      <c r="K44" s="412">
        <v>45995</v>
      </c>
      <c r="L44" s="412">
        <v>46002</v>
      </c>
      <c r="M44" s="413" t="s">
        <v>125</v>
      </c>
      <c r="N44" s="419" t="s">
        <v>164</v>
      </c>
    </row>
    <row r="45" spans="1:14" x14ac:dyDescent="0.3">
      <c r="A45" s="409" t="s">
        <v>200</v>
      </c>
      <c r="B45" s="415">
        <v>279</v>
      </c>
      <c r="C45" s="415">
        <v>293</v>
      </c>
      <c r="D45" s="415">
        <v>309</v>
      </c>
      <c r="E45" s="415">
        <v>348</v>
      </c>
      <c r="F45" s="415">
        <v>410</v>
      </c>
      <c r="G45" s="415">
        <v>485</v>
      </c>
      <c r="H45" s="415">
        <v>540</v>
      </c>
      <c r="I45" s="415">
        <v>608</v>
      </c>
      <c r="J45" s="415">
        <v>674</v>
      </c>
      <c r="K45" s="415">
        <v>793</v>
      </c>
      <c r="L45" s="415">
        <v>912</v>
      </c>
      <c r="M45" s="415">
        <v>1446</v>
      </c>
      <c r="N45" s="422">
        <v>0.76270000000000004</v>
      </c>
    </row>
    <row r="46" spans="1:14" x14ac:dyDescent="0.3">
      <c r="A46" s="409" t="s">
        <v>201</v>
      </c>
      <c r="B46" s="415">
        <v>288</v>
      </c>
      <c r="C46" s="415">
        <v>332</v>
      </c>
      <c r="D46" s="415">
        <v>391</v>
      </c>
      <c r="E46" s="415">
        <v>435</v>
      </c>
      <c r="F46" s="415">
        <v>536</v>
      </c>
      <c r="G46" s="415">
        <v>605</v>
      </c>
      <c r="H46" s="415">
        <v>744</v>
      </c>
      <c r="I46" s="415">
        <v>845</v>
      </c>
      <c r="J46" s="415">
        <v>942</v>
      </c>
      <c r="K46" s="415">
        <v>1068</v>
      </c>
      <c r="L46" s="415">
        <v>1230</v>
      </c>
      <c r="M46" s="415">
        <v>1446</v>
      </c>
      <c r="N46" s="416">
        <v>0.92730000000000001</v>
      </c>
    </row>
    <row r="47" spans="1:14" x14ac:dyDescent="0.3">
      <c r="A47" s="409" t="s">
        <v>202</v>
      </c>
      <c r="B47" s="415">
        <v>506</v>
      </c>
      <c r="C47" s="415">
        <v>529</v>
      </c>
      <c r="D47" s="415">
        <v>575</v>
      </c>
      <c r="E47" s="415">
        <v>625</v>
      </c>
      <c r="F47" s="415">
        <v>741</v>
      </c>
      <c r="G47" s="415">
        <v>835</v>
      </c>
      <c r="H47" s="415">
        <v>972</v>
      </c>
      <c r="I47" s="415">
        <v>1097</v>
      </c>
      <c r="J47" s="415">
        <v>1175</v>
      </c>
      <c r="K47" s="415">
        <v>1315</v>
      </c>
      <c r="L47" s="415">
        <v>1382</v>
      </c>
      <c r="M47" s="415">
        <v>1446</v>
      </c>
      <c r="N47" s="416">
        <v>0.97230000000000005</v>
      </c>
    </row>
    <row r="48" spans="1:14" x14ac:dyDescent="0.3">
      <c r="A48" s="409" t="s">
        <v>203</v>
      </c>
      <c r="B48" s="415">
        <v>396</v>
      </c>
      <c r="C48" s="415">
        <v>417</v>
      </c>
      <c r="D48" s="415">
        <v>462</v>
      </c>
      <c r="E48" s="415">
        <v>520</v>
      </c>
      <c r="F48" s="415">
        <v>554</v>
      </c>
      <c r="G48" s="415">
        <v>619</v>
      </c>
      <c r="H48" s="415">
        <v>806</v>
      </c>
      <c r="I48" s="415">
        <v>887</v>
      </c>
      <c r="J48" s="415">
        <v>965</v>
      </c>
      <c r="K48" s="415">
        <v>1139</v>
      </c>
      <c r="L48" s="415">
        <v>1312</v>
      </c>
      <c r="M48" s="415">
        <v>1446</v>
      </c>
      <c r="N48" s="416">
        <v>0.97640000000000005</v>
      </c>
    </row>
    <row r="49" spans="1:14" x14ac:dyDescent="0.3">
      <c r="A49" s="409" t="s">
        <v>204</v>
      </c>
      <c r="B49" s="415">
        <v>442</v>
      </c>
      <c r="C49" s="415">
        <v>467</v>
      </c>
      <c r="D49" s="415">
        <v>499</v>
      </c>
      <c r="E49" s="415">
        <v>559</v>
      </c>
      <c r="F49" s="415">
        <v>648</v>
      </c>
      <c r="G49" s="415">
        <v>712</v>
      </c>
      <c r="H49" s="415">
        <v>800</v>
      </c>
      <c r="I49" s="415">
        <v>857</v>
      </c>
      <c r="J49" s="415">
        <v>866</v>
      </c>
      <c r="K49" s="415">
        <v>903</v>
      </c>
      <c r="L49" s="415">
        <v>925</v>
      </c>
      <c r="M49" s="415">
        <v>969</v>
      </c>
      <c r="N49" s="416">
        <v>0.99170000000000003</v>
      </c>
    </row>
    <row r="50" spans="1:14" x14ac:dyDescent="0.3">
      <c r="A50" s="409" t="s">
        <v>205</v>
      </c>
      <c r="B50" s="415">
        <v>184</v>
      </c>
      <c r="C50" s="415">
        <v>231</v>
      </c>
      <c r="D50" s="415">
        <v>252</v>
      </c>
      <c r="E50" s="415">
        <v>268</v>
      </c>
      <c r="F50" s="415">
        <v>296</v>
      </c>
      <c r="G50" s="415">
        <v>342</v>
      </c>
      <c r="H50" s="415">
        <v>392</v>
      </c>
      <c r="I50" s="415">
        <v>479</v>
      </c>
      <c r="J50" s="415">
        <v>584</v>
      </c>
      <c r="K50" s="415">
        <v>729</v>
      </c>
      <c r="L50" s="415">
        <v>874</v>
      </c>
      <c r="M50" s="415">
        <v>1446</v>
      </c>
      <c r="N50" s="416">
        <v>0.97019999999999995</v>
      </c>
    </row>
  </sheetData>
  <mergeCells count="3">
    <mergeCell ref="D1:L1"/>
    <mergeCell ref="Q2:T2"/>
    <mergeCell ref="U2:AA2"/>
  </mergeCells>
  <conditionalFormatting sqref="N4:N9">
    <cfRule type="cellIs" dxfId="44" priority="1" stopIfTrue="1" operator="equal">
      <formula>""</formula>
    </cfRule>
    <cfRule type="cellIs" dxfId="43" priority="2" operator="equal">
      <formula>"Too early"</formula>
    </cfRule>
    <cfRule type="cellIs" dxfId="42" priority="3" operator="lessThanOrEqual">
      <formula>0.7</formula>
    </cfRule>
    <cfRule type="cellIs" dxfId="41" priority="4" operator="between">
      <formula>0.85</formula>
      <formula>0.7</formula>
    </cfRule>
    <cfRule type="cellIs" dxfId="40" priority="5" operator="greaterThanOrEqual">
      <formula>0.85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94B3C-D0EE-4800-BAC7-BE44A9EDC830}">
  <sheetPr>
    <tabColor rgb="FFFFFF00"/>
  </sheetPr>
  <dimension ref="A1:W51"/>
  <sheetViews>
    <sheetView topLeftCell="A34" workbookViewId="0">
      <selection activeCell="E23" sqref="E23"/>
    </sheetView>
  </sheetViews>
  <sheetFormatPr defaultColWidth="12.5546875" defaultRowHeight="15.6" x14ac:dyDescent="0.3"/>
  <cols>
    <col min="1" max="2" width="12.5546875" style="83"/>
    <col min="3" max="3" width="12.33203125" style="83" customWidth="1"/>
    <col min="4" max="4" width="9.44140625" style="83" bestFit="1" customWidth="1"/>
    <col min="5" max="5" width="12.6640625" style="83" customWidth="1"/>
    <col min="6" max="6" width="12.33203125" style="83" customWidth="1"/>
    <col min="7" max="7" width="11.5546875" style="83" customWidth="1"/>
    <col min="8" max="8" width="15.33203125" style="83" customWidth="1"/>
    <col min="9" max="9" width="12.33203125" style="83" customWidth="1"/>
    <col min="10" max="10" width="9.44140625" style="83" bestFit="1" customWidth="1"/>
    <col min="11" max="11" width="12.6640625" style="83" customWidth="1"/>
    <col min="12" max="12" width="16" style="83" customWidth="1"/>
    <col min="13" max="13" width="3.33203125" style="83" customWidth="1"/>
    <col min="14" max="14" width="11.109375" style="83" customWidth="1"/>
    <col min="15" max="15" width="9.109375" style="83"/>
    <col min="16" max="16" width="12.88671875" style="83" customWidth="1"/>
    <col min="17" max="17" width="14.44140625" style="83" bestFit="1" customWidth="1"/>
    <col min="18" max="18" width="17.6640625" style="83" bestFit="1" customWidth="1"/>
    <col min="19" max="19" width="9.109375" style="83"/>
    <col min="20" max="20" width="15.5546875" style="83" bestFit="1" customWidth="1"/>
    <col min="21" max="21" width="12.33203125" style="83" customWidth="1"/>
    <col min="22" max="22" width="9.109375" style="83"/>
    <col min="23" max="23" width="14.88671875" style="83" bestFit="1" customWidth="1"/>
    <col min="24" max="16384" width="12.5546875" style="83"/>
  </cols>
  <sheetData>
    <row r="1" spans="1:23" x14ac:dyDescent="0.3">
      <c r="B1" s="83" t="s">
        <v>206</v>
      </c>
      <c r="E1" s="84" t="s">
        <v>3</v>
      </c>
      <c r="F1" s="84"/>
      <c r="G1" s="84"/>
      <c r="J1" s="372" t="s">
        <v>207</v>
      </c>
      <c r="K1" s="372"/>
    </row>
    <row r="2" spans="1:23" x14ac:dyDescent="0.3">
      <c r="B2" s="83" t="s">
        <v>208</v>
      </c>
      <c r="E2" s="85" t="s">
        <v>209</v>
      </c>
      <c r="F2" s="86"/>
      <c r="G2" s="86"/>
      <c r="J2" s="87" t="s">
        <v>210</v>
      </c>
      <c r="K2" s="87"/>
      <c r="N2" s="137" t="s">
        <v>62</v>
      </c>
      <c r="S2" s="520" t="s">
        <v>211</v>
      </c>
      <c r="T2" s="520"/>
    </row>
    <row r="3" spans="1:23" x14ac:dyDescent="0.3">
      <c r="E3" s="88" t="s">
        <v>212</v>
      </c>
      <c r="F3" s="89"/>
      <c r="G3" s="89"/>
      <c r="J3" s="90" t="s">
        <v>213</v>
      </c>
      <c r="K3" s="90"/>
      <c r="N3" s="91">
        <v>0.72</v>
      </c>
      <c r="O3" s="83" t="s">
        <v>214</v>
      </c>
      <c r="S3" s="83" t="s">
        <v>215</v>
      </c>
      <c r="T3" s="83" t="s">
        <v>216</v>
      </c>
    </row>
    <row r="4" spans="1:23" x14ac:dyDescent="0.3">
      <c r="O4" s="92">
        <f>O8/S8*S4</f>
        <v>190.76951550216057</v>
      </c>
      <c r="P4" s="93">
        <f>P8/O8*O4</f>
        <v>67934.778672760774</v>
      </c>
      <c r="Q4" s="92">
        <f>Q8/S8*S4</f>
        <v>2954.7347372317399</v>
      </c>
      <c r="R4" s="93">
        <f>R8/Q8*Q4</f>
        <v>1567065.2213272392</v>
      </c>
      <c r="S4" s="276">
        <f>T4/(T8/S8)</f>
        <v>3145.5042527339006</v>
      </c>
      <c r="T4" s="277">
        <v>1635000</v>
      </c>
      <c r="U4" s="278" t="s">
        <v>217</v>
      </c>
    </row>
    <row r="5" spans="1:23" x14ac:dyDescent="0.3">
      <c r="B5" s="137" t="s">
        <v>218</v>
      </c>
      <c r="O5" s="92">
        <f>O9/S9*S5</f>
        <v>8.670865068310464</v>
      </c>
      <c r="P5" s="93">
        <f>P9/O9*O5</f>
        <v>2639.154412273163</v>
      </c>
      <c r="Q5" s="92">
        <f>Q9/S9*S5</f>
        <v>267.83338766558995</v>
      </c>
      <c r="R5" s="93">
        <f>R9/Q9*Q5</f>
        <v>147753.14647976376</v>
      </c>
      <c r="S5" s="92">
        <f>T5/(T8/S8)</f>
        <v>276.50425273390039</v>
      </c>
      <c r="T5" s="93">
        <f>T4-T8</f>
        <v>143724</v>
      </c>
      <c r="U5" s="83" t="s">
        <v>219</v>
      </c>
      <c r="W5" s="94"/>
    </row>
    <row r="6" spans="1:23" x14ac:dyDescent="0.3">
      <c r="C6" s="521" t="s">
        <v>220</v>
      </c>
      <c r="D6" s="521"/>
      <c r="E6" s="521"/>
      <c r="F6" s="521" t="s">
        <v>221</v>
      </c>
      <c r="G6" s="521"/>
      <c r="H6" s="521"/>
      <c r="I6" s="521" t="s">
        <v>217</v>
      </c>
      <c r="J6" s="521"/>
      <c r="K6" s="521"/>
      <c r="N6" s="137" t="s">
        <v>222</v>
      </c>
      <c r="W6" s="94"/>
    </row>
    <row r="7" spans="1:23" x14ac:dyDescent="0.3">
      <c r="A7" s="83" t="s">
        <v>223</v>
      </c>
      <c r="C7" s="95" t="s">
        <v>224</v>
      </c>
      <c r="D7" s="95" t="s">
        <v>225</v>
      </c>
      <c r="E7" s="95" t="s">
        <v>226</v>
      </c>
      <c r="F7" s="95" t="s">
        <v>224</v>
      </c>
      <c r="G7" s="95" t="s">
        <v>225</v>
      </c>
      <c r="H7" s="95" t="s">
        <v>226</v>
      </c>
      <c r="I7" s="95" t="s">
        <v>224</v>
      </c>
      <c r="J7" s="95" t="s">
        <v>225</v>
      </c>
      <c r="K7" s="95" t="s">
        <v>226</v>
      </c>
      <c r="L7" s="96" t="s">
        <v>227</v>
      </c>
      <c r="O7" s="83" t="s">
        <v>228</v>
      </c>
      <c r="P7" s="83" t="s">
        <v>229</v>
      </c>
      <c r="Q7" s="83" t="s">
        <v>230</v>
      </c>
      <c r="R7" s="83" t="s">
        <v>231</v>
      </c>
      <c r="S7" s="83" t="s">
        <v>232</v>
      </c>
      <c r="T7" s="83" t="s">
        <v>233</v>
      </c>
      <c r="U7" s="96" t="s">
        <v>234</v>
      </c>
    </row>
    <row r="8" spans="1:23" s="97" customFormat="1" x14ac:dyDescent="0.3">
      <c r="A8" s="97" t="s">
        <v>235</v>
      </c>
      <c r="I8" s="98">
        <f>I16</f>
        <v>2456</v>
      </c>
      <c r="J8" s="98"/>
      <c r="K8" s="99">
        <f>K16</f>
        <v>1408430</v>
      </c>
      <c r="L8" s="100"/>
      <c r="N8" s="97" t="s">
        <v>236</v>
      </c>
      <c r="O8" s="101">
        <f>O21</f>
        <v>174</v>
      </c>
      <c r="P8" s="102">
        <f t="shared" ref="P8:T8" si="0">P21</f>
        <v>61963</v>
      </c>
      <c r="Q8" s="101">
        <f t="shared" si="0"/>
        <v>2695</v>
      </c>
      <c r="R8" s="102">
        <f t="shared" si="0"/>
        <v>1429313</v>
      </c>
      <c r="S8" s="101">
        <f t="shared" si="0"/>
        <v>2869</v>
      </c>
      <c r="T8" s="102">
        <f t="shared" si="0"/>
        <v>1491276</v>
      </c>
      <c r="U8" s="103"/>
      <c r="W8" s="98"/>
    </row>
    <row r="9" spans="1:23" x14ac:dyDescent="0.3">
      <c r="A9" s="83">
        <v>1</v>
      </c>
      <c r="B9" s="104">
        <v>45747</v>
      </c>
      <c r="C9" s="105">
        <v>30</v>
      </c>
      <c r="D9" s="106">
        <f>C9/'Sales Pacing'!B3</f>
        <v>713.33333333333337</v>
      </c>
      <c r="E9" s="107">
        <v>16220</v>
      </c>
      <c r="F9" s="105">
        <v>898</v>
      </c>
      <c r="G9" s="106">
        <f>F9/'Sales Pacing'!E3</f>
        <v>3554.0218281036837</v>
      </c>
      <c r="H9" s="107">
        <v>527973</v>
      </c>
      <c r="I9" s="108">
        <f>C9+F9</f>
        <v>928</v>
      </c>
      <c r="J9" s="106">
        <f>D9+G9</f>
        <v>4267.3551614370172</v>
      </c>
      <c r="K9" s="109">
        <f>E9+H9</f>
        <v>544193</v>
      </c>
      <c r="L9" s="110"/>
      <c r="N9" s="104">
        <v>45383</v>
      </c>
      <c r="O9" s="108">
        <v>27</v>
      </c>
      <c r="P9" s="109">
        <v>8218</v>
      </c>
      <c r="Q9" s="108">
        <v>834</v>
      </c>
      <c r="R9" s="109">
        <v>460085</v>
      </c>
      <c r="S9" s="108">
        <f t="shared" ref="S9:T21" si="1">O9+Q9</f>
        <v>861</v>
      </c>
      <c r="T9" s="109">
        <f t="shared" si="1"/>
        <v>468303</v>
      </c>
      <c r="U9" s="96"/>
    </row>
    <row r="10" spans="1:23" x14ac:dyDescent="0.3">
      <c r="A10" s="83">
        <v>2</v>
      </c>
      <c r="B10" s="104">
        <v>45754</v>
      </c>
      <c r="C10" s="105">
        <v>39</v>
      </c>
      <c r="D10" s="106">
        <f>C10/'Sales Pacing'!B4</f>
        <v>642</v>
      </c>
      <c r="E10" s="107">
        <v>21024</v>
      </c>
      <c r="F10" s="105">
        <v>1136</v>
      </c>
      <c r="G10" s="106">
        <f>F10/'Sales Pacing'!E4</f>
        <v>3593.8233369683753</v>
      </c>
      <c r="H10" s="107">
        <v>652031</v>
      </c>
      <c r="I10" s="108">
        <f t="shared" ref="I10:K21" si="2">C10+F10</f>
        <v>1175</v>
      </c>
      <c r="J10" s="106">
        <f t="shared" si="2"/>
        <v>4235.8233369683749</v>
      </c>
      <c r="K10" s="109">
        <f t="shared" si="2"/>
        <v>673055</v>
      </c>
      <c r="L10" s="110">
        <f t="shared" ref="L10:L15" si="3">IF(K10&gt;0,K10-K9,0)</f>
        <v>128862</v>
      </c>
      <c r="N10" s="104">
        <f t="shared" ref="N10:N20" si="4">N9+7</f>
        <v>45390</v>
      </c>
      <c r="O10" s="108">
        <v>32</v>
      </c>
      <c r="P10" s="109">
        <v>12068</v>
      </c>
      <c r="Q10" s="108">
        <v>1194</v>
      </c>
      <c r="R10" s="109">
        <v>655718</v>
      </c>
      <c r="S10" s="108">
        <f t="shared" si="1"/>
        <v>1226</v>
      </c>
      <c r="T10" s="109">
        <f t="shared" si="1"/>
        <v>667786</v>
      </c>
      <c r="U10" s="110">
        <f t="shared" ref="U10:U21" si="5">IF(T10&gt;0,T10-T9,0)</f>
        <v>199483</v>
      </c>
    </row>
    <row r="11" spans="1:23" x14ac:dyDescent="0.3">
      <c r="A11" s="83">
        <v>3</v>
      </c>
      <c r="B11" s="104">
        <v>45761</v>
      </c>
      <c r="C11" s="105">
        <v>50</v>
      </c>
      <c r="D11" s="106">
        <f>C11/'Sales Pacing'!B5</f>
        <v>455.31914893617022</v>
      </c>
      <c r="E11" s="107">
        <v>27424</v>
      </c>
      <c r="F11" s="105">
        <v>1387</v>
      </c>
      <c r="G11" s="106">
        <f>F11/'Sales Pacing'!E5</f>
        <v>3529.5499999999997</v>
      </c>
      <c r="H11" s="107">
        <v>817109</v>
      </c>
      <c r="I11" s="108">
        <f t="shared" si="2"/>
        <v>1437</v>
      </c>
      <c r="J11" s="106">
        <f t="shared" si="2"/>
        <v>3984.8691489361699</v>
      </c>
      <c r="K11" s="109">
        <f t="shared" si="2"/>
        <v>844533</v>
      </c>
      <c r="L11" s="110">
        <f t="shared" si="3"/>
        <v>171478</v>
      </c>
      <c r="N11" s="104">
        <f t="shared" si="4"/>
        <v>45397</v>
      </c>
      <c r="O11" s="108">
        <v>36</v>
      </c>
      <c r="P11" s="109">
        <v>13657</v>
      </c>
      <c r="Q11" s="108">
        <v>1434</v>
      </c>
      <c r="R11" s="109">
        <v>789833</v>
      </c>
      <c r="S11" s="108">
        <f t="shared" si="1"/>
        <v>1470</v>
      </c>
      <c r="T11" s="109">
        <f t="shared" si="1"/>
        <v>803490</v>
      </c>
      <c r="U11" s="110">
        <f t="shared" si="5"/>
        <v>135704</v>
      </c>
      <c r="W11" s="111"/>
    </row>
    <row r="12" spans="1:23" x14ac:dyDescent="0.3">
      <c r="A12" s="83">
        <v>4</v>
      </c>
      <c r="B12" s="104">
        <v>45768</v>
      </c>
      <c r="C12" s="105">
        <v>76</v>
      </c>
      <c r="D12" s="106">
        <f>C12/'Sales Pacing'!B6</f>
        <v>591.41818181818189</v>
      </c>
      <c r="E12" s="107">
        <v>40984</v>
      </c>
      <c r="F12" s="105">
        <v>1739</v>
      </c>
      <c r="G12" s="106">
        <f>F12/'Sales Pacing'!E6</f>
        <v>3653.0333091962348</v>
      </c>
      <c r="H12" s="107">
        <v>1005395</v>
      </c>
      <c r="I12" s="108">
        <f t="shared" si="2"/>
        <v>1815</v>
      </c>
      <c r="J12" s="106">
        <f t="shared" si="2"/>
        <v>4244.4514910144171</v>
      </c>
      <c r="K12" s="109">
        <f t="shared" si="2"/>
        <v>1046379</v>
      </c>
      <c r="L12" s="110">
        <f t="shared" si="3"/>
        <v>201846</v>
      </c>
      <c r="N12" s="104">
        <f t="shared" si="4"/>
        <v>45404</v>
      </c>
      <c r="O12" s="108">
        <v>45</v>
      </c>
      <c r="P12" s="109">
        <v>17584</v>
      </c>
      <c r="Q12" s="108">
        <v>1789</v>
      </c>
      <c r="R12" s="109">
        <v>976040</v>
      </c>
      <c r="S12" s="108">
        <f t="shared" si="1"/>
        <v>1834</v>
      </c>
      <c r="T12" s="109">
        <f t="shared" si="1"/>
        <v>993624</v>
      </c>
      <c r="U12" s="110">
        <f t="shared" si="5"/>
        <v>190134</v>
      </c>
    </row>
    <row r="13" spans="1:23" x14ac:dyDescent="0.3">
      <c r="A13" s="86">
        <v>5</v>
      </c>
      <c r="B13" s="104">
        <f t="shared" ref="B13:B20" si="6">B12+7</f>
        <v>45775</v>
      </c>
      <c r="C13" s="105">
        <v>112</v>
      </c>
      <c r="D13" s="106">
        <f>C13/'Sales Pacing'!B7</f>
        <v>684.80000000000007</v>
      </c>
      <c r="E13" s="107">
        <v>54163</v>
      </c>
      <c r="F13" s="105">
        <v>2160</v>
      </c>
      <c r="G13" s="106">
        <f>F13/'Sales Pacing'!E7</f>
        <v>3788.4885126964932</v>
      </c>
      <c r="H13" s="107">
        <v>1232817</v>
      </c>
      <c r="I13" s="112">
        <f t="shared" si="2"/>
        <v>2272</v>
      </c>
      <c r="J13" s="106">
        <f t="shared" si="2"/>
        <v>4473.2885126964929</v>
      </c>
      <c r="K13" s="109">
        <f t="shared" si="2"/>
        <v>1286980</v>
      </c>
      <c r="L13" s="110">
        <f t="shared" si="3"/>
        <v>240601</v>
      </c>
      <c r="N13" s="104">
        <f t="shared" si="4"/>
        <v>45411</v>
      </c>
      <c r="O13" s="108">
        <v>47</v>
      </c>
      <c r="P13" s="109">
        <v>17987</v>
      </c>
      <c r="Q13" s="108">
        <v>2005</v>
      </c>
      <c r="R13" s="109">
        <v>1080463</v>
      </c>
      <c r="S13" s="108">
        <f t="shared" si="1"/>
        <v>2052</v>
      </c>
      <c r="T13" s="109">
        <f t="shared" si="1"/>
        <v>1098450</v>
      </c>
      <c r="U13" s="110">
        <f t="shared" si="5"/>
        <v>104826</v>
      </c>
    </row>
    <row r="14" spans="1:23" x14ac:dyDescent="0.3">
      <c r="A14" s="83">
        <v>6</v>
      </c>
      <c r="B14" s="104">
        <f t="shared" si="6"/>
        <v>45782</v>
      </c>
      <c r="C14" s="105">
        <v>121</v>
      </c>
      <c r="D14" s="106">
        <f>C14/'Sales Pacing'!B8</f>
        <v>533.89690721649481</v>
      </c>
      <c r="E14" s="107">
        <v>58153</v>
      </c>
      <c r="F14" s="105">
        <v>2252</v>
      </c>
      <c r="G14" s="106">
        <f>F14/'Sales Pacing'!E8</f>
        <v>3121.3817486860971</v>
      </c>
      <c r="H14" s="107">
        <v>1294295</v>
      </c>
      <c r="I14" s="113">
        <f t="shared" si="2"/>
        <v>2373</v>
      </c>
      <c r="J14" s="106">
        <f t="shared" si="2"/>
        <v>3655.2786559025917</v>
      </c>
      <c r="K14" s="114">
        <f t="shared" si="2"/>
        <v>1352448</v>
      </c>
      <c r="L14" s="110">
        <f t="shared" si="3"/>
        <v>65468</v>
      </c>
      <c r="N14" s="104">
        <f t="shared" si="4"/>
        <v>45418</v>
      </c>
      <c r="O14" s="108">
        <v>70</v>
      </c>
      <c r="P14" s="109">
        <v>26832</v>
      </c>
      <c r="Q14" s="108">
        <v>2362</v>
      </c>
      <c r="R14" s="109">
        <v>1271615</v>
      </c>
      <c r="S14" s="108">
        <f t="shared" si="1"/>
        <v>2432</v>
      </c>
      <c r="T14" s="109">
        <f t="shared" si="1"/>
        <v>1298447</v>
      </c>
      <c r="U14" s="110">
        <f t="shared" si="5"/>
        <v>199997</v>
      </c>
    </row>
    <row r="15" spans="1:23" x14ac:dyDescent="0.3">
      <c r="A15" s="83">
        <v>7</v>
      </c>
      <c r="B15" s="104">
        <f t="shared" si="6"/>
        <v>45789</v>
      </c>
      <c r="C15" s="105">
        <v>122</v>
      </c>
      <c r="D15" s="106">
        <f>C15/'Sales Pacing'!B9</f>
        <v>404.77519379844961</v>
      </c>
      <c r="E15" s="107">
        <v>59763</v>
      </c>
      <c r="F15" s="105">
        <v>2293</v>
      </c>
      <c r="G15" s="106">
        <f>F15/'Sales Pacing'!E9</f>
        <v>2534.0925714285713</v>
      </c>
      <c r="H15" s="107">
        <v>1322554</v>
      </c>
      <c r="I15" s="113">
        <f t="shared" si="2"/>
        <v>2415</v>
      </c>
      <c r="J15" s="106">
        <f t="shared" si="2"/>
        <v>2938.8677652270208</v>
      </c>
      <c r="K15" s="114">
        <f t="shared" si="2"/>
        <v>1382317</v>
      </c>
      <c r="L15" s="110">
        <f t="shared" si="3"/>
        <v>29869</v>
      </c>
      <c r="N15" s="104">
        <f t="shared" si="4"/>
        <v>45425</v>
      </c>
      <c r="O15" s="108">
        <v>76</v>
      </c>
      <c r="P15" s="109">
        <v>28802</v>
      </c>
      <c r="Q15" s="108">
        <v>2443</v>
      </c>
      <c r="R15" s="109">
        <v>1319275</v>
      </c>
      <c r="S15" s="108">
        <f t="shared" si="1"/>
        <v>2519</v>
      </c>
      <c r="T15" s="109">
        <f t="shared" si="1"/>
        <v>1348077</v>
      </c>
      <c r="U15" s="110">
        <f t="shared" si="5"/>
        <v>49630</v>
      </c>
    </row>
    <row r="16" spans="1:23" x14ac:dyDescent="0.3">
      <c r="A16" s="83">
        <v>8</v>
      </c>
      <c r="B16" s="104">
        <f t="shared" si="6"/>
        <v>45796</v>
      </c>
      <c r="C16" s="84">
        <v>134</v>
      </c>
      <c r="D16" s="106">
        <f>C16/'Sales Pacing'!B10</f>
        <v>382.34666666666669</v>
      </c>
      <c r="E16" s="115">
        <v>63528</v>
      </c>
      <c r="F16" s="116">
        <v>2322</v>
      </c>
      <c r="G16" s="106">
        <f>F16/'Sales Pacing'!E10</f>
        <v>2473.7869996327581</v>
      </c>
      <c r="H16" s="115">
        <v>1344902</v>
      </c>
      <c r="I16" s="113">
        <f t="shared" si="2"/>
        <v>2456</v>
      </c>
      <c r="J16" s="106">
        <f t="shared" si="2"/>
        <v>2856.1336662994249</v>
      </c>
      <c r="K16" s="114">
        <f t="shared" si="2"/>
        <v>1408430</v>
      </c>
      <c r="L16" s="110">
        <f>IF(K16&gt;0,K16-K15,0)</f>
        <v>26113</v>
      </c>
      <c r="N16" s="104">
        <f t="shared" si="4"/>
        <v>45432</v>
      </c>
      <c r="O16" s="108">
        <v>85</v>
      </c>
      <c r="P16" s="109">
        <v>30752</v>
      </c>
      <c r="Q16" s="108">
        <v>2473</v>
      </c>
      <c r="R16" s="109">
        <v>1329297</v>
      </c>
      <c r="S16" s="108">
        <f t="shared" si="1"/>
        <v>2558</v>
      </c>
      <c r="T16" s="109">
        <f t="shared" si="1"/>
        <v>1360049</v>
      </c>
      <c r="U16" s="110">
        <f t="shared" si="5"/>
        <v>11972</v>
      </c>
      <c r="W16" s="92"/>
    </row>
    <row r="17" spans="1:23" x14ac:dyDescent="0.3">
      <c r="A17" s="83">
        <v>9</v>
      </c>
      <c r="B17" s="104">
        <f t="shared" si="6"/>
        <v>45803</v>
      </c>
      <c r="C17" s="84">
        <v>146</v>
      </c>
      <c r="D17" s="106">
        <f>C17/'Sales Pacing'!B11</f>
        <v>369.75147928994079</v>
      </c>
      <c r="E17" s="115">
        <v>67946</v>
      </c>
      <c r="F17" s="116">
        <v>2345</v>
      </c>
      <c r="G17" s="106">
        <f>F17/'Sales Pacing'!E11</f>
        <v>2468.3762699564586</v>
      </c>
      <c r="H17" s="115">
        <v>1357272</v>
      </c>
      <c r="I17" s="113">
        <f t="shared" si="2"/>
        <v>2491</v>
      </c>
      <c r="J17" s="106">
        <f t="shared" si="2"/>
        <v>2838.1277492463996</v>
      </c>
      <c r="K17" s="114">
        <f t="shared" si="2"/>
        <v>1425218</v>
      </c>
      <c r="L17" s="110">
        <f t="shared" ref="L17:L20" si="7">IF(K17&gt;0,K17-K16,0)</f>
        <v>16788</v>
      </c>
      <c r="N17" s="104">
        <f t="shared" si="4"/>
        <v>45439</v>
      </c>
      <c r="O17" s="108">
        <v>91</v>
      </c>
      <c r="P17" s="109">
        <v>32154</v>
      </c>
      <c r="Q17" s="108">
        <v>2513</v>
      </c>
      <c r="R17" s="109">
        <v>1344658</v>
      </c>
      <c r="S17" s="108">
        <f t="shared" si="1"/>
        <v>2604</v>
      </c>
      <c r="T17" s="109">
        <f t="shared" si="1"/>
        <v>1376812</v>
      </c>
      <c r="U17" s="110">
        <f t="shared" si="5"/>
        <v>16763</v>
      </c>
      <c r="W17" s="92"/>
    </row>
    <row r="18" spans="1:23" x14ac:dyDescent="0.3">
      <c r="A18" s="83">
        <v>10</v>
      </c>
      <c r="B18" s="104">
        <f t="shared" si="6"/>
        <v>45810</v>
      </c>
      <c r="C18" s="84">
        <v>165</v>
      </c>
      <c r="D18" s="106">
        <f>C18/'Sales Pacing'!B12</f>
        <v>377.64705882352939</v>
      </c>
      <c r="E18" s="115">
        <v>75744</v>
      </c>
      <c r="F18" s="116">
        <v>2369</v>
      </c>
      <c r="G18" s="106">
        <f>F18/'Sales Pacing'!E12</f>
        <v>2461.4860315186247</v>
      </c>
      <c r="H18" s="115">
        <v>1380368</v>
      </c>
      <c r="I18" s="113">
        <f t="shared" si="2"/>
        <v>2534</v>
      </c>
      <c r="J18" s="106">
        <f t="shared" si="2"/>
        <v>2839.133090342154</v>
      </c>
      <c r="K18" s="114">
        <f t="shared" si="2"/>
        <v>1456112</v>
      </c>
      <c r="L18" s="110">
        <f t="shared" si="7"/>
        <v>30894</v>
      </c>
      <c r="N18" s="104">
        <f t="shared" si="4"/>
        <v>45446</v>
      </c>
      <c r="O18" s="108">
        <v>94</v>
      </c>
      <c r="P18" s="109">
        <v>32854</v>
      </c>
      <c r="Q18" s="108">
        <v>2608</v>
      </c>
      <c r="R18" s="109">
        <v>1391277</v>
      </c>
      <c r="S18" s="108">
        <f t="shared" si="1"/>
        <v>2702</v>
      </c>
      <c r="T18" s="109">
        <f t="shared" si="1"/>
        <v>1424131</v>
      </c>
      <c r="U18" s="110">
        <f t="shared" si="5"/>
        <v>47319</v>
      </c>
      <c r="W18" s="92"/>
    </row>
    <row r="19" spans="1:23" x14ac:dyDescent="0.3">
      <c r="A19" s="89">
        <v>11</v>
      </c>
      <c r="B19" s="104">
        <f t="shared" si="6"/>
        <v>45817</v>
      </c>
      <c r="C19" s="84">
        <v>186</v>
      </c>
      <c r="D19" s="106">
        <f>C19/'Sales Pacing'!B13</f>
        <v>396.05970149253727</v>
      </c>
      <c r="E19" s="115">
        <v>89633</v>
      </c>
      <c r="F19" s="116">
        <v>2384</v>
      </c>
      <c r="G19" s="106">
        <f>F19/'Sales Pacing'!E13</f>
        <v>2469.1124598357728</v>
      </c>
      <c r="H19" s="115">
        <v>1390065</v>
      </c>
      <c r="I19" s="117">
        <f t="shared" si="2"/>
        <v>2570</v>
      </c>
      <c r="J19" s="106">
        <f t="shared" si="2"/>
        <v>2865.1721613283103</v>
      </c>
      <c r="K19" s="114">
        <f t="shared" si="2"/>
        <v>1479698</v>
      </c>
      <c r="L19" s="110">
        <f t="shared" si="7"/>
        <v>23586</v>
      </c>
      <c r="N19" s="104">
        <f t="shared" si="4"/>
        <v>45453</v>
      </c>
      <c r="O19" s="108">
        <v>95</v>
      </c>
      <c r="P19" s="109">
        <v>33169</v>
      </c>
      <c r="Q19" s="108">
        <v>2628</v>
      </c>
      <c r="R19" s="109">
        <v>1398365</v>
      </c>
      <c r="S19" s="108">
        <f t="shared" si="1"/>
        <v>2723</v>
      </c>
      <c r="T19" s="109">
        <f t="shared" si="1"/>
        <v>1431534</v>
      </c>
      <c r="U19" s="110">
        <f t="shared" si="5"/>
        <v>7403</v>
      </c>
      <c r="W19" s="92"/>
    </row>
    <row r="20" spans="1:23" x14ac:dyDescent="0.3">
      <c r="A20" s="83">
        <v>12</v>
      </c>
      <c r="B20" s="104">
        <f t="shared" si="6"/>
        <v>45824</v>
      </c>
      <c r="C20" s="84">
        <v>205</v>
      </c>
      <c r="D20" s="106">
        <f>C20/'Sales Pacing'!B14</f>
        <v>404.33179723502309</v>
      </c>
      <c r="E20" s="115">
        <v>94753</v>
      </c>
      <c r="F20" s="116">
        <v>2413</v>
      </c>
      <c r="G20" s="106">
        <f>F20/'Sales Pacing'!E14</f>
        <v>2491.1434163701065</v>
      </c>
      <c r="H20" s="115">
        <v>1408181</v>
      </c>
      <c r="I20" s="113">
        <f t="shared" si="2"/>
        <v>2618</v>
      </c>
      <c r="J20" s="106">
        <f t="shared" si="2"/>
        <v>2895.4752136051297</v>
      </c>
      <c r="K20" s="114">
        <f t="shared" si="2"/>
        <v>1502934</v>
      </c>
      <c r="L20" s="110">
        <f t="shared" si="7"/>
        <v>23236</v>
      </c>
      <c r="N20" s="104">
        <f t="shared" si="4"/>
        <v>45460</v>
      </c>
      <c r="O20" s="108">
        <v>103</v>
      </c>
      <c r="P20" s="109">
        <v>35745</v>
      </c>
      <c r="Q20" s="108">
        <v>2655</v>
      </c>
      <c r="R20" s="109">
        <v>1411925</v>
      </c>
      <c r="S20" s="108">
        <f t="shared" si="1"/>
        <v>2758</v>
      </c>
      <c r="T20" s="109">
        <f t="shared" si="1"/>
        <v>1447670</v>
      </c>
      <c r="U20" s="110">
        <f t="shared" si="5"/>
        <v>16136</v>
      </c>
      <c r="W20" s="92"/>
    </row>
    <row r="21" spans="1:23" x14ac:dyDescent="0.3">
      <c r="A21" s="118" t="s">
        <v>237</v>
      </c>
      <c r="B21" s="369">
        <v>45922</v>
      </c>
      <c r="C21" s="84">
        <v>320</v>
      </c>
      <c r="D21" s="106">
        <f>C21/'Sales Pacing'!B15</f>
        <v>320</v>
      </c>
      <c r="E21" s="115">
        <v>141042</v>
      </c>
      <c r="F21" s="116">
        <v>2427</v>
      </c>
      <c r="G21" s="106">
        <f>F21/'Sales Pacing'!E15</f>
        <v>2427</v>
      </c>
      <c r="H21" s="115">
        <v>1411610</v>
      </c>
      <c r="I21" s="113">
        <f t="shared" si="2"/>
        <v>2747</v>
      </c>
      <c r="J21" s="106">
        <f t="shared" si="2"/>
        <v>2747</v>
      </c>
      <c r="K21" s="371">
        <f t="shared" si="2"/>
        <v>1552652</v>
      </c>
      <c r="L21" s="110">
        <f>IF(K21&gt;0,K21-K20,0)</f>
        <v>49718</v>
      </c>
      <c r="N21" s="119" t="s">
        <v>238</v>
      </c>
      <c r="O21" s="108">
        <v>174</v>
      </c>
      <c r="P21" s="109">
        <v>61963</v>
      </c>
      <c r="Q21" s="108">
        <v>2695</v>
      </c>
      <c r="R21" s="109">
        <v>1429313</v>
      </c>
      <c r="S21" s="108">
        <f t="shared" si="1"/>
        <v>2869</v>
      </c>
      <c r="T21" s="109">
        <f t="shared" si="1"/>
        <v>1491276</v>
      </c>
      <c r="U21" s="110">
        <f t="shared" si="5"/>
        <v>43606</v>
      </c>
      <c r="W21" s="92"/>
    </row>
    <row r="22" spans="1:23" x14ac:dyDescent="0.3">
      <c r="C22" s="108"/>
      <c r="D22" s="108"/>
      <c r="E22" s="109"/>
      <c r="F22" s="108"/>
      <c r="G22" s="108"/>
      <c r="H22" s="109"/>
      <c r="I22" s="108" t="s">
        <v>239</v>
      </c>
      <c r="J22" s="368">
        <f>J21/$S$4</f>
        <v>0.8733098985997102</v>
      </c>
      <c r="K22" s="243">
        <f>K21/$T$4</f>
        <v>0.94963425076452601</v>
      </c>
      <c r="L22" s="109"/>
      <c r="N22" s="104"/>
      <c r="T22" s="109"/>
    </row>
    <row r="23" spans="1:23" x14ac:dyDescent="0.3">
      <c r="B23" s="83" t="s">
        <v>240</v>
      </c>
      <c r="C23" s="500" t="s">
        <v>241</v>
      </c>
      <c r="D23" s="108"/>
      <c r="E23" s="109"/>
      <c r="F23" s="108"/>
      <c r="G23" s="108"/>
      <c r="H23" s="109"/>
      <c r="I23" s="108"/>
      <c r="J23" s="108"/>
      <c r="K23" s="109"/>
      <c r="L23" s="109"/>
    </row>
    <row r="24" spans="1:23" x14ac:dyDescent="0.3">
      <c r="B24" s="120">
        <f>(1-F21/S8)</f>
        <v>0.15406064830951549</v>
      </c>
      <c r="C24" s="108">
        <f>S8-F21</f>
        <v>442</v>
      </c>
      <c r="D24" s="108"/>
      <c r="E24" s="109" t="s">
        <v>242</v>
      </c>
      <c r="F24" s="108"/>
      <c r="G24" s="108"/>
      <c r="H24" s="109"/>
      <c r="I24" s="108"/>
      <c r="J24" s="108"/>
      <c r="K24" s="243"/>
      <c r="L24" s="109"/>
      <c r="N24" s="137" t="s">
        <v>57</v>
      </c>
      <c r="S24" s="520" t="s">
        <v>243</v>
      </c>
      <c r="T24" s="520"/>
    </row>
    <row r="25" spans="1:23" x14ac:dyDescent="0.3">
      <c r="C25" s="108"/>
      <c r="D25" s="108"/>
      <c r="E25" s="109"/>
      <c r="F25" s="108"/>
      <c r="G25" s="108"/>
      <c r="H25" s="109"/>
      <c r="I25" s="108"/>
      <c r="J25" s="108"/>
      <c r="K25" s="109"/>
      <c r="L25" s="109"/>
      <c r="N25" s="91">
        <v>0.26</v>
      </c>
      <c r="O25" s="83" t="s">
        <v>214</v>
      </c>
      <c r="S25" s="83" t="s">
        <v>215</v>
      </c>
      <c r="T25" s="83" t="s">
        <v>216</v>
      </c>
    </row>
    <row r="26" spans="1:23" x14ac:dyDescent="0.3">
      <c r="C26" s="108"/>
      <c r="D26" s="108"/>
      <c r="E26" s="109"/>
      <c r="F26" s="108"/>
      <c r="G26" s="108"/>
      <c r="H26" s="109"/>
      <c r="I26" s="108"/>
      <c r="J26" s="108"/>
      <c r="K26" s="109"/>
      <c r="L26" s="109"/>
      <c r="O26" s="92">
        <f>O30/S30*S26</f>
        <v>240.07343118412092</v>
      </c>
      <c r="P26" s="93">
        <f>P30/O30*O26</f>
        <v>69318.269023589324</v>
      </c>
      <c r="Q26" s="92">
        <f>Q30/S30*S26</f>
        <v>1547.1398898532236</v>
      </c>
      <c r="R26" s="93">
        <f>R30/Q30*Q26</f>
        <v>549681.73097641056</v>
      </c>
      <c r="S26" s="276">
        <f>T26/(T30/S30)</f>
        <v>1787.2133210373447</v>
      </c>
      <c r="T26" s="277">
        <v>619000</v>
      </c>
      <c r="U26" s="278" t="s">
        <v>217</v>
      </c>
    </row>
    <row r="27" spans="1:23" x14ac:dyDescent="0.3">
      <c r="B27" s="137" t="s">
        <v>244</v>
      </c>
      <c r="O27" s="92">
        <f>O31/S31*S27</f>
        <v>3.2060948867812784</v>
      </c>
      <c r="P27" s="93">
        <f>P31/O31*O27</f>
        <v>1038.7747433171342</v>
      </c>
      <c r="Q27" s="92">
        <f>Q31/S31*S27</f>
        <v>109.00722615056347</v>
      </c>
      <c r="R27" s="93">
        <f>R31/Q31*Q27</f>
        <v>44362.73494839255</v>
      </c>
      <c r="S27" s="92">
        <f>T27/(T30/S30)</f>
        <v>112.21332103734474</v>
      </c>
      <c r="T27" s="93">
        <f>T26-T30</f>
        <v>38865</v>
      </c>
      <c r="U27" s="83" t="s">
        <v>219</v>
      </c>
      <c r="W27" s="94"/>
    </row>
    <row r="28" spans="1:23" x14ac:dyDescent="0.3">
      <c r="C28" s="521" t="s">
        <v>220</v>
      </c>
      <c r="D28" s="521"/>
      <c r="E28" s="521"/>
      <c r="F28" s="521" t="s">
        <v>221</v>
      </c>
      <c r="G28" s="521"/>
      <c r="H28" s="521"/>
      <c r="I28" s="521" t="s">
        <v>217</v>
      </c>
      <c r="J28" s="521"/>
      <c r="K28" s="521"/>
      <c r="N28" s="137" t="s">
        <v>245</v>
      </c>
    </row>
    <row r="29" spans="1:23" x14ac:dyDescent="0.3">
      <c r="C29" s="95" t="s">
        <v>224</v>
      </c>
      <c r="D29" s="95" t="s">
        <v>225</v>
      </c>
      <c r="E29" s="95" t="s">
        <v>226</v>
      </c>
      <c r="F29" s="95" t="s">
        <v>224</v>
      </c>
      <c r="G29" s="95" t="s">
        <v>225</v>
      </c>
      <c r="H29" s="95" t="s">
        <v>226</v>
      </c>
      <c r="I29" s="95" t="s">
        <v>224</v>
      </c>
      <c r="J29" s="95" t="s">
        <v>225</v>
      </c>
      <c r="K29" s="95" t="s">
        <v>226</v>
      </c>
      <c r="L29" s="96" t="s">
        <v>227</v>
      </c>
      <c r="O29" s="83" t="s">
        <v>228</v>
      </c>
      <c r="P29" s="83" t="s">
        <v>229</v>
      </c>
      <c r="Q29" s="83" t="s">
        <v>230</v>
      </c>
      <c r="R29" s="83" t="s">
        <v>231</v>
      </c>
      <c r="S29" s="83" t="s">
        <v>232</v>
      </c>
      <c r="T29" s="83" t="s">
        <v>233</v>
      </c>
      <c r="U29" s="96" t="s">
        <v>234</v>
      </c>
    </row>
    <row r="30" spans="1:23" s="97" customFormat="1" x14ac:dyDescent="0.3">
      <c r="A30" s="97" t="s">
        <v>235</v>
      </c>
      <c r="I30" s="98">
        <f>I38</f>
        <v>1561</v>
      </c>
      <c r="J30" s="98"/>
      <c r="K30" s="99">
        <f>K38</f>
        <v>591188</v>
      </c>
      <c r="L30" s="100"/>
      <c r="N30" s="97" t="s">
        <v>236</v>
      </c>
      <c r="O30" s="101">
        <f>O43</f>
        <v>225</v>
      </c>
      <c r="P30" s="101">
        <f t="shared" ref="P30:T30" si="8">P43</f>
        <v>64966</v>
      </c>
      <c r="Q30" s="101">
        <f t="shared" si="8"/>
        <v>1450</v>
      </c>
      <c r="R30" s="101">
        <f t="shared" si="8"/>
        <v>515169</v>
      </c>
      <c r="S30" s="101">
        <f t="shared" si="8"/>
        <v>1675</v>
      </c>
      <c r="T30" s="101">
        <f t="shared" si="8"/>
        <v>580135</v>
      </c>
      <c r="U30" s="100"/>
    </row>
    <row r="31" spans="1:23" x14ac:dyDescent="0.3">
      <c r="A31" s="83">
        <v>1</v>
      </c>
      <c r="B31" s="104">
        <v>45747</v>
      </c>
      <c r="C31" s="105">
        <v>38</v>
      </c>
      <c r="D31" s="106">
        <f>C31/'Sales Pacing'!C3</f>
        <v>1048.1666666666665</v>
      </c>
      <c r="E31" s="107">
        <v>13163</v>
      </c>
      <c r="F31" s="105">
        <v>636</v>
      </c>
      <c r="G31" s="106">
        <f>F31/'Sales Pacing'!F3</f>
        <v>5546.3926541320507</v>
      </c>
      <c r="H31" s="107">
        <v>258782</v>
      </c>
      <c r="I31" s="108">
        <f t="shared" ref="I31:K43" si="9">C31+F31</f>
        <v>674</v>
      </c>
      <c r="J31" s="106">
        <f t="shared" si="9"/>
        <v>6594.5593207987167</v>
      </c>
      <c r="K31" s="109">
        <f t="shared" si="9"/>
        <v>271945</v>
      </c>
      <c r="L31" s="110"/>
      <c r="N31" s="104">
        <v>45383</v>
      </c>
      <c r="O31" s="108">
        <v>2</v>
      </c>
      <c r="P31" s="109">
        <v>648</v>
      </c>
      <c r="Q31" s="108">
        <v>68</v>
      </c>
      <c r="R31" s="109">
        <v>27674</v>
      </c>
      <c r="S31" s="108">
        <f t="shared" ref="S31:T43" si="10">O31+Q31</f>
        <v>70</v>
      </c>
      <c r="T31" s="109">
        <f t="shared" si="10"/>
        <v>28322</v>
      </c>
      <c r="U31" s="96"/>
    </row>
    <row r="32" spans="1:23" x14ac:dyDescent="0.3">
      <c r="A32" s="83">
        <v>2</v>
      </c>
      <c r="B32" s="104">
        <v>45754</v>
      </c>
      <c r="C32" s="105">
        <v>44</v>
      </c>
      <c r="D32" s="106">
        <f>C32/'Sales Pacing'!C4</f>
        <v>606.83333333333326</v>
      </c>
      <c r="E32" s="107">
        <v>14651</v>
      </c>
      <c r="F32" s="105">
        <v>785</v>
      </c>
      <c r="G32" s="106">
        <f>F32/'Sales Pacing'!F4</f>
        <v>3783.5788739330269</v>
      </c>
      <c r="H32" s="107">
        <v>312531</v>
      </c>
      <c r="I32" s="108">
        <f t="shared" si="9"/>
        <v>829</v>
      </c>
      <c r="J32" s="106">
        <f t="shared" si="9"/>
        <v>4390.4122072663604</v>
      </c>
      <c r="K32" s="109">
        <f t="shared" si="9"/>
        <v>327182</v>
      </c>
      <c r="L32" s="110">
        <f t="shared" ref="L32:L43" si="11">IF(K32&gt;0,K32-K31,0)</f>
        <v>55237</v>
      </c>
      <c r="N32" s="104">
        <f t="shared" ref="N32:N42" si="12">N31+7</f>
        <v>45390</v>
      </c>
      <c r="O32" s="108">
        <v>54</v>
      </c>
      <c r="P32" s="109">
        <v>17576</v>
      </c>
      <c r="Q32" s="108">
        <v>181</v>
      </c>
      <c r="R32" s="109">
        <v>68648</v>
      </c>
      <c r="S32" s="108">
        <f t="shared" si="10"/>
        <v>235</v>
      </c>
      <c r="T32" s="109">
        <f t="shared" si="10"/>
        <v>86224</v>
      </c>
      <c r="U32" s="110">
        <f t="shared" ref="U32:U43" si="13">IF(T32&gt;0,T32-T31,0)</f>
        <v>57902</v>
      </c>
    </row>
    <row r="33" spans="1:23" x14ac:dyDescent="0.3">
      <c r="A33" s="83">
        <v>3</v>
      </c>
      <c r="B33" s="104">
        <v>45761</v>
      </c>
      <c r="C33" s="105">
        <v>54</v>
      </c>
      <c r="D33" s="106">
        <f>C33/'Sales Pacing'!C5</f>
        <v>616.34482758620686</v>
      </c>
      <c r="E33" s="107">
        <v>19061</v>
      </c>
      <c r="F33" s="105">
        <v>893</v>
      </c>
      <c r="G33" s="106">
        <f>F33/'Sales Pacing'!F5</f>
        <v>3135.2144042168406</v>
      </c>
      <c r="H33" s="107">
        <v>353304</v>
      </c>
      <c r="I33" s="108">
        <f t="shared" si="9"/>
        <v>947</v>
      </c>
      <c r="J33" s="106">
        <f t="shared" si="9"/>
        <v>3751.5592318030476</v>
      </c>
      <c r="K33" s="109">
        <f t="shared" si="9"/>
        <v>372365</v>
      </c>
      <c r="L33" s="110">
        <f t="shared" si="11"/>
        <v>45183</v>
      </c>
      <c r="N33" s="104">
        <f t="shared" si="12"/>
        <v>45397</v>
      </c>
      <c r="O33" s="108">
        <v>66</v>
      </c>
      <c r="P33" s="109">
        <v>20302</v>
      </c>
      <c r="Q33" s="108">
        <v>283</v>
      </c>
      <c r="R33" s="109">
        <v>105425</v>
      </c>
      <c r="S33" s="108">
        <f t="shared" si="10"/>
        <v>349</v>
      </c>
      <c r="T33" s="109">
        <f t="shared" si="10"/>
        <v>125727</v>
      </c>
      <c r="U33" s="110">
        <f t="shared" si="13"/>
        <v>39503</v>
      </c>
    </row>
    <row r="34" spans="1:23" x14ac:dyDescent="0.3">
      <c r="A34" s="83">
        <v>4</v>
      </c>
      <c r="B34" s="104">
        <v>45768</v>
      </c>
      <c r="C34" s="105">
        <v>60</v>
      </c>
      <c r="D34" s="106">
        <f>C34/'Sales Pacing'!C6</f>
        <v>484.39024390243907</v>
      </c>
      <c r="E34" s="107">
        <v>20782</v>
      </c>
      <c r="F34" s="105">
        <v>1067</v>
      </c>
      <c r="G34" s="106">
        <f>F34/'Sales Pacing'!F6</f>
        <v>2921.0750410175192</v>
      </c>
      <c r="H34" s="107">
        <v>417996</v>
      </c>
      <c r="I34" s="108">
        <f t="shared" si="9"/>
        <v>1127</v>
      </c>
      <c r="J34" s="106">
        <f t="shared" si="9"/>
        <v>3405.4652849199583</v>
      </c>
      <c r="K34" s="109">
        <f t="shared" si="9"/>
        <v>438778</v>
      </c>
      <c r="L34" s="110">
        <f t="shared" si="11"/>
        <v>66413</v>
      </c>
      <c r="N34" s="104">
        <f t="shared" si="12"/>
        <v>45404</v>
      </c>
      <c r="O34" s="108">
        <v>86</v>
      </c>
      <c r="P34" s="109">
        <v>26557</v>
      </c>
      <c r="Q34" s="108">
        <v>389</v>
      </c>
      <c r="R34" s="109">
        <v>146108</v>
      </c>
      <c r="S34" s="108">
        <f t="shared" si="10"/>
        <v>475</v>
      </c>
      <c r="T34" s="109">
        <f t="shared" si="10"/>
        <v>172665</v>
      </c>
      <c r="U34" s="110">
        <f t="shared" si="13"/>
        <v>46938</v>
      </c>
    </row>
    <row r="35" spans="1:23" x14ac:dyDescent="0.3">
      <c r="A35" s="86">
        <v>5</v>
      </c>
      <c r="B35" s="104">
        <f t="shared" ref="B35:B42" si="14">B34+7</f>
        <v>45775</v>
      </c>
      <c r="C35" s="105">
        <v>118</v>
      </c>
      <c r="D35" s="106">
        <f>C35/'Sales Pacing'!C7</f>
        <v>566.05797101449275</v>
      </c>
      <c r="E35" s="107">
        <v>38918</v>
      </c>
      <c r="F35" s="105">
        <v>1300</v>
      </c>
      <c r="G35" s="106">
        <f>F35/'Sales Pacing'!F7</f>
        <v>2887.9508729012855</v>
      </c>
      <c r="H35" s="107">
        <v>502867</v>
      </c>
      <c r="I35" s="112">
        <f t="shared" si="9"/>
        <v>1418</v>
      </c>
      <c r="J35" s="106">
        <f t="shared" si="9"/>
        <v>3454.008843915778</v>
      </c>
      <c r="K35" s="109">
        <f t="shared" si="9"/>
        <v>541785</v>
      </c>
      <c r="L35" s="110">
        <f t="shared" si="11"/>
        <v>103007</v>
      </c>
      <c r="N35" s="104">
        <f t="shared" si="12"/>
        <v>45411</v>
      </c>
      <c r="O35" s="108">
        <v>86</v>
      </c>
      <c r="P35" s="109">
        <v>26557</v>
      </c>
      <c r="Q35" s="108">
        <v>476</v>
      </c>
      <c r="R35" s="109">
        <v>178054</v>
      </c>
      <c r="S35" s="108">
        <f t="shared" si="10"/>
        <v>562</v>
      </c>
      <c r="T35" s="109">
        <f t="shared" si="10"/>
        <v>204611</v>
      </c>
      <c r="U35" s="110">
        <f t="shared" si="13"/>
        <v>31946</v>
      </c>
    </row>
    <row r="36" spans="1:23" x14ac:dyDescent="0.3">
      <c r="A36" s="83">
        <v>6</v>
      </c>
      <c r="B36" s="104">
        <f t="shared" si="14"/>
        <v>45782</v>
      </c>
      <c r="C36" s="105">
        <v>157</v>
      </c>
      <c r="D36" s="106">
        <f>C36/'Sales Pacing'!C8</f>
        <v>683.77631578947364</v>
      </c>
      <c r="E36" s="107">
        <v>51765</v>
      </c>
      <c r="F36" s="105">
        <v>1358</v>
      </c>
      <c r="G36" s="106">
        <f>F36/'Sales Pacing'!F8</f>
        <v>2121.6397891180291</v>
      </c>
      <c r="H36" s="107">
        <v>522161</v>
      </c>
      <c r="I36" s="108">
        <f t="shared" si="9"/>
        <v>1515</v>
      </c>
      <c r="J36" s="106">
        <f t="shared" si="9"/>
        <v>2805.4161049075028</v>
      </c>
      <c r="K36" s="114">
        <f t="shared" si="9"/>
        <v>573926</v>
      </c>
      <c r="L36" s="110">
        <f t="shared" si="11"/>
        <v>32141</v>
      </c>
      <c r="N36" s="104">
        <f t="shared" si="12"/>
        <v>45418</v>
      </c>
      <c r="O36" s="108">
        <v>98</v>
      </c>
      <c r="P36" s="109">
        <v>31472</v>
      </c>
      <c r="Q36" s="108">
        <v>806</v>
      </c>
      <c r="R36" s="109">
        <v>294720</v>
      </c>
      <c r="S36" s="108">
        <f t="shared" si="10"/>
        <v>904</v>
      </c>
      <c r="T36" s="109">
        <f t="shared" si="10"/>
        <v>326192</v>
      </c>
      <c r="U36" s="110">
        <f t="shared" si="13"/>
        <v>121581</v>
      </c>
    </row>
    <row r="37" spans="1:23" x14ac:dyDescent="0.3">
      <c r="A37" s="83">
        <v>7</v>
      </c>
      <c r="B37" s="104">
        <f t="shared" si="14"/>
        <v>45789</v>
      </c>
      <c r="C37" s="105">
        <v>165</v>
      </c>
      <c r="D37" s="106">
        <f>C37/'Sales Pacing'!C9</f>
        <v>593.64130434782601</v>
      </c>
      <c r="E37" s="107">
        <v>54301</v>
      </c>
      <c r="F37" s="105">
        <v>1365</v>
      </c>
      <c r="G37" s="106">
        <f>F37/'Sales Pacing'!F9</f>
        <v>1717.3750419561941</v>
      </c>
      <c r="H37" s="107">
        <v>525805</v>
      </c>
      <c r="I37" s="108">
        <f t="shared" si="9"/>
        <v>1530</v>
      </c>
      <c r="J37" s="106">
        <f t="shared" si="9"/>
        <v>2311.0163463040199</v>
      </c>
      <c r="K37" s="114">
        <f t="shared" si="9"/>
        <v>580106</v>
      </c>
      <c r="L37" s="110">
        <f t="shared" si="11"/>
        <v>6180</v>
      </c>
      <c r="N37" s="104">
        <f t="shared" si="12"/>
        <v>45425</v>
      </c>
      <c r="O37" s="83">
        <v>113</v>
      </c>
      <c r="P37" s="121">
        <v>36672</v>
      </c>
      <c r="Q37" s="122">
        <v>1031</v>
      </c>
      <c r="R37" s="121">
        <v>372369</v>
      </c>
      <c r="S37" s="108">
        <f t="shared" si="10"/>
        <v>1144</v>
      </c>
      <c r="T37" s="109">
        <f t="shared" si="10"/>
        <v>409041</v>
      </c>
      <c r="U37" s="110">
        <f t="shared" si="13"/>
        <v>82849</v>
      </c>
    </row>
    <row r="38" spans="1:23" x14ac:dyDescent="0.3">
      <c r="A38" s="83">
        <v>8</v>
      </c>
      <c r="B38" s="104">
        <f t="shared" si="14"/>
        <v>45796</v>
      </c>
      <c r="C38" s="116">
        <v>199</v>
      </c>
      <c r="D38" s="106">
        <f>C38/'Sales Pacing'!C10</f>
        <v>639.504854368932</v>
      </c>
      <c r="E38" s="115">
        <v>65018</v>
      </c>
      <c r="F38" s="116">
        <v>1362</v>
      </c>
      <c r="G38" s="106">
        <f>F38/'Sales Pacing'!F10</f>
        <v>1532.8470860296795</v>
      </c>
      <c r="H38" s="115">
        <v>526170</v>
      </c>
      <c r="I38" s="113">
        <f t="shared" si="9"/>
        <v>1561</v>
      </c>
      <c r="J38" s="106">
        <f t="shared" si="9"/>
        <v>2172.3519403986115</v>
      </c>
      <c r="K38" s="114">
        <f t="shared" si="9"/>
        <v>591188</v>
      </c>
      <c r="L38" s="110">
        <f t="shared" si="11"/>
        <v>11082</v>
      </c>
      <c r="N38" s="104">
        <f t="shared" si="12"/>
        <v>45432</v>
      </c>
      <c r="O38" s="108">
        <v>127</v>
      </c>
      <c r="P38" s="121">
        <v>40518</v>
      </c>
      <c r="Q38" s="122">
        <v>1267</v>
      </c>
      <c r="R38" s="121">
        <v>452816</v>
      </c>
      <c r="S38" s="108">
        <f t="shared" si="10"/>
        <v>1394</v>
      </c>
      <c r="T38" s="109">
        <f t="shared" si="10"/>
        <v>493334</v>
      </c>
      <c r="U38" s="110">
        <f t="shared" si="13"/>
        <v>84293</v>
      </c>
      <c r="W38" s="92"/>
    </row>
    <row r="39" spans="1:23" x14ac:dyDescent="0.3">
      <c r="A39" s="83">
        <v>9</v>
      </c>
      <c r="B39" s="104">
        <f t="shared" si="14"/>
        <v>45803</v>
      </c>
      <c r="C39" s="116">
        <v>220</v>
      </c>
      <c r="D39" s="106">
        <f>C39/'Sales Pacing'!C11</f>
        <v>568.90625</v>
      </c>
      <c r="E39" s="115">
        <v>73218</v>
      </c>
      <c r="F39" s="116">
        <v>1368</v>
      </c>
      <c r="G39" s="106">
        <f>F39/'Sales Pacing'!F11</f>
        <v>1451.7935022689851</v>
      </c>
      <c r="H39" s="115">
        <v>531352</v>
      </c>
      <c r="I39" s="108">
        <f t="shared" si="9"/>
        <v>1588</v>
      </c>
      <c r="J39" s="106">
        <f t="shared" si="9"/>
        <v>2020.6997522689851</v>
      </c>
      <c r="K39" s="114">
        <f t="shared" si="9"/>
        <v>604570</v>
      </c>
      <c r="L39" s="110">
        <f t="shared" si="11"/>
        <v>13382</v>
      </c>
      <c r="N39" s="104">
        <f t="shared" si="12"/>
        <v>45439</v>
      </c>
      <c r="O39" s="108">
        <v>160</v>
      </c>
      <c r="P39" s="121">
        <v>48485</v>
      </c>
      <c r="Q39" s="122">
        <v>1395</v>
      </c>
      <c r="R39" s="121">
        <v>497335</v>
      </c>
      <c r="S39" s="108">
        <f t="shared" si="10"/>
        <v>1555</v>
      </c>
      <c r="T39" s="109">
        <f t="shared" si="10"/>
        <v>545820</v>
      </c>
      <c r="U39" s="110">
        <f t="shared" si="13"/>
        <v>52486</v>
      </c>
      <c r="W39" s="92"/>
    </row>
    <row r="40" spans="1:23" x14ac:dyDescent="0.3">
      <c r="A40" s="89">
        <v>10</v>
      </c>
      <c r="B40" s="104">
        <f t="shared" si="14"/>
        <v>45810</v>
      </c>
      <c r="C40" s="116">
        <v>239</v>
      </c>
      <c r="D40" s="106">
        <f>C40/'Sales Pacing'!C12</f>
        <v>557.1056338028169</v>
      </c>
      <c r="E40" s="115">
        <v>80035</v>
      </c>
      <c r="F40" s="116">
        <v>1374</v>
      </c>
      <c r="G40" s="106">
        <f>F40/'Sales Pacing'!F12</f>
        <v>1439.257790435646</v>
      </c>
      <c r="H40" s="115">
        <v>536728</v>
      </c>
      <c r="I40" s="117">
        <f t="shared" si="9"/>
        <v>1613</v>
      </c>
      <c r="J40" s="106">
        <f t="shared" si="9"/>
        <v>1996.3634242384628</v>
      </c>
      <c r="K40" s="114">
        <f t="shared" si="9"/>
        <v>616763</v>
      </c>
      <c r="L40" s="110">
        <f t="shared" si="11"/>
        <v>12193</v>
      </c>
      <c r="N40" s="104">
        <f t="shared" si="12"/>
        <v>45446</v>
      </c>
      <c r="O40" s="122">
        <v>172</v>
      </c>
      <c r="P40" s="109">
        <v>51234</v>
      </c>
      <c r="Q40" s="108">
        <v>1411</v>
      </c>
      <c r="R40" s="109">
        <v>502695</v>
      </c>
      <c r="S40" s="108">
        <f t="shared" si="10"/>
        <v>1583</v>
      </c>
      <c r="T40" s="109">
        <f t="shared" si="10"/>
        <v>553929</v>
      </c>
      <c r="U40" s="110">
        <f t="shared" si="13"/>
        <v>8109</v>
      </c>
    </row>
    <row r="41" spans="1:23" x14ac:dyDescent="0.3">
      <c r="A41" s="83">
        <v>11</v>
      </c>
      <c r="B41" s="104">
        <f t="shared" si="14"/>
        <v>45817</v>
      </c>
      <c r="C41" s="116">
        <v>255</v>
      </c>
      <c r="D41" s="106">
        <f>C41/'Sales Pacing'!C13</f>
        <v>530.84905660377353</v>
      </c>
      <c r="E41" s="115">
        <v>89633</v>
      </c>
      <c r="F41" s="116">
        <v>1407</v>
      </c>
      <c r="G41" s="106">
        <f>F41/'Sales Pacing'!F13</f>
        <v>1457.5734767710057</v>
      </c>
      <c r="H41" s="115">
        <v>540393</v>
      </c>
      <c r="I41" s="108">
        <f t="shared" si="9"/>
        <v>1662</v>
      </c>
      <c r="J41" s="106">
        <f t="shared" si="9"/>
        <v>1988.4225333747793</v>
      </c>
      <c r="K41" s="114">
        <f t="shared" si="9"/>
        <v>630026</v>
      </c>
      <c r="L41" s="110">
        <f t="shared" si="11"/>
        <v>13263</v>
      </c>
      <c r="N41" s="104">
        <f t="shared" si="12"/>
        <v>45453</v>
      </c>
      <c r="O41" s="122">
        <v>187</v>
      </c>
      <c r="P41" s="109">
        <v>55826</v>
      </c>
      <c r="Q41" s="108">
        <v>1418</v>
      </c>
      <c r="R41" s="109">
        <v>505550</v>
      </c>
      <c r="S41" s="108">
        <f t="shared" si="10"/>
        <v>1605</v>
      </c>
      <c r="T41" s="109">
        <f t="shared" si="10"/>
        <v>561376</v>
      </c>
      <c r="U41" s="110">
        <f t="shared" si="13"/>
        <v>7447</v>
      </c>
    </row>
    <row r="42" spans="1:23" x14ac:dyDescent="0.3">
      <c r="A42" s="83">
        <v>12</v>
      </c>
      <c r="B42" s="104">
        <f t="shared" si="14"/>
        <v>45824</v>
      </c>
      <c r="C42" s="116">
        <v>270</v>
      </c>
      <c r="D42" s="106">
        <f>C42/'Sales Pacing'!C14</f>
        <v>470.36842105263156</v>
      </c>
      <c r="E42" s="115">
        <v>90711</v>
      </c>
      <c r="F42" s="116">
        <v>1383</v>
      </c>
      <c r="G42" s="106">
        <f>F42/'Sales Pacing'!F14</f>
        <v>1420.0539987644104</v>
      </c>
      <c r="H42" s="115">
        <v>543160</v>
      </c>
      <c r="I42" s="108">
        <f t="shared" si="9"/>
        <v>1653</v>
      </c>
      <c r="J42" s="106">
        <f t="shared" si="9"/>
        <v>1890.4224198170418</v>
      </c>
      <c r="K42" s="114">
        <f t="shared" si="9"/>
        <v>633871</v>
      </c>
      <c r="L42" s="110">
        <f t="shared" si="11"/>
        <v>3845</v>
      </c>
      <c r="N42" s="104">
        <f t="shared" si="12"/>
        <v>45460</v>
      </c>
      <c r="O42" s="122">
        <v>193</v>
      </c>
      <c r="P42" s="123">
        <v>57355</v>
      </c>
      <c r="Q42" s="124">
        <v>1434</v>
      </c>
      <c r="R42" s="123">
        <v>510568</v>
      </c>
      <c r="S42" s="108">
        <f t="shared" si="10"/>
        <v>1627</v>
      </c>
      <c r="T42" s="109">
        <f t="shared" si="10"/>
        <v>567923</v>
      </c>
      <c r="U42" s="110">
        <f t="shared" si="13"/>
        <v>6547</v>
      </c>
    </row>
    <row r="43" spans="1:23" x14ac:dyDescent="0.3">
      <c r="A43" s="118" t="s">
        <v>237</v>
      </c>
      <c r="B43" s="369">
        <v>45922</v>
      </c>
      <c r="C43" s="116">
        <v>377</v>
      </c>
      <c r="D43" s="106">
        <f>C43/'Sales Pacing'!C15</f>
        <v>377</v>
      </c>
      <c r="E43" s="115">
        <v>117930</v>
      </c>
      <c r="F43" s="116">
        <v>1409</v>
      </c>
      <c r="G43" s="106">
        <f>F43/'Sales Pacing'!F15</f>
        <v>1409</v>
      </c>
      <c r="H43" s="115">
        <v>544870</v>
      </c>
      <c r="I43" s="108">
        <f t="shared" si="9"/>
        <v>1786</v>
      </c>
      <c r="J43" s="106">
        <f t="shared" si="9"/>
        <v>1786</v>
      </c>
      <c r="K43" s="373">
        <f t="shared" si="9"/>
        <v>662800</v>
      </c>
      <c r="L43" s="110">
        <f t="shared" si="11"/>
        <v>28929</v>
      </c>
      <c r="N43" s="119" t="s">
        <v>238</v>
      </c>
      <c r="O43" s="122">
        <v>225</v>
      </c>
      <c r="P43" s="109">
        <v>64966</v>
      </c>
      <c r="Q43" s="108">
        <v>1450</v>
      </c>
      <c r="R43" s="109">
        <v>515169</v>
      </c>
      <c r="S43" s="108">
        <f t="shared" si="10"/>
        <v>1675</v>
      </c>
      <c r="T43" s="109">
        <f t="shared" si="10"/>
        <v>580135</v>
      </c>
      <c r="U43" s="110">
        <f t="shared" si="13"/>
        <v>12212</v>
      </c>
    </row>
    <row r="44" spans="1:23" x14ac:dyDescent="0.3">
      <c r="C44" s="108"/>
      <c r="D44" s="108"/>
      <c r="E44" s="109"/>
      <c r="F44" s="108"/>
      <c r="G44" s="108"/>
      <c r="H44" s="109"/>
      <c r="I44" s="108" t="s">
        <v>239</v>
      </c>
      <c r="J44" s="368">
        <f>J43/$S$26</f>
        <v>0.99932111011983704</v>
      </c>
      <c r="K44" s="243">
        <f>K43/$T$26</f>
        <v>1.0707592891760904</v>
      </c>
      <c r="L44" s="109"/>
    </row>
    <row r="45" spans="1:23" x14ac:dyDescent="0.3">
      <c r="B45" s="83" t="s">
        <v>240</v>
      </c>
      <c r="C45" s="500" t="s">
        <v>241</v>
      </c>
      <c r="D45" s="108"/>
      <c r="F45" s="108"/>
      <c r="G45" s="108"/>
      <c r="I45" s="108"/>
      <c r="J45" s="108"/>
    </row>
    <row r="46" spans="1:23" x14ac:dyDescent="0.3">
      <c r="B46" s="120">
        <f>(1-F43/S30)</f>
        <v>0.15880597014925368</v>
      </c>
      <c r="C46" s="108">
        <f>S30-F43</f>
        <v>266</v>
      </c>
      <c r="I46" s="108"/>
      <c r="J46" s="108"/>
      <c r="K46" s="94"/>
      <c r="L46" s="94"/>
    </row>
    <row r="47" spans="1:23" x14ac:dyDescent="0.3">
      <c r="B47" s="120"/>
      <c r="I47" s="108"/>
      <c r="J47" s="108"/>
    </row>
    <row r="48" spans="1:23" x14ac:dyDescent="0.3">
      <c r="A48" s="25" t="s">
        <v>116</v>
      </c>
      <c r="K48" s="94"/>
    </row>
    <row r="49" spans="1:11" x14ac:dyDescent="0.3">
      <c r="A49" s="27" t="s">
        <v>246</v>
      </c>
      <c r="K49" s="94"/>
    </row>
    <row r="50" spans="1:11" x14ac:dyDescent="0.3">
      <c r="A50" s="83" t="s">
        <v>247</v>
      </c>
    </row>
    <row r="51" spans="1:11" x14ac:dyDescent="0.3">
      <c r="A51" s="83" t="s">
        <v>248</v>
      </c>
    </row>
  </sheetData>
  <mergeCells count="8">
    <mergeCell ref="S24:T24"/>
    <mergeCell ref="C28:E28"/>
    <mergeCell ref="F28:H28"/>
    <mergeCell ref="I28:K28"/>
    <mergeCell ref="S2:T2"/>
    <mergeCell ref="C6:E6"/>
    <mergeCell ref="F6:H6"/>
    <mergeCell ref="I6:K6"/>
  </mergeCells>
  <conditionalFormatting sqref="D9:D21">
    <cfRule type="cellIs" dxfId="39" priority="9" operator="equal">
      <formula>0</formula>
    </cfRule>
    <cfRule type="cellIs" dxfId="38" priority="10" operator="lessThanOrEqual">
      <formula>0.9*$O$4</formula>
    </cfRule>
    <cfRule type="cellIs" dxfId="37" priority="11" operator="between">
      <formula>0.9*$O$4</formula>
      <formula>0.9999*$O$4</formula>
    </cfRule>
    <cfRule type="cellIs" dxfId="36" priority="12" operator="greaterThanOrEqual">
      <formula>$O$4</formula>
    </cfRule>
  </conditionalFormatting>
  <conditionalFormatting sqref="D31:D43">
    <cfRule type="cellIs" dxfId="35" priority="1" operator="equal">
      <formula>0</formula>
    </cfRule>
    <cfRule type="cellIs" dxfId="34" priority="2" operator="lessThanOrEqual">
      <formula>0.9*$O$26</formula>
    </cfRule>
    <cfRule type="cellIs" dxfId="33" priority="3" operator="between">
      <formula>0.9*$O$26</formula>
      <formula>0.9999*$O$26</formula>
    </cfRule>
    <cfRule type="cellIs" dxfId="32" priority="4" operator="greaterThanOrEqual">
      <formula>$O$26</formula>
    </cfRule>
  </conditionalFormatting>
  <conditionalFormatting sqref="G9:G21">
    <cfRule type="cellIs" dxfId="31" priority="13" operator="equal">
      <formula>0</formula>
    </cfRule>
    <cfRule type="cellIs" dxfId="30" priority="14" operator="lessThanOrEqual">
      <formula>0.9*$Q$4</formula>
    </cfRule>
    <cfRule type="cellIs" dxfId="29" priority="15" operator="between">
      <formula>0.9*$Q$4</formula>
      <formula>0.9999*$Q$4</formula>
    </cfRule>
    <cfRule type="cellIs" dxfId="28" priority="16" operator="greaterThanOrEqual">
      <formula>$Q$4</formula>
    </cfRule>
  </conditionalFormatting>
  <conditionalFormatting sqref="G31:G43">
    <cfRule type="cellIs" dxfId="27" priority="5" operator="equal">
      <formula>0</formula>
    </cfRule>
    <cfRule type="cellIs" dxfId="26" priority="6" operator="lessThanOrEqual">
      <formula>0.9*$Q$26</formula>
    </cfRule>
    <cfRule type="cellIs" dxfId="25" priority="7" operator="between">
      <formula>0.9*$Q$26</formula>
      <formula>0.9999*$Q$26</formula>
    </cfRule>
    <cfRule type="cellIs" dxfId="24" priority="8" operator="greaterThanOrEqual">
      <formula>$Q$26</formula>
    </cfRule>
  </conditionalFormatting>
  <conditionalFormatting sqref="J9:J21">
    <cfRule type="cellIs" dxfId="23" priority="21" operator="equal">
      <formula>0</formula>
    </cfRule>
    <cfRule type="cellIs" dxfId="22" priority="22" operator="lessThanOrEqual">
      <formula>0.9*$S$4</formula>
    </cfRule>
    <cfRule type="cellIs" dxfId="21" priority="23" operator="between">
      <formula>0.9*$S$4</formula>
      <formula>0.9999*$S$4</formula>
    </cfRule>
    <cfRule type="cellIs" dxfId="20" priority="24" operator="greaterThanOrEqual">
      <formula>$S$4</formula>
    </cfRule>
  </conditionalFormatting>
  <conditionalFormatting sqref="J31:J43">
    <cfRule type="cellIs" dxfId="19" priority="17" operator="equal">
      <formula>0</formula>
    </cfRule>
    <cfRule type="cellIs" dxfId="18" priority="18" operator="lessThanOrEqual">
      <formula>0.9*$S$26</formula>
    </cfRule>
    <cfRule type="cellIs" dxfId="17" priority="19" operator="between">
      <formula>0.9*$S$26</formula>
      <formula>0.9999*$S$26</formula>
    </cfRule>
    <cfRule type="cellIs" dxfId="16" priority="20" operator="greaterThanOrEqual">
      <formula>$S$26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8C0D2-A571-4382-9364-5D2C7780E6B0}">
  <dimension ref="B2:L16"/>
  <sheetViews>
    <sheetView topLeftCell="A5" workbookViewId="0">
      <selection activeCell="D5" sqref="D5"/>
    </sheetView>
  </sheetViews>
  <sheetFormatPr defaultRowHeight="14.4" x14ac:dyDescent="0.3"/>
  <cols>
    <col min="6" max="6" width="13.6640625" customWidth="1"/>
    <col min="7" max="8" width="10.33203125" bestFit="1" customWidth="1"/>
    <col min="10" max="11" width="14" bestFit="1" customWidth="1"/>
  </cols>
  <sheetData>
    <row r="2" spans="2:12" ht="62.4" x14ac:dyDescent="0.45">
      <c r="B2" s="27" t="s">
        <v>249</v>
      </c>
      <c r="G2" s="12" t="s">
        <v>250</v>
      </c>
      <c r="H2" s="13" t="s">
        <v>251</v>
      </c>
      <c r="I2" s="13" t="s">
        <v>252</v>
      </c>
      <c r="J2" s="138" t="s">
        <v>233</v>
      </c>
      <c r="K2" s="139" t="s">
        <v>42</v>
      </c>
      <c r="L2" s="138" t="s">
        <v>253</v>
      </c>
    </row>
    <row r="3" spans="2:12" s="64" customFormat="1" ht="12.75" customHeight="1" x14ac:dyDescent="0.3">
      <c r="B3" s="65" t="s">
        <v>115</v>
      </c>
      <c r="C3" s="66"/>
      <c r="D3" s="66"/>
      <c r="E3" s="66"/>
      <c r="F3" s="66"/>
      <c r="G3" s="67">
        <f>'Performances by Week'!I126</f>
        <v>0</v>
      </c>
      <c r="H3" s="67">
        <f>'Performances by Week'!J126</f>
        <v>0</v>
      </c>
      <c r="I3" s="67">
        <f>'Performances by Week'!K126</f>
        <v>0</v>
      </c>
      <c r="J3" s="67">
        <f>'Performances by Week'!L126</f>
        <v>0</v>
      </c>
      <c r="K3" s="67">
        <f>'Performances by Week'!M126</f>
        <v>6268640</v>
      </c>
      <c r="L3" s="67" t="str">
        <f>'Performances by Week'!O126</f>
        <v/>
      </c>
    </row>
    <row r="5" spans="2:12" ht="56.25" customHeight="1" x14ac:dyDescent="0.45">
      <c r="B5" s="27" t="s">
        <v>254</v>
      </c>
      <c r="G5" s="12" t="s">
        <v>250</v>
      </c>
      <c r="H5" s="13" t="s">
        <v>251</v>
      </c>
      <c r="I5" s="13"/>
      <c r="J5" s="138" t="s">
        <v>233</v>
      </c>
      <c r="K5" s="139" t="s">
        <v>42</v>
      </c>
      <c r="L5" s="138" t="s">
        <v>253</v>
      </c>
    </row>
    <row r="6" spans="2:12" x14ac:dyDescent="0.3">
      <c r="B6" s="27" t="s">
        <v>255</v>
      </c>
      <c r="G6" s="140">
        <f>'Performances by Week'!X126</f>
        <v>0</v>
      </c>
      <c r="H6" s="140"/>
      <c r="I6" s="141"/>
      <c r="J6" s="142">
        <f>'Performances by Week'!Y126</f>
        <v>0</v>
      </c>
      <c r="K6" s="142">
        <f>'Performances by Week'!Z126</f>
        <v>2169893</v>
      </c>
      <c r="L6" s="142" t="str">
        <f>'Performances by Week'!AA126</f>
        <v/>
      </c>
    </row>
    <row r="7" spans="2:12" x14ac:dyDescent="0.3">
      <c r="B7" s="27" t="s">
        <v>256</v>
      </c>
      <c r="G7" s="140">
        <f>'Performances by Week'!P126</f>
        <v>0</v>
      </c>
      <c r="H7" s="140">
        <f>'Performances by Week'!R126</f>
        <v>0</v>
      </c>
      <c r="I7" s="141"/>
      <c r="J7" s="142">
        <f>'Performances by Week'!T126</f>
        <v>0</v>
      </c>
      <c r="K7" s="142">
        <f>'Performances by Week'!U126</f>
        <v>3973690</v>
      </c>
      <c r="L7" s="142" t="str">
        <f>'Performances by Week'!W126</f>
        <v/>
      </c>
    </row>
    <row r="9" spans="2:12" ht="62.4" x14ac:dyDescent="0.45">
      <c r="B9" s="27" t="s">
        <v>257</v>
      </c>
      <c r="G9" s="12" t="s">
        <v>250</v>
      </c>
      <c r="H9" s="13" t="s">
        <v>251</v>
      </c>
      <c r="I9" s="13" t="s">
        <v>252</v>
      </c>
      <c r="J9" s="138" t="s">
        <v>233</v>
      </c>
      <c r="K9" s="139" t="s">
        <v>42</v>
      </c>
      <c r="L9" s="138" t="s">
        <v>253</v>
      </c>
    </row>
    <row r="10" spans="2:12" s="1" customFormat="1" ht="13.8" x14ac:dyDescent="0.3">
      <c r="B10" s="40" t="s">
        <v>258</v>
      </c>
      <c r="C10" s="41"/>
      <c r="D10" s="41"/>
      <c r="E10" s="41"/>
      <c r="F10" s="41"/>
      <c r="G10" s="42">
        <f>'Performances by Week'!I119</f>
        <v>0</v>
      </c>
      <c r="H10" s="42">
        <f>'Performances by Week'!J119</f>
        <v>0</v>
      </c>
      <c r="I10" s="42">
        <f>'Performances by Week'!K119</f>
        <v>0</v>
      </c>
      <c r="J10" s="42">
        <f>'Performances by Week'!L119</f>
        <v>0</v>
      </c>
      <c r="K10" s="42">
        <f>'Performances by Week'!M119</f>
        <v>2139000</v>
      </c>
      <c r="L10" s="42" t="str">
        <f>'Performances by Week'!O119</f>
        <v/>
      </c>
    </row>
    <row r="11" spans="2:12" s="1" customFormat="1" ht="13.8" x14ac:dyDescent="0.3">
      <c r="B11" s="40" t="s">
        <v>259</v>
      </c>
      <c r="C11" s="41"/>
      <c r="D11" s="41"/>
      <c r="E11" s="41"/>
      <c r="F11" s="41"/>
      <c r="G11" s="42">
        <f>'Performances by Week'!I120</f>
        <v>0</v>
      </c>
      <c r="H11" s="42">
        <f>'Performances by Week'!J120</f>
        <v>0</v>
      </c>
      <c r="I11" s="42">
        <f>'Performances by Week'!K120</f>
        <v>0</v>
      </c>
      <c r="J11" s="42">
        <f>'Performances by Week'!L120</f>
        <v>0</v>
      </c>
      <c r="K11" s="42">
        <f>'Performances by Week'!M120</f>
        <v>363000</v>
      </c>
      <c r="L11" s="42" t="str">
        <f>'Performances by Week'!O120</f>
        <v/>
      </c>
    </row>
    <row r="12" spans="2:12" s="1" customFormat="1" ht="13.8" x14ac:dyDescent="0.3">
      <c r="B12" s="40" t="s">
        <v>260</v>
      </c>
      <c r="C12" s="41"/>
      <c r="D12" s="41"/>
      <c r="E12" s="41"/>
      <c r="F12" s="41"/>
      <c r="G12" s="42">
        <f>'Performances by Week'!I121</f>
        <v>0</v>
      </c>
      <c r="H12" s="42">
        <f>'Performances by Week'!J121</f>
        <v>0</v>
      </c>
      <c r="I12" s="42">
        <f>'Performances by Week'!K121</f>
        <v>0</v>
      </c>
      <c r="J12" s="42">
        <f>'Performances by Week'!L121</f>
        <v>0</v>
      </c>
      <c r="K12" s="42">
        <f>'Performances by Week'!M121</f>
        <v>1457000</v>
      </c>
      <c r="L12" s="42" t="str">
        <f>'Performances by Week'!O121</f>
        <v/>
      </c>
    </row>
    <row r="13" spans="2:12" s="1" customFormat="1" ht="13.8" x14ac:dyDescent="0.3">
      <c r="B13" s="40" t="s">
        <v>261</v>
      </c>
      <c r="C13" s="41"/>
      <c r="D13" s="41"/>
      <c r="E13" s="41"/>
      <c r="F13" s="41"/>
      <c r="G13" s="42">
        <f>'Performances by Week'!I122</f>
        <v>0</v>
      </c>
      <c r="H13" s="42">
        <f>'Performances by Week'!J122</f>
        <v>0</v>
      </c>
      <c r="I13" s="42">
        <f>'Performances by Week'!K122</f>
        <v>0</v>
      </c>
      <c r="J13" s="42">
        <f>'Performances by Week'!L122</f>
        <v>0</v>
      </c>
      <c r="K13" s="42">
        <f>'Performances by Week'!M122</f>
        <v>525950</v>
      </c>
      <c r="L13" s="42" t="str">
        <f>'Performances by Week'!O122</f>
        <v/>
      </c>
    </row>
    <row r="14" spans="2:12" s="1" customFormat="1" ht="13.8" x14ac:dyDescent="0.3">
      <c r="B14" s="54" t="s">
        <v>262</v>
      </c>
      <c r="C14" s="55"/>
      <c r="D14" s="55"/>
      <c r="E14" s="55"/>
      <c r="F14" s="55"/>
      <c r="G14" s="42">
        <f>'Performances by Week'!I123</f>
        <v>0</v>
      </c>
      <c r="H14" s="42">
        <f>'Performances by Week'!J123</f>
        <v>0</v>
      </c>
      <c r="I14" s="42">
        <f>'Performances by Week'!K123</f>
        <v>0</v>
      </c>
      <c r="J14" s="42">
        <f>'Performances by Week'!L123</f>
        <v>0</v>
      </c>
      <c r="K14" s="42">
        <f>'Performances by Week'!M123</f>
        <v>1745490</v>
      </c>
      <c r="L14" s="42" t="str">
        <f>'Performances by Week'!O123</f>
        <v/>
      </c>
    </row>
    <row r="15" spans="2:12" s="1" customFormat="1" ht="13.8" x14ac:dyDescent="0.3">
      <c r="B15" s="54" t="s">
        <v>263</v>
      </c>
      <c r="C15" s="55"/>
      <c r="D15" s="55"/>
      <c r="E15" s="55"/>
      <c r="F15" s="55"/>
      <c r="G15" s="42">
        <f>'Performances by Week'!I124</f>
        <v>0</v>
      </c>
      <c r="H15" s="42">
        <f>'Performances by Week'!J124</f>
        <v>0</v>
      </c>
      <c r="I15" s="42">
        <f>'Performances by Week'!K124</f>
        <v>0</v>
      </c>
      <c r="J15" s="42">
        <f>'Performances by Week'!L124</f>
        <v>0</v>
      </c>
      <c r="K15" s="42">
        <f>'Performances by Week'!M124</f>
        <v>38200</v>
      </c>
      <c r="L15" s="42" t="str">
        <f>'Performances by Week'!O124</f>
        <v/>
      </c>
    </row>
    <row r="16" spans="2:12" s="1" customFormat="1" ht="12.75" customHeight="1" x14ac:dyDescent="0.3">
      <c r="B16" s="40" t="s">
        <v>264</v>
      </c>
      <c r="C16" s="62"/>
      <c r="D16" s="62"/>
      <c r="E16" s="62"/>
      <c r="F16" s="62"/>
      <c r="G16" s="42">
        <f>'Performances by Week'!I125</f>
        <v>0</v>
      </c>
      <c r="H16" s="42">
        <f>'Performances by Week'!J125</f>
        <v>0</v>
      </c>
      <c r="I16" s="42">
        <f>'Performances by Week'!K125</f>
        <v>0</v>
      </c>
      <c r="J16" s="42">
        <f>'Performances by Week'!L125</f>
        <v>0</v>
      </c>
      <c r="K16" s="42">
        <f>'Performances by Week'!M125</f>
        <v>0</v>
      </c>
      <c r="L16" s="42" t="str">
        <f>'Performances by Week'!O125</f>
        <v/>
      </c>
    </row>
  </sheetData>
  <conditionalFormatting sqref="I3">
    <cfRule type="cellIs" dxfId="15" priority="21" operator="equal">
      <formula>""</formula>
    </cfRule>
    <cfRule type="cellIs" dxfId="14" priority="22" operator="lessThanOrEqual">
      <formula>0.6</formula>
    </cfRule>
    <cfRule type="cellIs" dxfId="13" priority="23" operator="between">
      <formula>0.8</formula>
      <formula>0.6</formula>
    </cfRule>
    <cfRule type="cellIs" dxfId="12" priority="24" operator="greaterThanOrEqual">
      <formula>0.8</formula>
    </cfRule>
  </conditionalFormatting>
  <conditionalFormatting sqref="I11:I16">
    <cfRule type="cellIs" dxfId="11" priority="13" operator="equal">
      <formula>""</formula>
    </cfRule>
    <cfRule type="cellIs" dxfId="10" priority="14" operator="lessThanOrEqual">
      <formula>0.6</formula>
    </cfRule>
    <cfRule type="cellIs" dxfId="9" priority="15" operator="between">
      <formula>0.8</formula>
      <formula>0.6</formula>
    </cfRule>
    <cfRule type="cellIs" dxfId="8" priority="16" operator="greaterThanOrEqual">
      <formula>0.8</formula>
    </cfRule>
  </conditionalFormatting>
  <conditionalFormatting sqref="L7">
    <cfRule type="cellIs" dxfId="7" priority="5" operator="equal">
      <formula>""</formula>
    </cfRule>
    <cfRule type="cellIs" dxfId="6" priority="6" operator="lessThanOrEqual">
      <formula>0.8</formula>
    </cfRule>
    <cfRule type="cellIs" dxfId="5" priority="7" operator="between">
      <formula>0.95</formula>
      <formula>0.8</formula>
    </cfRule>
    <cfRule type="cellIs" dxfId="4" priority="8" operator="greaterThanOrEqual">
      <formula>0.95</formula>
    </cfRule>
  </conditionalFormatting>
  <conditionalFormatting sqref="L11:L16">
    <cfRule type="cellIs" dxfId="3" priority="9" operator="equal">
      <formula>""</formula>
    </cfRule>
    <cfRule type="cellIs" dxfId="2" priority="10" operator="lessThanOrEqual">
      <formula>0.8</formula>
    </cfRule>
    <cfRule type="cellIs" dxfId="1" priority="11" operator="between">
      <formula>0.95</formula>
      <formula>0.8</formula>
    </cfRule>
    <cfRule type="cellIs" dxfId="0" priority="12" operator="greaterThanOrEqual">
      <formula>0.95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343-5A03-40D3-B712-B1FCF84D4304}">
  <dimension ref="A16:K31"/>
  <sheetViews>
    <sheetView workbookViewId="0">
      <selection activeCell="A21" sqref="A21"/>
    </sheetView>
  </sheetViews>
  <sheetFormatPr defaultRowHeight="14.4" x14ac:dyDescent="0.3"/>
  <sheetData>
    <row r="16" spans="1:2" x14ac:dyDescent="0.3">
      <c r="A16" s="27" t="s">
        <v>265</v>
      </c>
      <c r="B16" s="27" t="s">
        <v>266</v>
      </c>
    </row>
    <row r="17" spans="2:11" x14ac:dyDescent="0.3">
      <c r="B17" s="27" t="s">
        <v>267</v>
      </c>
    </row>
    <row r="18" spans="2:11" x14ac:dyDescent="0.3">
      <c r="B18" s="27" t="s">
        <v>268</v>
      </c>
    </row>
    <row r="19" spans="2:11" x14ac:dyDescent="0.3">
      <c r="B19" s="27" t="s">
        <v>269</v>
      </c>
    </row>
    <row r="20" spans="2:11" x14ac:dyDescent="0.3">
      <c r="B20" s="27" t="s">
        <v>270</v>
      </c>
    </row>
    <row r="21" spans="2:11" x14ac:dyDescent="0.3">
      <c r="B21" s="27"/>
    </row>
    <row r="22" spans="2:11" x14ac:dyDescent="0.3">
      <c r="B22" s="27"/>
    </row>
    <row r="23" spans="2:11" x14ac:dyDescent="0.3">
      <c r="B23" s="27"/>
    </row>
    <row r="24" spans="2:11" x14ac:dyDescent="0.3">
      <c r="B24" s="27"/>
    </row>
    <row r="27" spans="2:11" x14ac:dyDescent="0.3">
      <c r="J27" s="27" t="s">
        <v>265</v>
      </c>
      <c r="K27" s="27" t="s">
        <v>266</v>
      </c>
    </row>
    <row r="28" spans="2:11" x14ac:dyDescent="0.3">
      <c r="K28" s="27" t="s">
        <v>271</v>
      </c>
    </row>
    <row r="29" spans="2:11" x14ac:dyDescent="0.3">
      <c r="K29" s="27" t="s">
        <v>272</v>
      </c>
    </row>
    <row r="30" spans="2:11" x14ac:dyDescent="0.3">
      <c r="K30" s="27" t="s">
        <v>273</v>
      </c>
    </row>
    <row r="31" spans="2:11" x14ac:dyDescent="0.3">
      <c r="K31" s="27" t="s">
        <v>274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707-DC6E-437E-A868-CF33BFB78F2C}">
  <dimension ref="A1:K47"/>
  <sheetViews>
    <sheetView workbookViewId="0">
      <selection activeCell="D43" sqref="D43"/>
    </sheetView>
  </sheetViews>
  <sheetFormatPr defaultRowHeight="14.4" x14ac:dyDescent="0.3"/>
  <cols>
    <col min="1" max="1" width="37" customWidth="1"/>
    <col min="2" max="11" width="13.33203125" customWidth="1"/>
  </cols>
  <sheetData>
    <row r="1" spans="1:11" x14ac:dyDescent="0.3">
      <c r="A1" s="176" t="s">
        <v>275</v>
      </c>
    </row>
    <row r="2" spans="1:11" ht="14.4" customHeight="1" x14ac:dyDescent="0.3">
      <c r="A2" s="150" t="s">
        <v>276</v>
      </c>
      <c r="B2" s="522" t="s">
        <v>277</v>
      </c>
      <c r="C2" s="523"/>
      <c r="D2" s="523"/>
      <c r="E2" s="523"/>
      <c r="F2" s="524"/>
      <c r="G2" s="151" t="s">
        <v>276</v>
      </c>
      <c r="H2" s="522" t="s">
        <v>278</v>
      </c>
      <c r="I2" s="523"/>
      <c r="J2" s="524"/>
      <c r="K2" s="152" t="s">
        <v>276</v>
      </c>
    </row>
    <row r="3" spans="1:11" ht="31.2" x14ac:dyDescent="0.3">
      <c r="A3" s="153" t="s">
        <v>279</v>
      </c>
      <c r="B3" s="154" t="s">
        <v>280</v>
      </c>
      <c r="C3" s="155" t="s">
        <v>281</v>
      </c>
      <c r="D3" s="155" t="s">
        <v>282</v>
      </c>
      <c r="E3" s="154" t="s">
        <v>283</v>
      </c>
      <c r="F3" s="154" t="s">
        <v>284</v>
      </c>
      <c r="G3" s="155" t="s">
        <v>285</v>
      </c>
      <c r="H3" s="155" t="s">
        <v>286</v>
      </c>
      <c r="I3" s="154" t="s">
        <v>287</v>
      </c>
      <c r="J3" s="154" t="s">
        <v>280</v>
      </c>
      <c r="K3" s="156" t="s">
        <v>288</v>
      </c>
    </row>
    <row r="4" spans="1:11" ht="15.6" x14ac:dyDescent="0.3">
      <c r="A4" s="157"/>
      <c r="B4" s="158" t="s">
        <v>289</v>
      </c>
      <c r="C4" s="159"/>
      <c r="D4" s="159"/>
      <c r="E4" s="158" t="s">
        <v>290</v>
      </c>
      <c r="F4" s="158" t="s">
        <v>291</v>
      </c>
      <c r="G4" s="159"/>
      <c r="H4" s="159"/>
      <c r="I4" s="158" t="s">
        <v>292</v>
      </c>
      <c r="J4" s="158" t="s">
        <v>293</v>
      </c>
      <c r="K4" s="160"/>
    </row>
    <row r="5" spans="1:11" ht="15.6" x14ac:dyDescent="0.3">
      <c r="A5" s="161" t="s">
        <v>294</v>
      </c>
      <c r="B5" s="155" t="s">
        <v>276</v>
      </c>
      <c r="C5" s="155" t="s">
        <v>276</v>
      </c>
      <c r="D5" s="155" t="s">
        <v>295</v>
      </c>
      <c r="E5" s="155" t="s">
        <v>276</v>
      </c>
      <c r="F5" s="155" t="s">
        <v>276</v>
      </c>
      <c r="G5" s="155" t="s">
        <v>276</v>
      </c>
      <c r="H5" s="155" t="s">
        <v>276</v>
      </c>
      <c r="I5" s="155" t="s">
        <v>276</v>
      </c>
      <c r="J5" s="155" t="s">
        <v>276</v>
      </c>
      <c r="K5" s="156" t="s">
        <v>276</v>
      </c>
    </row>
    <row r="6" spans="1:11" ht="15.6" x14ac:dyDescent="0.3">
      <c r="A6" s="162" t="s">
        <v>296</v>
      </c>
      <c r="B6" s="159"/>
      <c r="C6" s="159"/>
      <c r="D6" s="159"/>
      <c r="E6" s="159"/>
      <c r="F6" s="159"/>
      <c r="G6" s="159"/>
      <c r="H6" s="159"/>
      <c r="I6" s="159"/>
      <c r="J6" s="159"/>
      <c r="K6" s="160"/>
    </row>
    <row r="7" spans="1:11" ht="15.6" x14ac:dyDescent="0.3">
      <c r="A7" s="161" t="s">
        <v>297</v>
      </c>
      <c r="B7" s="155" t="s">
        <v>276</v>
      </c>
      <c r="C7" s="155" t="s">
        <v>276</v>
      </c>
      <c r="D7" s="155" t="s">
        <v>298</v>
      </c>
      <c r="E7" s="155" t="s">
        <v>276</v>
      </c>
      <c r="F7" s="155" t="s">
        <v>276</v>
      </c>
      <c r="G7" s="155" t="s">
        <v>276</v>
      </c>
      <c r="H7" s="155" t="s">
        <v>276</v>
      </c>
      <c r="I7" s="155" t="s">
        <v>276</v>
      </c>
      <c r="J7" s="155" t="s">
        <v>276</v>
      </c>
      <c r="K7" s="156" t="s">
        <v>276</v>
      </c>
    </row>
    <row r="8" spans="1:11" ht="15.6" x14ac:dyDescent="0.3">
      <c r="A8" s="162" t="s">
        <v>299</v>
      </c>
      <c r="B8" s="159"/>
      <c r="C8" s="159"/>
      <c r="D8" s="159"/>
      <c r="E8" s="159"/>
      <c r="F8" s="159"/>
      <c r="G8" s="159"/>
      <c r="H8" s="159"/>
      <c r="I8" s="159"/>
      <c r="J8" s="159"/>
      <c r="K8" s="160"/>
    </row>
    <row r="9" spans="1:11" ht="15.6" x14ac:dyDescent="0.3">
      <c r="A9" s="163" t="s">
        <v>300</v>
      </c>
      <c r="B9" s="164" t="s">
        <v>276</v>
      </c>
      <c r="C9" s="164" t="s">
        <v>276</v>
      </c>
      <c r="D9" s="164" t="s">
        <v>301</v>
      </c>
      <c r="E9" s="164" t="s">
        <v>276</v>
      </c>
      <c r="F9" s="164" t="s">
        <v>276</v>
      </c>
      <c r="G9" s="164" t="s">
        <v>276</v>
      </c>
      <c r="H9" s="164" t="s">
        <v>276</v>
      </c>
      <c r="I9" s="164" t="s">
        <v>276</v>
      </c>
      <c r="J9" s="164" t="s">
        <v>276</v>
      </c>
      <c r="K9" s="165" t="s">
        <v>276</v>
      </c>
    </row>
    <row r="10" spans="1:11" ht="15.6" x14ac:dyDescent="0.3">
      <c r="A10" s="161" t="s">
        <v>302</v>
      </c>
      <c r="B10" s="155" t="s">
        <v>276</v>
      </c>
      <c r="C10" s="155" t="s">
        <v>276</v>
      </c>
      <c r="D10" s="155" t="s">
        <v>303</v>
      </c>
      <c r="E10" s="155" t="s">
        <v>276</v>
      </c>
      <c r="F10" s="155" t="s">
        <v>276</v>
      </c>
      <c r="G10" s="155" t="s">
        <v>276</v>
      </c>
      <c r="H10" s="155" t="s">
        <v>276</v>
      </c>
      <c r="I10" s="155" t="s">
        <v>276</v>
      </c>
      <c r="J10" s="155" t="s">
        <v>276</v>
      </c>
      <c r="K10" s="156" t="s">
        <v>276</v>
      </c>
    </row>
    <row r="11" spans="1:11" ht="15.6" x14ac:dyDescent="0.3">
      <c r="A11" s="162" t="s">
        <v>304</v>
      </c>
      <c r="B11" s="159"/>
      <c r="C11" s="159"/>
      <c r="D11" s="159"/>
      <c r="E11" s="159"/>
      <c r="F11" s="159"/>
      <c r="G11" s="159"/>
      <c r="H11" s="159"/>
      <c r="I11" s="159"/>
      <c r="J11" s="159"/>
      <c r="K11" s="160"/>
    </row>
    <row r="12" spans="1:11" ht="15.6" x14ac:dyDescent="0.3">
      <c r="A12" s="163" t="s">
        <v>305</v>
      </c>
      <c r="B12" s="164" t="s">
        <v>276</v>
      </c>
      <c r="C12" s="164" t="s">
        <v>276</v>
      </c>
      <c r="D12" s="164" t="s">
        <v>306</v>
      </c>
      <c r="E12" s="164" t="s">
        <v>276</v>
      </c>
      <c r="F12" s="164" t="s">
        <v>276</v>
      </c>
      <c r="G12" s="164" t="s">
        <v>276</v>
      </c>
      <c r="H12" s="164" t="s">
        <v>276</v>
      </c>
      <c r="I12" s="164" t="s">
        <v>276</v>
      </c>
      <c r="J12" s="164" t="s">
        <v>276</v>
      </c>
      <c r="K12" s="165" t="s">
        <v>276</v>
      </c>
    </row>
    <row r="13" spans="1:11" ht="15.6" x14ac:dyDescent="0.3">
      <c r="A13" s="163" t="s">
        <v>307</v>
      </c>
      <c r="B13" s="164" t="s">
        <v>276</v>
      </c>
      <c r="C13" s="164" t="s">
        <v>276</v>
      </c>
      <c r="D13" s="164" t="s">
        <v>276</v>
      </c>
      <c r="E13" s="164" t="s">
        <v>276</v>
      </c>
      <c r="F13" s="164" t="s">
        <v>276</v>
      </c>
      <c r="G13" s="164" t="s">
        <v>276</v>
      </c>
      <c r="H13" s="164" t="s">
        <v>276</v>
      </c>
      <c r="I13" s="164" t="s">
        <v>276</v>
      </c>
      <c r="J13" s="164" t="s">
        <v>276</v>
      </c>
      <c r="K13" s="165" t="s">
        <v>276</v>
      </c>
    </row>
    <row r="14" spans="1:11" ht="15.6" x14ac:dyDescent="0.3">
      <c r="A14" s="166" t="s">
        <v>276</v>
      </c>
      <c r="B14" s="167" t="s">
        <v>276</v>
      </c>
      <c r="C14" s="167" t="s">
        <v>276</v>
      </c>
      <c r="D14" s="167" t="s">
        <v>276</v>
      </c>
      <c r="E14" s="167" t="s">
        <v>276</v>
      </c>
      <c r="F14" s="167" t="s">
        <v>276</v>
      </c>
      <c r="G14" s="167" t="s">
        <v>276</v>
      </c>
      <c r="H14" s="167" t="s">
        <v>276</v>
      </c>
      <c r="I14" s="167" t="s">
        <v>276</v>
      </c>
      <c r="J14" s="167" t="s">
        <v>276</v>
      </c>
      <c r="K14" s="168" t="s">
        <v>276</v>
      </c>
    </row>
    <row r="15" spans="1:11" ht="15.6" x14ac:dyDescent="0.3">
      <c r="A15" s="163" t="s">
        <v>308</v>
      </c>
      <c r="B15" s="164" t="s">
        <v>276</v>
      </c>
      <c r="C15" s="164" t="s">
        <v>276</v>
      </c>
      <c r="D15" s="164" t="s">
        <v>276</v>
      </c>
      <c r="E15" s="164" t="s">
        <v>276</v>
      </c>
      <c r="F15" s="164" t="s">
        <v>276</v>
      </c>
      <c r="G15" s="164" t="s">
        <v>276</v>
      </c>
      <c r="H15" s="164" t="s">
        <v>276</v>
      </c>
      <c r="I15" s="164" t="s">
        <v>276</v>
      </c>
      <c r="J15" s="164" t="s">
        <v>276</v>
      </c>
      <c r="K15" s="165" t="s">
        <v>276</v>
      </c>
    </row>
    <row r="16" spans="1:11" ht="15.6" x14ac:dyDescent="0.3">
      <c r="A16" s="163" t="s">
        <v>309</v>
      </c>
      <c r="B16" s="164" t="s">
        <v>276</v>
      </c>
      <c r="C16" s="164" t="s">
        <v>276</v>
      </c>
      <c r="D16" s="164" t="s">
        <v>276</v>
      </c>
      <c r="E16" s="164" t="s">
        <v>276</v>
      </c>
      <c r="F16" s="164" t="s">
        <v>276</v>
      </c>
      <c r="G16" s="164" t="s">
        <v>276</v>
      </c>
      <c r="H16" s="164" t="s">
        <v>276</v>
      </c>
      <c r="I16" s="164" t="s">
        <v>276</v>
      </c>
      <c r="J16" s="164" t="s">
        <v>276</v>
      </c>
      <c r="K16" s="165" t="s">
        <v>276</v>
      </c>
    </row>
    <row r="17" spans="1:11" ht="15.6" x14ac:dyDescent="0.3">
      <c r="A17" s="163" t="s">
        <v>310</v>
      </c>
      <c r="B17" s="164" t="s">
        <v>276</v>
      </c>
      <c r="C17" s="164" t="s">
        <v>276</v>
      </c>
      <c r="D17" s="164" t="s">
        <v>276</v>
      </c>
      <c r="E17" s="164" t="s">
        <v>276</v>
      </c>
      <c r="F17" s="164" t="s">
        <v>276</v>
      </c>
      <c r="G17" s="164" t="s">
        <v>276</v>
      </c>
      <c r="H17" s="164" t="s">
        <v>276</v>
      </c>
      <c r="I17" s="164" t="s">
        <v>276</v>
      </c>
      <c r="J17" s="164" t="s">
        <v>311</v>
      </c>
      <c r="K17" s="165" t="s">
        <v>276</v>
      </c>
    </row>
    <row r="18" spans="1:11" ht="15.6" x14ac:dyDescent="0.3">
      <c r="A18" s="169" t="s">
        <v>312</v>
      </c>
      <c r="B18" s="170" t="s">
        <v>276</v>
      </c>
      <c r="C18" s="170" t="s">
        <v>276</v>
      </c>
      <c r="D18" s="170" t="s">
        <v>276</v>
      </c>
      <c r="E18" s="170" t="s">
        <v>276</v>
      </c>
      <c r="F18" s="170" t="s">
        <v>276</v>
      </c>
      <c r="G18" s="170" t="s">
        <v>276</v>
      </c>
      <c r="H18" s="170" t="s">
        <v>276</v>
      </c>
      <c r="I18" s="170" t="s">
        <v>276</v>
      </c>
      <c r="J18" s="170" t="s">
        <v>276</v>
      </c>
      <c r="K18" s="171" t="s">
        <v>276</v>
      </c>
    </row>
    <row r="20" spans="1:11" x14ac:dyDescent="0.3">
      <c r="A20" s="176" t="s">
        <v>313</v>
      </c>
    </row>
    <row r="21" spans="1:11" ht="31.2" x14ac:dyDescent="0.3">
      <c r="A21" s="172" t="s">
        <v>279</v>
      </c>
      <c r="B21" s="173" t="s">
        <v>280</v>
      </c>
      <c r="C21" s="174" t="s">
        <v>314</v>
      </c>
      <c r="D21" s="174" t="s">
        <v>315</v>
      </c>
      <c r="E21" s="175" t="s">
        <v>288</v>
      </c>
    </row>
    <row r="22" spans="1:11" ht="15.6" x14ac:dyDescent="0.3">
      <c r="A22" s="157"/>
      <c r="B22" s="158" t="s">
        <v>289</v>
      </c>
      <c r="C22" s="159"/>
      <c r="D22" s="159"/>
      <c r="E22" s="160"/>
    </row>
    <row r="23" spans="1:11" ht="15.6" x14ac:dyDescent="0.3">
      <c r="A23" s="161" t="s">
        <v>316</v>
      </c>
      <c r="B23" s="155" t="s">
        <v>276</v>
      </c>
      <c r="C23" s="155" t="s">
        <v>317</v>
      </c>
      <c r="D23" s="155" t="s">
        <v>276</v>
      </c>
      <c r="E23" s="156" t="s">
        <v>276</v>
      </c>
    </row>
    <row r="24" spans="1:11" ht="15.6" x14ac:dyDescent="0.3">
      <c r="A24" s="162" t="s">
        <v>318</v>
      </c>
      <c r="B24" s="159"/>
      <c r="C24" s="159"/>
      <c r="D24" s="159"/>
      <c r="E24" s="160"/>
    </row>
    <row r="25" spans="1:11" ht="15.6" x14ac:dyDescent="0.3">
      <c r="A25" s="163" t="s">
        <v>319</v>
      </c>
      <c r="B25" s="164" t="s">
        <v>276</v>
      </c>
      <c r="C25" s="164" t="s">
        <v>276</v>
      </c>
      <c r="D25" s="164" t="s">
        <v>276</v>
      </c>
      <c r="E25" s="165" t="s">
        <v>276</v>
      </c>
    </row>
    <row r="26" spans="1:11" ht="15.6" x14ac:dyDescent="0.3">
      <c r="A26" s="163" t="s">
        <v>320</v>
      </c>
      <c r="B26" s="164" t="s">
        <v>276</v>
      </c>
      <c r="C26" s="164" t="s">
        <v>321</v>
      </c>
      <c r="D26" s="164" t="s">
        <v>276</v>
      </c>
      <c r="E26" s="165" t="s">
        <v>276</v>
      </c>
    </row>
    <row r="27" spans="1:11" ht="15.6" x14ac:dyDescent="0.3">
      <c r="A27" s="163" t="s">
        <v>322</v>
      </c>
      <c r="B27" s="164" t="s">
        <v>276</v>
      </c>
      <c r="C27" s="164" t="s">
        <v>323</v>
      </c>
      <c r="D27" s="164" t="s">
        <v>276</v>
      </c>
      <c r="E27" s="165" t="s">
        <v>276</v>
      </c>
    </row>
    <row r="28" spans="1:11" ht="15.6" x14ac:dyDescent="0.3">
      <c r="A28" s="163" t="s">
        <v>324</v>
      </c>
      <c r="B28" s="164" t="s">
        <v>276</v>
      </c>
      <c r="C28" s="164" t="s">
        <v>276</v>
      </c>
      <c r="D28" s="164" t="s">
        <v>325</v>
      </c>
      <c r="E28" s="165" t="s">
        <v>276</v>
      </c>
    </row>
    <row r="29" spans="1:11" ht="15.6" x14ac:dyDescent="0.3">
      <c r="A29" s="163" t="s">
        <v>326</v>
      </c>
      <c r="B29" s="164" t="s">
        <v>327</v>
      </c>
      <c r="C29" s="164" t="s">
        <v>328</v>
      </c>
      <c r="D29" s="164" t="s">
        <v>276</v>
      </c>
      <c r="E29" s="165" t="s">
        <v>276</v>
      </c>
    </row>
    <row r="30" spans="1:11" ht="15.6" x14ac:dyDescent="0.3">
      <c r="A30" s="166" t="s">
        <v>276</v>
      </c>
      <c r="B30" s="167" t="s">
        <v>276</v>
      </c>
      <c r="C30" s="167" t="s">
        <v>276</v>
      </c>
      <c r="D30" s="167" t="s">
        <v>276</v>
      </c>
      <c r="E30" s="168" t="s">
        <v>276</v>
      </c>
    </row>
    <row r="31" spans="1:11" ht="15.6" x14ac:dyDescent="0.3">
      <c r="A31" s="163" t="s">
        <v>308</v>
      </c>
      <c r="B31" s="164" t="s">
        <v>276</v>
      </c>
      <c r="C31" s="164" t="s">
        <v>276</v>
      </c>
      <c r="D31" s="164" t="s">
        <v>276</v>
      </c>
      <c r="E31" s="165" t="s">
        <v>276</v>
      </c>
    </row>
    <row r="32" spans="1:11" ht="15.6" x14ac:dyDescent="0.3">
      <c r="A32" s="163" t="s">
        <v>329</v>
      </c>
      <c r="B32" s="164" t="s">
        <v>276</v>
      </c>
      <c r="C32" s="164" t="s">
        <v>276</v>
      </c>
      <c r="D32" s="164" t="s">
        <v>276</v>
      </c>
      <c r="E32" s="165" t="s">
        <v>276</v>
      </c>
    </row>
    <row r="33" spans="1:5" ht="15.6" x14ac:dyDescent="0.3">
      <c r="A33" s="163" t="s">
        <v>310</v>
      </c>
      <c r="B33" s="164" t="s">
        <v>276</v>
      </c>
      <c r="C33" s="164" t="s">
        <v>276</v>
      </c>
      <c r="D33" s="164" t="s">
        <v>276</v>
      </c>
      <c r="E33" s="165" t="s">
        <v>276</v>
      </c>
    </row>
    <row r="34" spans="1:5" ht="15.6" x14ac:dyDescent="0.3">
      <c r="A34" s="169" t="s">
        <v>312</v>
      </c>
      <c r="B34" s="170" t="s">
        <v>276</v>
      </c>
      <c r="C34" s="170" t="s">
        <v>276</v>
      </c>
      <c r="D34" s="170" t="s">
        <v>276</v>
      </c>
      <c r="E34" s="171" t="s">
        <v>276</v>
      </c>
    </row>
    <row r="36" spans="1:5" x14ac:dyDescent="0.3">
      <c r="A36" s="176" t="s">
        <v>330</v>
      </c>
    </row>
    <row r="37" spans="1:5" ht="15.6" x14ac:dyDescent="0.3">
      <c r="A37" s="150" t="s">
        <v>276</v>
      </c>
      <c r="B37" s="152" t="s">
        <v>288</v>
      </c>
    </row>
    <row r="38" spans="1:5" ht="15.6" x14ac:dyDescent="0.3">
      <c r="A38" s="163" t="s">
        <v>331</v>
      </c>
      <c r="B38" s="165" t="s">
        <v>276</v>
      </c>
    </row>
    <row r="39" spans="1:5" ht="15.6" x14ac:dyDescent="0.3">
      <c r="A39" s="161" t="s">
        <v>332</v>
      </c>
      <c r="B39" s="156" t="s">
        <v>276</v>
      </c>
    </row>
    <row r="40" spans="1:5" ht="15.6" x14ac:dyDescent="0.3">
      <c r="A40" s="162" t="s">
        <v>333</v>
      </c>
      <c r="B40" s="160"/>
    </row>
    <row r="41" spans="1:5" ht="15.6" x14ac:dyDescent="0.3">
      <c r="A41" s="161" t="s">
        <v>334</v>
      </c>
      <c r="B41" s="156" t="s">
        <v>276</v>
      </c>
    </row>
    <row r="42" spans="1:5" ht="15.6" x14ac:dyDescent="0.3">
      <c r="A42" s="162" t="s">
        <v>335</v>
      </c>
      <c r="B42" s="160"/>
    </row>
    <row r="43" spans="1:5" ht="15.6" x14ac:dyDescent="0.3">
      <c r="A43" s="166" t="s">
        <v>276</v>
      </c>
      <c r="B43" s="168" t="s">
        <v>276</v>
      </c>
    </row>
    <row r="44" spans="1:5" ht="15.6" x14ac:dyDescent="0.3">
      <c r="A44" s="163" t="s">
        <v>336</v>
      </c>
      <c r="B44" s="165" t="s">
        <v>276</v>
      </c>
    </row>
    <row r="45" spans="1:5" ht="15.6" x14ac:dyDescent="0.3">
      <c r="A45" s="163" t="s">
        <v>337</v>
      </c>
      <c r="B45" s="165" t="s">
        <v>276</v>
      </c>
    </row>
    <row r="46" spans="1:5" ht="15.6" x14ac:dyDescent="0.3">
      <c r="A46" s="163" t="s">
        <v>338</v>
      </c>
      <c r="B46" s="165" t="s">
        <v>276</v>
      </c>
    </row>
    <row r="47" spans="1:5" ht="15.6" x14ac:dyDescent="0.3">
      <c r="A47" s="169" t="s">
        <v>339</v>
      </c>
      <c r="B47" s="171" t="s">
        <v>276</v>
      </c>
    </row>
  </sheetData>
  <mergeCells count="2">
    <mergeCell ref="B2:F2"/>
    <mergeCell ref="H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7C5A-F2F3-408F-896F-4A00A57E4914}">
  <dimension ref="A1:F41"/>
  <sheetViews>
    <sheetView topLeftCell="A11" workbookViewId="0">
      <selection activeCell="B30" sqref="B30:B33"/>
    </sheetView>
  </sheetViews>
  <sheetFormatPr defaultRowHeight="14.4" x14ac:dyDescent="0.3"/>
  <cols>
    <col min="1" max="1" width="13.109375" customWidth="1"/>
    <col min="2" max="2" width="11.44140625" customWidth="1"/>
  </cols>
  <sheetData>
    <row r="1" spans="1:6" x14ac:dyDescent="0.3">
      <c r="B1" s="525" t="s">
        <v>340</v>
      </c>
      <c r="C1" s="526"/>
      <c r="D1" s="125"/>
      <c r="E1" s="527" t="s">
        <v>341</v>
      </c>
      <c r="F1" s="517"/>
    </row>
    <row r="2" spans="1:6" ht="27" x14ac:dyDescent="0.3">
      <c r="A2" s="29" t="s">
        <v>342</v>
      </c>
      <c r="B2" s="126" t="s">
        <v>62</v>
      </c>
      <c r="C2" s="127" t="s">
        <v>57</v>
      </c>
      <c r="D2" s="125"/>
      <c r="E2" s="127" t="s">
        <v>62</v>
      </c>
      <c r="F2" s="127" t="s">
        <v>57</v>
      </c>
    </row>
    <row r="3" spans="1:6" x14ac:dyDescent="0.3">
      <c r="A3">
        <v>1</v>
      </c>
      <c r="B3" s="120">
        <v>4.2056074766355138E-2</v>
      </c>
      <c r="C3" s="120">
        <v>3.6253776435045321E-2</v>
      </c>
      <c r="E3" s="120">
        <v>0.25267149258876248</v>
      </c>
      <c r="F3" s="128">
        <v>0.1146691263421787</v>
      </c>
    </row>
    <row r="4" spans="1:6" x14ac:dyDescent="0.3">
      <c r="A4">
        <v>2</v>
      </c>
      <c r="B4" s="120">
        <v>6.0747663551401869E-2</v>
      </c>
      <c r="C4" s="120">
        <v>7.2507552870090641E-2</v>
      </c>
      <c r="E4" s="120">
        <v>0.3160978972768011</v>
      </c>
      <c r="F4" s="128">
        <v>0.20747552149851001</v>
      </c>
    </row>
    <row r="5" spans="1:6" x14ac:dyDescent="0.3">
      <c r="A5">
        <v>3</v>
      </c>
      <c r="B5" s="120">
        <v>0.10981308411214953</v>
      </c>
      <c r="C5" s="120">
        <v>8.7613293051359523E-2</v>
      </c>
      <c r="E5" s="120">
        <v>0.39296794208893487</v>
      </c>
      <c r="F5" s="128">
        <v>0.28482900525046118</v>
      </c>
    </row>
    <row r="6" spans="1:6" x14ac:dyDescent="0.3">
      <c r="A6" s="29">
        <v>4</v>
      </c>
      <c r="B6" s="120">
        <v>0.12850467289719625</v>
      </c>
      <c r="C6" s="120">
        <v>0.12386706948640483</v>
      </c>
      <c r="E6" s="129">
        <v>0.47604274388142021</v>
      </c>
      <c r="F6" s="128">
        <v>0.36527647698784355</v>
      </c>
    </row>
    <row r="7" spans="1:6" x14ac:dyDescent="0.3">
      <c r="A7" s="27">
        <v>5</v>
      </c>
      <c r="B7" s="120">
        <v>0.16355140186915887</v>
      </c>
      <c r="C7" s="120">
        <v>0.20845921450151059</v>
      </c>
      <c r="D7" s="128"/>
      <c r="E7" s="120">
        <v>0.5701482247500862</v>
      </c>
      <c r="F7" s="130">
        <v>0.45014616148715764</v>
      </c>
    </row>
    <row r="8" spans="1:6" x14ac:dyDescent="0.3">
      <c r="A8" s="27">
        <v>6</v>
      </c>
      <c r="B8" s="120">
        <v>0.22663551401869159</v>
      </c>
      <c r="C8" s="120">
        <v>0.22960725075528701</v>
      </c>
      <c r="E8" s="120">
        <v>0.72147535332643897</v>
      </c>
      <c r="F8" s="128">
        <v>0.64007095217823196</v>
      </c>
    </row>
    <row r="9" spans="1:6" x14ac:dyDescent="0.3">
      <c r="A9" s="27">
        <v>7</v>
      </c>
      <c r="B9" s="120">
        <v>0.30140186915887851</v>
      </c>
      <c r="C9" s="120">
        <v>0.27794561933534745</v>
      </c>
      <c r="E9" s="131">
        <v>0.90486039296794207</v>
      </c>
      <c r="F9" s="128">
        <v>0.79481765290194417</v>
      </c>
    </row>
    <row r="10" spans="1:6" x14ac:dyDescent="0.3">
      <c r="A10" s="27">
        <v>8</v>
      </c>
      <c r="B10" s="120">
        <v>0.35046728971962615</v>
      </c>
      <c r="C10" s="120">
        <v>0.31117824773413899</v>
      </c>
      <c r="E10" s="120">
        <v>0.93864184763874525</v>
      </c>
      <c r="F10" s="132">
        <v>0.88854264225911739</v>
      </c>
    </row>
    <row r="11" spans="1:6" x14ac:dyDescent="0.3">
      <c r="A11" s="27">
        <v>9</v>
      </c>
      <c r="B11" s="120">
        <v>0.39485981308411217</v>
      </c>
      <c r="C11" s="120">
        <v>0.38670694864048338</v>
      </c>
      <c r="E11" s="120">
        <v>0.95001723543605654</v>
      </c>
      <c r="F11" s="128">
        <v>0.9422827680809801</v>
      </c>
    </row>
    <row r="12" spans="1:6" x14ac:dyDescent="0.3">
      <c r="A12" s="27">
        <v>10</v>
      </c>
      <c r="B12" s="120">
        <v>0.43691588785046731</v>
      </c>
      <c r="C12" s="120">
        <v>0.42900302114803623</v>
      </c>
      <c r="E12" s="120">
        <v>0.96242674939675976</v>
      </c>
      <c r="F12" s="128">
        <v>0.95465872002270469</v>
      </c>
    </row>
    <row r="13" spans="1:6" x14ac:dyDescent="0.3">
      <c r="A13" s="27">
        <v>11</v>
      </c>
      <c r="B13" s="129">
        <v>0.46962616822429909</v>
      </c>
      <c r="C13" s="129">
        <v>0.48036253776435045</v>
      </c>
      <c r="E13" s="120">
        <v>0.96552912788693557</v>
      </c>
      <c r="F13" s="128">
        <v>0.96530296580105013</v>
      </c>
    </row>
    <row r="14" spans="1:6" x14ac:dyDescent="0.3">
      <c r="A14" s="27">
        <v>12</v>
      </c>
      <c r="B14" s="120">
        <v>0.5070093457943925</v>
      </c>
      <c r="C14" s="120">
        <v>0.57401812688821752</v>
      </c>
      <c r="E14" s="120">
        <v>0.96863150637711137</v>
      </c>
      <c r="F14" s="128">
        <v>0.97390662693344687</v>
      </c>
    </row>
    <row r="15" spans="1:6" x14ac:dyDescent="0.3">
      <c r="A15" s="30" t="s">
        <v>237</v>
      </c>
      <c r="B15" s="120">
        <v>1</v>
      </c>
      <c r="C15" s="120">
        <v>1</v>
      </c>
      <c r="E15" s="120">
        <v>1</v>
      </c>
      <c r="F15" s="128">
        <v>1</v>
      </c>
    </row>
    <row r="21" spans="1:5" x14ac:dyDescent="0.3">
      <c r="B21" s="518" t="s">
        <v>18</v>
      </c>
      <c r="C21" s="519"/>
      <c r="D21" s="519"/>
      <c r="E21" s="528"/>
    </row>
    <row r="22" spans="1:5" ht="27" x14ac:dyDescent="0.3">
      <c r="A22" s="29" t="s">
        <v>127</v>
      </c>
      <c r="B22" s="28" t="s">
        <v>62</v>
      </c>
      <c r="C22" s="133" t="s">
        <v>57</v>
      </c>
      <c r="D22" s="28" t="s">
        <v>52</v>
      </c>
      <c r="E22" s="126" t="s">
        <v>132</v>
      </c>
    </row>
    <row r="23" spans="1:5" x14ac:dyDescent="0.3">
      <c r="A23" s="29">
        <v>0</v>
      </c>
      <c r="B23" s="134">
        <v>1</v>
      </c>
      <c r="C23" s="134">
        <v>1</v>
      </c>
      <c r="D23" s="134">
        <v>1</v>
      </c>
      <c r="E23" s="134">
        <v>1</v>
      </c>
    </row>
    <row r="24" spans="1:5" x14ac:dyDescent="0.3">
      <c r="A24">
        <v>1</v>
      </c>
      <c r="B24" s="134">
        <v>0.59</v>
      </c>
      <c r="C24" s="134">
        <v>0.59</v>
      </c>
      <c r="D24" s="134">
        <v>0.59</v>
      </c>
      <c r="E24" s="134">
        <v>0.59</v>
      </c>
    </row>
    <row r="25" spans="1:5" x14ac:dyDescent="0.3">
      <c r="A25">
        <v>2</v>
      </c>
      <c r="B25" s="135">
        <v>0.46</v>
      </c>
      <c r="C25" s="135">
        <v>0.46</v>
      </c>
      <c r="D25" s="135">
        <v>0.46</v>
      </c>
      <c r="E25" s="135">
        <v>0.46</v>
      </c>
    </row>
    <row r="26" spans="1:5" x14ac:dyDescent="0.3">
      <c r="A26">
        <v>3</v>
      </c>
      <c r="B26" s="134">
        <v>0.39</v>
      </c>
      <c r="C26" s="134">
        <v>0.39</v>
      </c>
      <c r="D26" s="134">
        <v>0.39</v>
      </c>
      <c r="E26" s="134">
        <v>0.39</v>
      </c>
    </row>
    <row r="27" spans="1:5" x14ac:dyDescent="0.3">
      <c r="A27" s="29">
        <v>4</v>
      </c>
      <c r="B27" s="136">
        <v>0.33</v>
      </c>
      <c r="C27" s="136">
        <v>0.33</v>
      </c>
      <c r="D27" s="136">
        <v>0.33</v>
      </c>
      <c r="E27" s="136">
        <v>0.33</v>
      </c>
    </row>
    <row r="28" spans="1:5" x14ac:dyDescent="0.3">
      <c r="A28" s="27">
        <v>5</v>
      </c>
      <c r="B28" s="136">
        <v>0.3</v>
      </c>
      <c r="C28" s="136">
        <v>0.3</v>
      </c>
      <c r="D28" s="136">
        <v>0.3</v>
      </c>
      <c r="E28" s="136">
        <v>0.3</v>
      </c>
    </row>
    <row r="29" spans="1:5" x14ac:dyDescent="0.3">
      <c r="A29" s="27">
        <v>6</v>
      </c>
      <c r="B29" s="136">
        <v>0.27</v>
      </c>
      <c r="C29" s="136">
        <v>0.27</v>
      </c>
      <c r="D29" s="136">
        <v>0.27</v>
      </c>
      <c r="E29" s="136">
        <v>0.27</v>
      </c>
    </row>
    <row r="30" spans="1:5" x14ac:dyDescent="0.3">
      <c r="A30" s="27">
        <v>7</v>
      </c>
      <c r="B30" s="128"/>
    </row>
    <row r="31" spans="1:5" x14ac:dyDescent="0.3">
      <c r="A31" s="27">
        <v>8</v>
      </c>
      <c r="B31" s="128"/>
    </row>
    <row r="32" spans="1:5" x14ac:dyDescent="0.3">
      <c r="A32" s="27">
        <v>9</v>
      </c>
      <c r="B32" s="128"/>
    </row>
    <row r="33" spans="1:2" x14ac:dyDescent="0.3">
      <c r="A33" s="27">
        <v>10</v>
      </c>
      <c r="B33" s="128"/>
    </row>
    <row r="34" spans="1:2" x14ac:dyDescent="0.3">
      <c r="A34" s="27">
        <v>11</v>
      </c>
    </row>
    <row r="35" spans="1:2" x14ac:dyDescent="0.3">
      <c r="A35" s="27">
        <v>12</v>
      </c>
    </row>
    <row r="36" spans="1:2" x14ac:dyDescent="0.3">
      <c r="A36" s="30" t="s">
        <v>237</v>
      </c>
    </row>
    <row r="38" spans="1:2" x14ac:dyDescent="0.3">
      <c r="A38" s="25" t="s">
        <v>116</v>
      </c>
    </row>
    <row r="39" spans="1:2" x14ac:dyDescent="0.3">
      <c r="A39" s="27" t="s">
        <v>343</v>
      </c>
    </row>
    <row r="40" spans="1:2" x14ac:dyDescent="0.3">
      <c r="A40" s="27" t="s">
        <v>344</v>
      </c>
    </row>
    <row r="41" spans="1:2" x14ac:dyDescent="0.3">
      <c r="A41" s="27" t="s">
        <v>345</v>
      </c>
    </row>
  </sheetData>
  <mergeCells count="3">
    <mergeCell ref="B1:C1"/>
    <mergeCell ref="E1:F1"/>
    <mergeCell ref="B21:E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B11D-CC08-4C57-B3D8-0A58380C17E0}">
  <dimension ref="A1:K39"/>
  <sheetViews>
    <sheetView topLeftCell="A2" workbookViewId="0">
      <selection activeCell="C5" sqref="C5"/>
    </sheetView>
  </sheetViews>
  <sheetFormatPr defaultRowHeight="14.4" x14ac:dyDescent="0.3"/>
  <cols>
    <col min="1" max="1" width="45.88671875" customWidth="1"/>
    <col min="2" max="2" width="16.109375" customWidth="1"/>
    <col min="3" max="3" width="19.88671875" customWidth="1"/>
    <col min="4" max="4" width="34.33203125" customWidth="1"/>
    <col min="5" max="5" width="64.5546875" customWidth="1"/>
    <col min="6" max="9" width="9.109375" bestFit="1" customWidth="1"/>
    <col min="10" max="10" width="25.109375" customWidth="1"/>
    <col min="11" max="11" width="11.6640625" customWidth="1"/>
  </cols>
  <sheetData>
    <row r="1" spans="1:11" ht="23.25" customHeight="1" x14ac:dyDescent="0.3">
      <c r="A1" s="400" t="s">
        <v>346</v>
      </c>
      <c r="B1" s="279" t="s">
        <v>347</v>
      </c>
      <c r="C1" s="295" t="s">
        <v>348</v>
      </c>
      <c r="D1" s="279" t="s">
        <v>349</v>
      </c>
    </row>
    <row r="2" spans="1:11" ht="72" customHeight="1" x14ac:dyDescent="0.3">
      <c r="A2" s="377" t="s">
        <v>350</v>
      </c>
      <c r="B2" s="280">
        <v>348</v>
      </c>
      <c r="C2" s="398" t="s">
        <v>351</v>
      </c>
      <c r="D2" s="399" t="s">
        <v>352</v>
      </c>
      <c r="E2" s="375"/>
      <c r="J2" s="256" t="s">
        <v>353</v>
      </c>
      <c r="K2" s="257">
        <v>0.37</v>
      </c>
    </row>
    <row r="3" spans="1:11" ht="72" customHeight="1" x14ac:dyDescent="0.3">
      <c r="A3" s="377" t="s">
        <v>354</v>
      </c>
      <c r="B3" s="280">
        <v>398</v>
      </c>
      <c r="C3" s="398" t="s">
        <v>355</v>
      </c>
      <c r="D3" s="399" t="s">
        <v>356</v>
      </c>
      <c r="E3" s="375"/>
      <c r="J3" s="256" t="s">
        <v>357</v>
      </c>
      <c r="K3" s="257">
        <v>0.02</v>
      </c>
    </row>
    <row r="4" spans="1:11" ht="72" customHeight="1" x14ac:dyDescent="0.3">
      <c r="A4" s="377" t="s">
        <v>358</v>
      </c>
      <c r="B4" s="280">
        <v>417</v>
      </c>
      <c r="C4" s="398" t="s">
        <v>359</v>
      </c>
      <c r="D4" s="399" t="s">
        <v>360</v>
      </c>
      <c r="E4" s="375"/>
    </row>
    <row r="5" spans="1:11" ht="72" customHeight="1" x14ac:dyDescent="0.3">
      <c r="A5" s="377" t="s">
        <v>361</v>
      </c>
      <c r="B5" s="280">
        <v>95170</v>
      </c>
      <c r="C5" s="505" t="s">
        <v>362</v>
      </c>
      <c r="D5" s="288" t="s">
        <v>363</v>
      </c>
      <c r="E5" s="375"/>
    </row>
    <row r="6" spans="1:11" ht="72" customHeight="1" x14ac:dyDescent="0.3">
      <c r="A6" s="377" t="s">
        <v>364</v>
      </c>
      <c r="B6" s="280">
        <v>93715</v>
      </c>
      <c r="C6" s="398" t="s">
        <v>365</v>
      </c>
      <c r="D6" s="288" t="s">
        <v>366</v>
      </c>
      <c r="E6" s="375"/>
    </row>
    <row r="7" spans="1:11" ht="72" customHeight="1" x14ac:dyDescent="0.3">
      <c r="A7" s="377" t="s">
        <v>367</v>
      </c>
      <c r="B7" s="280">
        <v>93796</v>
      </c>
      <c r="C7" s="398" t="s">
        <v>368</v>
      </c>
      <c r="D7" s="288" t="s">
        <v>369</v>
      </c>
      <c r="E7" s="375"/>
    </row>
    <row r="8" spans="1:11" ht="72" customHeight="1" x14ac:dyDescent="0.3">
      <c r="A8" s="377" t="s">
        <v>370</v>
      </c>
      <c r="B8" s="280">
        <v>95517</v>
      </c>
      <c r="C8" s="398" t="s">
        <v>371</v>
      </c>
      <c r="D8" s="288" t="s">
        <v>372</v>
      </c>
      <c r="E8" s="375"/>
    </row>
    <row r="9" spans="1:11" ht="72" customHeight="1" x14ac:dyDescent="0.3">
      <c r="A9" s="377" t="s">
        <v>373</v>
      </c>
      <c r="B9" s="280">
        <v>93965</v>
      </c>
      <c r="C9" s="398" t="s">
        <v>374</v>
      </c>
      <c r="D9" s="408" t="s">
        <v>375</v>
      </c>
      <c r="E9" s="375"/>
    </row>
    <row r="10" spans="1:11" ht="72" customHeight="1" x14ac:dyDescent="0.3">
      <c r="A10" s="377" t="s">
        <v>376</v>
      </c>
      <c r="B10" s="280">
        <v>4488</v>
      </c>
      <c r="C10" s="398" t="s">
        <v>377</v>
      </c>
      <c r="D10" s="399" t="s">
        <v>378</v>
      </c>
      <c r="E10" s="375"/>
    </row>
    <row r="11" spans="1:11" ht="72" customHeight="1" x14ac:dyDescent="0.3">
      <c r="A11" s="377" t="s">
        <v>379</v>
      </c>
      <c r="B11" s="280">
        <v>1008</v>
      </c>
      <c r="C11" s="398" t="s">
        <v>380</v>
      </c>
      <c r="D11" s="399" t="s">
        <v>381</v>
      </c>
      <c r="E11" s="375"/>
    </row>
    <row r="12" spans="1:11" ht="72" customHeight="1" x14ac:dyDescent="0.3">
      <c r="A12" s="377" t="s">
        <v>382</v>
      </c>
      <c r="B12" s="280">
        <v>95604</v>
      </c>
      <c r="C12" s="398" t="s">
        <v>383</v>
      </c>
      <c r="D12" s="401" t="s">
        <v>384</v>
      </c>
      <c r="E12" s="375"/>
    </row>
    <row r="13" spans="1:11" ht="72" customHeight="1" x14ac:dyDescent="0.3">
      <c r="A13" s="377" t="s">
        <v>385</v>
      </c>
      <c r="B13" s="280">
        <v>2721</v>
      </c>
      <c r="C13" s="398" t="s">
        <v>386</v>
      </c>
      <c r="D13" s="399" t="s">
        <v>387</v>
      </c>
      <c r="E13" s="375"/>
    </row>
    <row r="14" spans="1:11" ht="72" customHeight="1" x14ac:dyDescent="0.3">
      <c r="A14" s="377" t="s">
        <v>388</v>
      </c>
      <c r="B14" s="280">
        <v>376</v>
      </c>
      <c r="C14" s="398" t="s">
        <v>389</v>
      </c>
      <c r="D14" s="399" t="s">
        <v>390</v>
      </c>
      <c r="E14" s="375"/>
    </row>
    <row r="15" spans="1:11" ht="72" customHeight="1" x14ac:dyDescent="0.3">
      <c r="A15" s="377" t="s">
        <v>391</v>
      </c>
      <c r="B15" s="280">
        <v>426</v>
      </c>
      <c r="C15" s="398" t="s">
        <v>392</v>
      </c>
      <c r="D15" s="399" t="s">
        <v>393</v>
      </c>
      <c r="E15" s="375"/>
    </row>
    <row r="16" spans="1:11" ht="72" customHeight="1" x14ac:dyDescent="0.3">
      <c r="A16" s="377" t="s">
        <v>394</v>
      </c>
      <c r="B16" s="280">
        <v>250</v>
      </c>
      <c r="C16" s="398" t="s">
        <v>395</v>
      </c>
      <c r="D16" s="399" t="s">
        <v>396</v>
      </c>
      <c r="E16" s="375"/>
    </row>
    <row r="17" spans="1:11" ht="72" customHeight="1" x14ac:dyDescent="0.3">
      <c r="A17" s="377" t="s">
        <v>397</v>
      </c>
      <c r="B17" s="280">
        <v>93688</v>
      </c>
      <c r="C17" s="378" t="s">
        <v>398</v>
      </c>
      <c r="D17" s="288" t="s">
        <v>399</v>
      </c>
      <c r="E17" s="375"/>
    </row>
    <row r="18" spans="1:11" ht="72" customHeight="1" x14ac:dyDescent="0.3">
      <c r="A18" s="377" t="s">
        <v>400</v>
      </c>
      <c r="B18" s="261">
        <v>95473</v>
      </c>
      <c r="C18" s="308" t="s">
        <v>401</v>
      </c>
      <c r="D18" s="288" t="s">
        <v>402</v>
      </c>
      <c r="E18" s="375"/>
    </row>
    <row r="19" spans="1:11" ht="72" customHeight="1" x14ac:dyDescent="0.3">
      <c r="A19" s="374" t="s">
        <v>403</v>
      </c>
      <c r="B19" s="338">
        <v>94241</v>
      </c>
      <c r="C19" s="337" t="s">
        <v>404</v>
      </c>
      <c r="D19" s="288" t="s">
        <v>405</v>
      </c>
      <c r="E19" s="375" t="s">
        <v>406</v>
      </c>
    </row>
    <row r="20" spans="1:11" ht="72" customHeight="1" x14ac:dyDescent="0.3">
      <c r="A20" s="271" t="s">
        <v>407</v>
      </c>
      <c r="B20" s="338">
        <v>94322</v>
      </c>
      <c r="C20" s="337" t="s">
        <v>408</v>
      </c>
      <c r="D20" s="288" t="s">
        <v>409</v>
      </c>
      <c r="E20" s="375" t="s">
        <v>410</v>
      </c>
    </row>
    <row r="21" spans="1:11" ht="72" customHeight="1" x14ac:dyDescent="0.3">
      <c r="A21" s="271" t="s">
        <v>411</v>
      </c>
      <c r="B21" s="314">
        <v>95893</v>
      </c>
      <c r="C21" s="315" t="s">
        <v>412</v>
      </c>
      <c r="D21" s="288" t="s">
        <v>413</v>
      </c>
      <c r="E21" s="270"/>
    </row>
    <row r="22" spans="1:11" ht="72" customHeight="1" x14ac:dyDescent="0.3">
      <c r="A22" s="271" t="s">
        <v>414</v>
      </c>
      <c r="B22" s="338">
        <v>96012</v>
      </c>
      <c r="C22" s="337" t="s">
        <v>415</v>
      </c>
      <c r="D22" s="288" t="s">
        <v>416</v>
      </c>
      <c r="E22" s="270"/>
    </row>
    <row r="23" spans="1:11" ht="72" customHeight="1" x14ac:dyDescent="0.3">
      <c r="A23" s="271" t="s">
        <v>417</v>
      </c>
      <c r="B23" s="280">
        <v>95831</v>
      </c>
      <c r="C23" s="308" t="s">
        <v>418</v>
      </c>
      <c r="D23" s="311" t="s">
        <v>419</v>
      </c>
      <c r="E23" s="270"/>
    </row>
    <row r="24" spans="1:11" ht="72" customHeight="1" x14ac:dyDescent="0.3">
      <c r="A24" s="271" t="s">
        <v>420</v>
      </c>
      <c r="B24" s="280">
        <v>94927</v>
      </c>
      <c r="C24" s="308" t="s">
        <v>421</v>
      </c>
      <c r="D24" s="288" t="s">
        <v>422</v>
      </c>
      <c r="E24" s="270"/>
    </row>
    <row r="25" spans="1:11" ht="72" customHeight="1" x14ac:dyDescent="0.3">
      <c r="A25" s="271" t="s">
        <v>423</v>
      </c>
      <c r="B25" s="280">
        <v>95059</v>
      </c>
      <c r="C25" s="286" t="s">
        <v>424</v>
      </c>
      <c r="D25" s="288" t="s">
        <v>425</v>
      </c>
      <c r="E25" s="270" t="s">
        <v>426</v>
      </c>
    </row>
    <row r="26" spans="1:11" ht="72" customHeight="1" x14ac:dyDescent="0.3">
      <c r="A26" s="246" t="s">
        <v>427</v>
      </c>
      <c r="B26" s="272">
        <v>95219</v>
      </c>
      <c r="C26" s="282" t="s">
        <v>428</v>
      </c>
      <c r="D26" s="284" t="s">
        <v>429</v>
      </c>
      <c r="E26" s="270" t="s">
        <v>430</v>
      </c>
    </row>
    <row r="27" spans="1:11" ht="72" customHeight="1" x14ac:dyDescent="0.3">
      <c r="A27" s="271" t="s">
        <v>431</v>
      </c>
      <c r="B27" s="258">
        <v>104371</v>
      </c>
      <c r="C27" s="283" t="s">
        <v>432</v>
      </c>
      <c r="D27" s="285" t="s">
        <v>433</v>
      </c>
      <c r="E27" s="270"/>
    </row>
    <row r="28" spans="1:11" ht="15" customHeight="1" x14ac:dyDescent="0.3">
      <c r="A28" s="271" t="s">
        <v>434</v>
      </c>
      <c r="B28" s="273" t="s">
        <v>435</v>
      </c>
      <c r="C28" s="281" t="s">
        <v>436</v>
      </c>
      <c r="D28" s="245" t="s">
        <v>437</v>
      </c>
    </row>
    <row r="29" spans="1:11" ht="15" customHeight="1" x14ac:dyDescent="0.3">
      <c r="A29" s="246" t="s">
        <v>438</v>
      </c>
      <c r="B29" s="247">
        <v>174</v>
      </c>
      <c r="C29" s="248" t="s">
        <v>439</v>
      </c>
      <c r="D29" s="247">
        <v>0</v>
      </c>
    </row>
    <row r="30" spans="1:11" ht="15" customHeight="1" x14ac:dyDescent="0.3">
      <c r="A30" s="249" t="s">
        <v>438</v>
      </c>
      <c r="B30" s="247">
        <v>174</v>
      </c>
      <c r="C30" s="250" t="s">
        <v>439</v>
      </c>
      <c r="D30" s="251">
        <v>0</v>
      </c>
    </row>
    <row r="31" spans="1:11" ht="15" customHeight="1" x14ac:dyDescent="0.3">
      <c r="A31" s="252" t="s">
        <v>440</v>
      </c>
      <c r="B31" s="253">
        <v>80</v>
      </c>
      <c r="C31" s="254" t="s">
        <v>441</v>
      </c>
      <c r="D31" s="255">
        <v>1</v>
      </c>
      <c r="J31" s="503"/>
      <c r="K31" s="504"/>
    </row>
    <row r="32" spans="1:11" ht="15" customHeight="1" x14ac:dyDescent="0.3">
      <c r="A32" s="252" t="s">
        <v>442</v>
      </c>
      <c r="B32" s="258">
        <v>4954</v>
      </c>
      <c r="C32" s="254" t="s">
        <v>443</v>
      </c>
      <c r="D32" s="259" t="s">
        <v>444</v>
      </c>
    </row>
    <row r="33" spans="1:11" ht="15" customHeight="1" x14ac:dyDescent="0.3">
      <c r="A33" s="252" t="s">
        <v>445</v>
      </c>
      <c r="B33" s="258">
        <v>2185</v>
      </c>
      <c r="C33" s="254" t="s">
        <v>446</v>
      </c>
      <c r="D33" s="260" t="s">
        <v>447</v>
      </c>
      <c r="J33" s="503"/>
      <c r="K33" s="504"/>
    </row>
    <row r="34" spans="1:11" ht="15" customHeight="1" x14ac:dyDescent="0.3">
      <c r="A34" s="246" t="s">
        <v>448</v>
      </c>
      <c r="B34" s="261">
        <v>96846</v>
      </c>
      <c r="C34" s="262" t="s">
        <v>449</v>
      </c>
      <c r="D34" s="287" t="s">
        <v>450</v>
      </c>
    </row>
    <row r="35" spans="1:11" ht="15" customHeight="1" x14ac:dyDescent="0.3">
      <c r="A35" s="263"/>
      <c r="B35" s="264"/>
    </row>
    <row r="36" spans="1:11" ht="15" customHeight="1" x14ac:dyDescent="0.3">
      <c r="A36" s="263"/>
      <c r="B36" s="264"/>
      <c r="C36" s="264"/>
      <c r="D36" s="264"/>
    </row>
    <row r="37" spans="1:11" ht="15" customHeight="1" x14ac:dyDescent="0.3">
      <c r="A37" s="263"/>
      <c r="B37" s="264"/>
      <c r="C37" s="264"/>
      <c r="D37" s="264"/>
    </row>
    <row r="38" spans="1:11" ht="15" customHeight="1" x14ac:dyDescent="0.3">
      <c r="A38" s="263"/>
      <c r="B38" s="264"/>
      <c r="C38" s="264"/>
      <c r="D38" s="264"/>
    </row>
    <row r="39" spans="1:11" ht="15" customHeight="1" x14ac:dyDescent="0.3">
      <c r="A39" s="263"/>
      <c r="B39" s="265"/>
      <c r="C39" s="264"/>
      <c r="D39" s="264"/>
    </row>
  </sheetData>
  <hyperlinks>
    <hyperlink ref="E20" r:id="rId1" xr:uid="{D8C58A6F-2085-4A0B-80FD-48C0F3AB9264}"/>
    <hyperlink ref="E19" r:id="rId2" xr:uid="{4DAFCC56-7E8F-4CAA-A968-07EE21C05B0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5F-D63A-4217-B9C6-700FD3D56ECF}">
  <dimension ref="A1:G89"/>
  <sheetViews>
    <sheetView topLeftCell="A9" workbookViewId="0">
      <selection activeCell="B32" sqref="B32"/>
    </sheetView>
  </sheetViews>
  <sheetFormatPr defaultRowHeight="14.4" x14ac:dyDescent="0.3"/>
  <cols>
    <col min="1" max="1" width="11.5546875" customWidth="1"/>
    <col min="2" max="2" width="35" customWidth="1"/>
    <col min="3" max="3" width="32" customWidth="1"/>
    <col min="4" max="4" width="46.33203125" customWidth="1"/>
    <col min="5" max="6" width="9.109375" bestFit="1" customWidth="1"/>
    <col min="7" max="7" width="29.33203125" customWidth="1"/>
  </cols>
  <sheetData>
    <row r="1" spans="1:7" ht="15" customHeight="1" x14ac:dyDescent="0.3">
      <c r="A1" s="397" t="s">
        <v>451</v>
      </c>
      <c r="B1" s="397" t="s">
        <v>452</v>
      </c>
      <c r="C1" s="397" t="s">
        <v>453</v>
      </c>
      <c r="D1" s="396" t="s">
        <v>454</v>
      </c>
      <c r="G1" s="266"/>
    </row>
    <row r="2" spans="1:7" ht="15" customHeight="1" x14ac:dyDescent="0.3">
      <c r="A2" s="267">
        <v>45919</v>
      </c>
      <c r="B2" s="268" t="s">
        <v>455</v>
      </c>
      <c r="C2" s="274" t="s">
        <v>456</v>
      </c>
      <c r="D2" t="s">
        <v>457</v>
      </c>
    </row>
    <row r="3" spans="1:7" ht="15" customHeight="1" x14ac:dyDescent="0.3">
      <c r="A3" s="267">
        <v>45919</v>
      </c>
      <c r="B3" s="268" t="s">
        <v>458</v>
      </c>
      <c r="C3" s="274" t="s">
        <v>459</v>
      </c>
      <c r="D3" t="s">
        <v>457</v>
      </c>
    </row>
    <row r="4" spans="1:7" ht="15" customHeight="1" x14ac:dyDescent="0.3">
      <c r="A4" s="267">
        <v>45918</v>
      </c>
      <c r="B4" s="268" t="s">
        <v>460</v>
      </c>
      <c r="C4" s="274" t="s">
        <v>461</v>
      </c>
      <c r="D4" t="s">
        <v>462</v>
      </c>
    </row>
    <row r="5" spans="1:7" ht="15" customHeight="1" x14ac:dyDescent="0.3">
      <c r="A5" s="267">
        <v>45918</v>
      </c>
      <c r="B5" s="268" t="s">
        <v>463</v>
      </c>
      <c r="C5" s="274" t="s">
        <v>464</v>
      </c>
      <c r="D5" t="s">
        <v>465</v>
      </c>
    </row>
    <row r="6" spans="1:7" ht="15" customHeight="1" x14ac:dyDescent="0.3">
      <c r="A6" s="267">
        <v>45917</v>
      </c>
      <c r="B6" s="268" t="s">
        <v>466</v>
      </c>
      <c r="C6" s="274" t="s">
        <v>467</v>
      </c>
      <c r="D6" t="s">
        <v>462</v>
      </c>
    </row>
    <row r="7" spans="1:7" ht="15" customHeight="1" x14ac:dyDescent="0.3">
      <c r="A7" s="267">
        <v>45917</v>
      </c>
      <c r="B7" s="268" t="s">
        <v>468</v>
      </c>
      <c r="C7" s="274" t="s">
        <v>469</v>
      </c>
      <c r="D7" t="s">
        <v>470</v>
      </c>
    </row>
    <row r="8" spans="1:7" ht="15" customHeight="1" x14ac:dyDescent="0.3">
      <c r="A8" s="267">
        <v>45916</v>
      </c>
      <c r="B8" s="268" t="s">
        <v>471</v>
      </c>
      <c r="C8" s="274" t="s">
        <v>472</v>
      </c>
      <c r="D8" t="s">
        <v>473</v>
      </c>
    </row>
    <row r="9" spans="1:7" ht="15" customHeight="1" x14ac:dyDescent="0.3">
      <c r="A9" s="267">
        <v>45916</v>
      </c>
      <c r="B9" s="268" t="s">
        <v>474</v>
      </c>
      <c r="C9" s="274" t="s">
        <v>475</v>
      </c>
      <c r="D9" t="s">
        <v>476</v>
      </c>
    </row>
    <row r="10" spans="1:7" ht="15" customHeight="1" x14ac:dyDescent="0.3">
      <c r="A10" s="267">
        <v>45915</v>
      </c>
      <c r="B10" s="268" t="s">
        <v>477</v>
      </c>
      <c r="C10" s="274" t="s">
        <v>478</v>
      </c>
      <c r="D10" t="s">
        <v>479</v>
      </c>
    </row>
    <row r="11" spans="1:7" ht="15" customHeight="1" x14ac:dyDescent="0.3">
      <c r="A11" s="267">
        <v>45915</v>
      </c>
      <c r="B11" s="268" t="s">
        <v>480</v>
      </c>
      <c r="C11" s="274" t="s">
        <v>481</v>
      </c>
      <c r="D11" t="s">
        <v>482</v>
      </c>
    </row>
    <row r="12" spans="1:7" ht="15" customHeight="1" x14ac:dyDescent="0.3">
      <c r="A12" s="267">
        <v>45913</v>
      </c>
      <c r="B12" s="268" t="s">
        <v>483</v>
      </c>
      <c r="C12" s="274" t="s">
        <v>484</v>
      </c>
      <c r="D12" t="s">
        <v>485</v>
      </c>
    </row>
    <row r="13" spans="1:7" ht="15" customHeight="1" x14ac:dyDescent="0.3">
      <c r="A13" s="267">
        <v>45913</v>
      </c>
      <c r="B13" s="268" t="s">
        <v>486</v>
      </c>
      <c r="C13" s="274" t="s">
        <v>461</v>
      </c>
      <c r="D13" t="s">
        <v>487</v>
      </c>
    </row>
    <row r="14" spans="1:7" ht="15" customHeight="1" x14ac:dyDescent="0.3">
      <c r="A14" s="267">
        <v>45912</v>
      </c>
      <c r="B14" s="268" t="s">
        <v>488</v>
      </c>
      <c r="C14" s="274" t="s">
        <v>489</v>
      </c>
      <c r="D14" t="s">
        <v>490</v>
      </c>
    </row>
    <row r="15" spans="1:7" ht="15" customHeight="1" x14ac:dyDescent="0.3">
      <c r="A15" s="267">
        <v>45912</v>
      </c>
      <c r="B15" s="268" t="s">
        <v>491</v>
      </c>
      <c r="C15" s="274" t="s">
        <v>492</v>
      </c>
      <c r="D15" t="s">
        <v>493</v>
      </c>
    </row>
    <row r="16" spans="1:7" ht="15" customHeight="1" x14ac:dyDescent="0.3">
      <c r="A16" s="267">
        <v>45911</v>
      </c>
      <c r="B16" s="268" t="s">
        <v>494</v>
      </c>
      <c r="C16" s="274" t="s">
        <v>495</v>
      </c>
      <c r="D16" t="s">
        <v>496</v>
      </c>
    </row>
    <row r="17" spans="1:4" ht="15" customHeight="1" x14ac:dyDescent="0.3">
      <c r="A17" s="267">
        <v>45909</v>
      </c>
      <c r="B17" s="268" t="s">
        <v>497</v>
      </c>
      <c r="C17" s="274" t="s">
        <v>498</v>
      </c>
      <c r="D17" t="s">
        <v>499</v>
      </c>
    </row>
    <row r="18" spans="1:4" ht="15" customHeight="1" x14ac:dyDescent="0.3">
      <c r="A18" s="267">
        <v>45909</v>
      </c>
      <c r="B18" t="s">
        <v>500</v>
      </c>
      <c r="C18" s="274" t="s">
        <v>461</v>
      </c>
      <c r="D18" t="s">
        <v>501</v>
      </c>
    </row>
    <row r="19" spans="1:4" ht="15" customHeight="1" x14ac:dyDescent="0.3">
      <c r="A19" s="267">
        <v>45908</v>
      </c>
      <c r="B19" s="268" t="s">
        <v>502</v>
      </c>
      <c r="C19" s="274" t="s">
        <v>503</v>
      </c>
      <c r="D19" t="s">
        <v>504</v>
      </c>
    </row>
    <row r="20" spans="1:4" ht="15" customHeight="1" x14ac:dyDescent="0.3">
      <c r="A20" s="267">
        <v>45908</v>
      </c>
      <c r="B20" s="268" t="s">
        <v>505</v>
      </c>
      <c r="C20" s="274" t="s">
        <v>506</v>
      </c>
      <c r="D20" t="s">
        <v>507</v>
      </c>
    </row>
    <row r="21" spans="1:4" ht="15" customHeight="1" x14ac:dyDescent="0.3">
      <c r="A21" s="267">
        <v>45904</v>
      </c>
      <c r="B21" s="268" t="s">
        <v>508</v>
      </c>
      <c r="C21" s="274" t="s">
        <v>509</v>
      </c>
      <c r="D21" t="s">
        <v>510</v>
      </c>
    </row>
    <row r="22" spans="1:4" ht="15" customHeight="1" x14ac:dyDescent="0.3">
      <c r="A22" s="267">
        <v>45904</v>
      </c>
      <c r="B22" s="268" t="s">
        <v>511</v>
      </c>
      <c r="C22" s="274" t="s">
        <v>512</v>
      </c>
      <c r="D22" t="s">
        <v>513</v>
      </c>
    </row>
    <row r="23" spans="1:4" ht="15" customHeight="1" x14ac:dyDescent="0.3">
      <c r="A23" s="267">
        <v>45903</v>
      </c>
      <c r="B23" s="268" t="s">
        <v>514</v>
      </c>
      <c r="C23" s="274" t="s">
        <v>515</v>
      </c>
      <c r="D23" t="s">
        <v>516</v>
      </c>
    </row>
    <row r="24" spans="1:4" ht="15" customHeight="1" x14ac:dyDescent="0.3">
      <c r="A24" s="267">
        <v>45903</v>
      </c>
      <c r="B24" s="268" t="s">
        <v>517</v>
      </c>
      <c r="C24" s="274" t="s">
        <v>495</v>
      </c>
      <c r="D24" t="s">
        <v>518</v>
      </c>
    </row>
    <row r="25" spans="1:4" ht="15" customHeight="1" x14ac:dyDescent="0.3">
      <c r="A25" s="267">
        <v>45902</v>
      </c>
      <c r="B25" s="268" t="s">
        <v>519</v>
      </c>
      <c r="C25" s="274" t="s">
        <v>467</v>
      </c>
      <c r="D25" t="s">
        <v>520</v>
      </c>
    </row>
    <row r="26" spans="1:4" ht="15" customHeight="1" x14ac:dyDescent="0.3">
      <c r="A26" s="267"/>
      <c r="B26" s="268"/>
      <c r="C26" s="274"/>
    </row>
    <row r="27" spans="1:4" ht="15" customHeight="1" x14ac:dyDescent="0.3">
      <c r="A27" s="393" t="s">
        <v>451</v>
      </c>
      <c r="B27" s="392" t="s">
        <v>521</v>
      </c>
      <c r="C27" s="394" t="s">
        <v>453</v>
      </c>
      <c r="D27" s="395" t="s">
        <v>454</v>
      </c>
    </row>
    <row r="28" spans="1:4" ht="15" customHeight="1" x14ac:dyDescent="0.3">
      <c r="A28" s="267" t="s">
        <v>522</v>
      </c>
      <c r="B28" s="268" t="s">
        <v>523</v>
      </c>
      <c r="C28" s="274" t="s">
        <v>524</v>
      </c>
      <c r="D28" t="s">
        <v>525</v>
      </c>
    </row>
    <row r="29" spans="1:4" ht="15" customHeight="1" x14ac:dyDescent="0.3">
      <c r="A29" s="267" t="s">
        <v>526</v>
      </c>
      <c r="B29" s="268" t="s">
        <v>527</v>
      </c>
      <c r="C29" s="274" t="s">
        <v>528</v>
      </c>
      <c r="D29" s="274" t="s">
        <v>529</v>
      </c>
    </row>
    <row r="30" spans="1:4" ht="15" customHeight="1" x14ac:dyDescent="0.3">
      <c r="A30" s="267" t="s">
        <v>530</v>
      </c>
      <c r="B30" s="269" t="s">
        <v>531</v>
      </c>
      <c r="C30" s="274" t="s">
        <v>532</v>
      </c>
      <c r="D30" t="s">
        <v>533</v>
      </c>
    </row>
    <row r="31" spans="1:4" ht="17.25" customHeight="1" x14ac:dyDescent="0.3">
      <c r="A31" s="267"/>
      <c r="B31" s="268"/>
      <c r="C31" s="274"/>
      <c r="D31" s="274"/>
    </row>
    <row r="32" spans="1:4" ht="17.25" customHeight="1" x14ac:dyDescent="0.3">
      <c r="A32" s="267"/>
      <c r="B32" s="269"/>
      <c r="C32" s="274"/>
    </row>
    <row r="33" spans="1:4" ht="17.25" customHeight="1" x14ac:dyDescent="0.3">
      <c r="A33" s="267"/>
      <c r="B33" s="269"/>
      <c r="C33" s="274"/>
    </row>
    <row r="34" spans="1:4" ht="17.25" customHeight="1" x14ac:dyDescent="0.3">
      <c r="A34" s="267"/>
      <c r="B34" s="268"/>
      <c r="C34" s="274"/>
    </row>
    <row r="35" spans="1:4" ht="17.25" customHeight="1" x14ac:dyDescent="0.3">
      <c r="A35" s="267"/>
      <c r="B35" s="268"/>
      <c r="C35" s="274"/>
      <c r="D35" s="274"/>
    </row>
    <row r="36" spans="1:4" ht="17.25" customHeight="1" x14ac:dyDescent="0.3">
      <c r="A36" s="267"/>
      <c r="B36" s="269"/>
      <c r="C36" s="274"/>
    </row>
    <row r="37" spans="1:4" ht="17.25" customHeight="1" x14ac:dyDescent="0.3">
      <c r="A37" s="267"/>
      <c r="B37" s="269"/>
      <c r="C37" s="274"/>
    </row>
    <row r="38" spans="1:4" ht="17.25" customHeight="1" x14ac:dyDescent="0.3">
      <c r="A38" s="267"/>
      <c r="B38" s="269"/>
      <c r="C38" s="274"/>
    </row>
    <row r="39" spans="1:4" ht="19.5" customHeight="1" x14ac:dyDescent="0.3">
      <c r="A39" s="309"/>
      <c r="C39" s="274"/>
    </row>
    <row r="40" spans="1:4" ht="19.5" customHeight="1" x14ac:dyDescent="0.3">
      <c r="A40" s="267">
        <v>45898</v>
      </c>
      <c r="B40" s="268" t="s">
        <v>534</v>
      </c>
      <c r="C40" s="274" t="s">
        <v>489</v>
      </c>
      <c r="D40" t="s">
        <v>535</v>
      </c>
    </row>
    <row r="41" spans="1:4" ht="19.5" customHeight="1" x14ac:dyDescent="0.3">
      <c r="A41" s="267">
        <v>45898</v>
      </c>
      <c r="B41" s="268" t="s">
        <v>536</v>
      </c>
      <c r="C41" s="274" t="s">
        <v>481</v>
      </c>
      <c r="D41" t="s">
        <v>537</v>
      </c>
    </row>
    <row r="42" spans="1:4" ht="19.5" customHeight="1" x14ac:dyDescent="0.3">
      <c r="A42" s="267">
        <v>45897</v>
      </c>
      <c r="B42" s="268" t="s">
        <v>538</v>
      </c>
      <c r="C42" s="274" t="s">
        <v>539</v>
      </c>
      <c r="D42" t="s">
        <v>540</v>
      </c>
    </row>
    <row r="43" spans="1:4" ht="19.5" customHeight="1" x14ac:dyDescent="0.3">
      <c r="A43" s="267">
        <v>45897</v>
      </c>
      <c r="B43" s="268" t="s">
        <v>541</v>
      </c>
      <c r="C43" s="274" t="s">
        <v>542</v>
      </c>
      <c r="D43" t="s">
        <v>543</v>
      </c>
    </row>
    <row r="44" spans="1:4" ht="19.5" customHeight="1" x14ac:dyDescent="0.3">
      <c r="A44" s="267">
        <v>45896</v>
      </c>
      <c r="B44" s="268" t="s">
        <v>544</v>
      </c>
      <c r="C44" s="274" t="s">
        <v>542</v>
      </c>
      <c r="D44" t="s">
        <v>462</v>
      </c>
    </row>
    <row r="45" spans="1:4" ht="19.5" customHeight="1" x14ac:dyDescent="0.3">
      <c r="A45" s="267">
        <v>45896</v>
      </c>
      <c r="B45" s="268" t="s">
        <v>545</v>
      </c>
      <c r="C45" s="274" t="s">
        <v>481</v>
      </c>
      <c r="D45" t="s">
        <v>546</v>
      </c>
    </row>
    <row r="46" spans="1:4" ht="19.5" customHeight="1" x14ac:dyDescent="0.3">
      <c r="A46" s="267">
        <v>45895</v>
      </c>
      <c r="B46" s="268" t="s">
        <v>547</v>
      </c>
      <c r="C46" s="274" t="s">
        <v>548</v>
      </c>
      <c r="D46" t="s">
        <v>549</v>
      </c>
    </row>
    <row r="47" spans="1:4" ht="19.5" customHeight="1" x14ac:dyDescent="0.3">
      <c r="A47" s="267">
        <v>45895</v>
      </c>
      <c r="B47" s="268" t="s">
        <v>550</v>
      </c>
      <c r="C47" s="274" t="s">
        <v>551</v>
      </c>
      <c r="D47" t="s">
        <v>552</v>
      </c>
    </row>
    <row r="48" spans="1:4" ht="19.5" customHeight="1" x14ac:dyDescent="0.3">
      <c r="A48" s="267">
        <v>45891</v>
      </c>
      <c r="B48" s="268" t="s">
        <v>553</v>
      </c>
      <c r="C48" s="274">
        <v>1625</v>
      </c>
      <c r="D48" t="s">
        <v>554</v>
      </c>
    </row>
    <row r="49" spans="1:4" ht="19.5" customHeight="1" x14ac:dyDescent="0.3">
      <c r="A49" s="267">
        <v>45891</v>
      </c>
      <c r="B49" s="268" t="s">
        <v>555</v>
      </c>
      <c r="C49" s="274">
        <v>2570</v>
      </c>
      <c r="D49" t="s">
        <v>556</v>
      </c>
    </row>
    <row r="50" spans="1:4" ht="19.5" customHeight="1" x14ac:dyDescent="0.3">
      <c r="A50" s="267">
        <v>45890</v>
      </c>
      <c r="B50" s="268" t="s">
        <v>557</v>
      </c>
      <c r="C50" s="274">
        <v>1005</v>
      </c>
      <c r="D50" t="s">
        <v>462</v>
      </c>
    </row>
    <row r="51" spans="1:4" ht="19.5" customHeight="1" x14ac:dyDescent="0.3">
      <c r="A51" s="267">
        <v>45890</v>
      </c>
      <c r="B51" s="268" t="s">
        <v>558</v>
      </c>
      <c r="C51" s="274">
        <v>813</v>
      </c>
      <c r="D51" t="s">
        <v>476</v>
      </c>
    </row>
    <row r="52" spans="1:4" ht="19.5" customHeight="1" x14ac:dyDescent="0.3">
      <c r="A52" s="267">
        <v>45883</v>
      </c>
      <c r="B52" s="268" t="s">
        <v>559</v>
      </c>
      <c r="C52" s="274">
        <v>966</v>
      </c>
      <c r="D52" t="s">
        <v>546</v>
      </c>
    </row>
    <row r="53" spans="1:4" ht="19.5" customHeight="1" x14ac:dyDescent="0.3">
      <c r="A53" s="267">
        <v>45883</v>
      </c>
      <c r="B53" s="268" t="s">
        <v>560</v>
      </c>
      <c r="C53" s="274">
        <v>1895</v>
      </c>
      <c r="D53" t="s">
        <v>561</v>
      </c>
    </row>
    <row r="54" spans="1:4" ht="19.5" customHeight="1" x14ac:dyDescent="0.3">
      <c r="A54" s="267">
        <v>45881</v>
      </c>
      <c r="B54" s="268" t="s">
        <v>562</v>
      </c>
      <c r="C54" s="274">
        <v>3290</v>
      </c>
      <c r="D54" t="s">
        <v>520</v>
      </c>
    </row>
    <row r="55" spans="1:4" ht="19.5" customHeight="1" x14ac:dyDescent="0.3">
      <c r="A55" s="267">
        <v>45881</v>
      </c>
      <c r="B55" s="268" t="s">
        <v>563</v>
      </c>
      <c r="C55" s="274">
        <v>1785</v>
      </c>
      <c r="D55" t="s">
        <v>520</v>
      </c>
    </row>
    <row r="56" spans="1:4" ht="19.5" customHeight="1" x14ac:dyDescent="0.3">
      <c r="A56" s="267">
        <v>45876</v>
      </c>
      <c r="B56" s="268" t="s">
        <v>564</v>
      </c>
      <c r="C56" s="274">
        <v>2394</v>
      </c>
      <c r="D56" t="s">
        <v>565</v>
      </c>
    </row>
    <row r="57" spans="1:4" ht="19.5" customHeight="1" x14ac:dyDescent="0.3">
      <c r="A57" s="267">
        <v>45876</v>
      </c>
      <c r="B57" s="268" t="s">
        <v>566</v>
      </c>
      <c r="C57" s="274">
        <v>1879</v>
      </c>
      <c r="D57" t="s">
        <v>567</v>
      </c>
    </row>
    <row r="58" spans="1:4" ht="19.5" customHeight="1" x14ac:dyDescent="0.3">
      <c r="A58" s="267">
        <v>45876</v>
      </c>
      <c r="B58" s="268" t="s">
        <v>568</v>
      </c>
      <c r="C58" s="274">
        <v>2731</v>
      </c>
      <c r="D58" t="s">
        <v>569</v>
      </c>
    </row>
    <row r="59" spans="1:4" ht="19.5" customHeight="1" x14ac:dyDescent="0.3">
      <c r="A59" s="267">
        <v>45875</v>
      </c>
      <c r="B59" s="268" t="s">
        <v>570</v>
      </c>
      <c r="C59" s="274">
        <v>3331</v>
      </c>
      <c r="D59" t="s">
        <v>501</v>
      </c>
    </row>
    <row r="60" spans="1:4" ht="19.5" customHeight="1" x14ac:dyDescent="0.3">
      <c r="A60" s="267">
        <v>45875</v>
      </c>
      <c r="B60" s="268" t="s">
        <v>571</v>
      </c>
      <c r="C60" s="274">
        <v>1564</v>
      </c>
      <c r="D60" t="s">
        <v>465</v>
      </c>
    </row>
    <row r="61" spans="1:4" ht="19.5" customHeight="1" x14ac:dyDescent="0.3">
      <c r="A61" s="267">
        <v>45874</v>
      </c>
      <c r="B61" s="268" t="s">
        <v>572</v>
      </c>
      <c r="C61" s="274">
        <v>1589</v>
      </c>
      <c r="D61" t="s">
        <v>573</v>
      </c>
    </row>
    <row r="62" spans="1:4" ht="19.5" customHeight="1" x14ac:dyDescent="0.3">
      <c r="A62" s="267">
        <v>45874</v>
      </c>
      <c r="B62" s="268" t="s">
        <v>574</v>
      </c>
      <c r="C62" s="274">
        <v>4997</v>
      </c>
      <c r="D62" t="s">
        <v>575</v>
      </c>
    </row>
    <row r="63" spans="1:4" ht="19.5" customHeight="1" x14ac:dyDescent="0.3">
      <c r="A63" s="267">
        <v>45870</v>
      </c>
      <c r="B63" s="268" t="s">
        <v>576</v>
      </c>
      <c r="C63" s="274">
        <v>953</v>
      </c>
      <c r="D63" t="s">
        <v>577</v>
      </c>
    </row>
    <row r="64" spans="1:4" ht="19.5" customHeight="1" x14ac:dyDescent="0.3">
      <c r="A64" s="267">
        <v>45870</v>
      </c>
      <c r="B64" s="268" t="s">
        <v>578</v>
      </c>
      <c r="C64" s="274">
        <v>1105</v>
      </c>
      <c r="D64" t="s">
        <v>579</v>
      </c>
    </row>
    <row r="65" spans="1:4" x14ac:dyDescent="0.3">
      <c r="A65" s="267">
        <v>45860</v>
      </c>
      <c r="B65" s="268" t="s">
        <v>580</v>
      </c>
      <c r="C65" s="274">
        <v>3465</v>
      </c>
      <c r="D65" t="s">
        <v>581</v>
      </c>
    </row>
    <row r="66" spans="1:4" x14ac:dyDescent="0.3">
      <c r="A66" s="267">
        <v>45860</v>
      </c>
      <c r="B66" s="268" t="s">
        <v>582</v>
      </c>
      <c r="C66" s="274">
        <v>1537</v>
      </c>
      <c r="D66" t="s">
        <v>583</v>
      </c>
    </row>
    <row r="67" spans="1:4" x14ac:dyDescent="0.3">
      <c r="A67" s="267">
        <v>45865</v>
      </c>
      <c r="B67" s="268" t="s">
        <v>584</v>
      </c>
      <c r="C67" s="274">
        <v>563</v>
      </c>
      <c r="D67" t="s">
        <v>457</v>
      </c>
    </row>
    <row r="68" spans="1:4" x14ac:dyDescent="0.3">
      <c r="A68" s="267">
        <v>45865</v>
      </c>
      <c r="B68" s="268" t="s">
        <v>585</v>
      </c>
      <c r="C68" s="274">
        <v>1735</v>
      </c>
      <c r="D68" t="s">
        <v>504</v>
      </c>
    </row>
    <row r="69" spans="1:4" x14ac:dyDescent="0.3">
      <c r="A69" s="267">
        <v>45865</v>
      </c>
      <c r="B69" s="268" t="s">
        <v>586</v>
      </c>
      <c r="C69" s="274">
        <v>256</v>
      </c>
      <c r="D69" t="s">
        <v>462</v>
      </c>
    </row>
    <row r="70" spans="1:4" x14ac:dyDescent="0.3">
      <c r="A70" s="267">
        <v>45853</v>
      </c>
      <c r="B70" s="268" t="s">
        <v>587</v>
      </c>
      <c r="C70" s="274">
        <v>1641</v>
      </c>
      <c r="D70" t="s">
        <v>470</v>
      </c>
    </row>
    <row r="71" spans="1:4" x14ac:dyDescent="0.3">
      <c r="A71" s="267">
        <v>45853</v>
      </c>
      <c r="B71" s="268" t="s">
        <v>588</v>
      </c>
      <c r="C71" s="274">
        <v>4321</v>
      </c>
      <c r="D71" t="s">
        <v>589</v>
      </c>
    </row>
    <row r="72" spans="1:4" x14ac:dyDescent="0.3">
      <c r="A72" s="267">
        <v>45853</v>
      </c>
      <c r="B72" s="268" t="s">
        <v>590</v>
      </c>
      <c r="C72" s="274">
        <v>1013</v>
      </c>
      <c r="D72" t="s">
        <v>591</v>
      </c>
    </row>
    <row r="73" spans="1:4" x14ac:dyDescent="0.3">
      <c r="A73" s="267">
        <v>45853</v>
      </c>
      <c r="B73" s="268" t="s">
        <v>592</v>
      </c>
      <c r="C73" s="274">
        <v>1115</v>
      </c>
      <c r="D73" t="s">
        <v>462</v>
      </c>
    </row>
    <row r="74" spans="1:4" x14ac:dyDescent="0.3">
      <c r="A74" s="267">
        <v>45854</v>
      </c>
      <c r="B74" s="269" t="s">
        <v>593</v>
      </c>
      <c r="C74" s="274">
        <v>3157</v>
      </c>
      <c r="D74" t="s">
        <v>594</v>
      </c>
    </row>
    <row r="75" spans="1:4" x14ac:dyDescent="0.3">
      <c r="A75" s="267">
        <v>45854</v>
      </c>
      <c r="B75" s="269" t="s">
        <v>595</v>
      </c>
      <c r="C75" s="274">
        <v>1489</v>
      </c>
      <c r="D75" t="s">
        <v>596</v>
      </c>
    </row>
    <row r="76" spans="1:4" x14ac:dyDescent="0.3">
      <c r="A76" s="267">
        <v>45854</v>
      </c>
      <c r="B76" s="269" t="s">
        <v>597</v>
      </c>
      <c r="C76" s="274">
        <v>8022</v>
      </c>
      <c r="D76" t="s">
        <v>598</v>
      </c>
    </row>
    <row r="77" spans="1:4" x14ac:dyDescent="0.3">
      <c r="A77" s="309">
        <v>45855</v>
      </c>
      <c r="B77" t="s">
        <v>599</v>
      </c>
      <c r="C77" s="274">
        <v>1203</v>
      </c>
      <c r="D77" t="s">
        <v>470</v>
      </c>
    </row>
    <row r="78" spans="1:4" x14ac:dyDescent="0.3">
      <c r="A78" s="309">
        <v>45855</v>
      </c>
      <c r="B78" t="s">
        <v>600</v>
      </c>
      <c r="C78" s="274">
        <v>1101</v>
      </c>
      <c r="D78" t="s">
        <v>601</v>
      </c>
    </row>
    <row r="79" spans="1:4" x14ac:dyDescent="0.3">
      <c r="A79" s="309">
        <v>45855</v>
      </c>
      <c r="B79" t="s">
        <v>602</v>
      </c>
      <c r="C79" s="310">
        <v>3569</v>
      </c>
      <c r="D79" t="s">
        <v>510</v>
      </c>
    </row>
    <row r="80" spans="1:4" x14ac:dyDescent="0.3">
      <c r="A80" s="309">
        <v>45855</v>
      </c>
      <c r="B80" t="s">
        <v>603</v>
      </c>
      <c r="C80">
        <v>136</v>
      </c>
      <c r="D80" t="s">
        <v>604</v>
      </c>
    </row>
    <row r="81" spans="1:4" x14ac:dyDescent="0.3">
      <c r="A81" s="309">
        <v>45856</v>
      </c>
      <c r="B81" t="s">
        <v>605</v>
      </c>
      <c r="C81" s="274">
        <v>1000</v>
      </c>
      <c r="D81" t="s">
        <v>606</v>
      </c>
    </row>
    <row r="82" spans="1:4" x14ac:dyDescent="0.3">
      <c r="A82" s="309">
        <v>45856</v>
      </c>
      <c r="B82" t="s">
        <v>607</v>
      </c>
      <c r="C82" s="274">
        <v>2072</v>
      </c>
      <c r="D82" t="s">
        <v>608</v>
      </c>
    </row>
    <row r="83" spans="1:4" x14ac:dyDescent="0.3">
      <c r="A83" s="309">
        <v>45856</v>
      </c>
      <c r="B83" t="s">
        <v>609</v>
      </c>
      <c r="C83">
        <v>947</v>
      </c>
      <c r="D83" t="s">
        <v>487</v>
      </c>
    </row>
    <row r="84" spans="1:4" x14ac:dyDescent="0.3">
      <c r="A84" s="309">
        <v>45856</v>
      </c>
      <c r="B84" t="s">
        <v>610</v>
      </c>
      <c r="C84">
        <v>32</v>
      </c>
      <c r="D84" t="s">
        <v>604</v>
      </c>
    </row>
    <row r="85" spans="1:4" x14ac:dyDescent="0.3">
      <c r="A85" s="309"/>
    </row>
    <row r="86" spans="1:4" x14ac:dyDescent="0.3">
      <c r="B86" s="297" t="s">
        <v>521</v>
      </c>
    </row>
    <row r="87" spans="1:4" x14ac:dyDescent="0.3">
      <c r="A87" s="267">
        <v>45832</v>
      </c>
      <c r="B87" s="269" t="s">
        <v>611</v>
      </c>
      <c r="C87" s="274" t="s">
        <v>612</v>
      </c>
      <c r="D87" t="s">
        <v>613</v>
      </c>
    </row>
    <row r="88" spans="1:4" x14ac:dyDescent="0.3">
      <c r="A88" s="267">
        <v>45838</v>
      </c>
      <c r="B88" s="268" t="s">
        <v>614</v>
      </c>
      <c r="C88" t="s">
        <v>615</v>
      </c>
      <c r="D88" t="s">
        <v>616</v>
      </c>
    </row>
    <row r="89" spans="1:4" x14ac:dyDescent="0.3">
      <c r="A89" s="267">
        <v>45841</v>
      </c>
      <c r="B89" s="268" t="s">
        <v>617</v>
      </c>
      <c r="C89" t="s">
        <v>618</v>
      </c>
      <c r="D89" t="s">
        <v>619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BF80-7409-47D2-82F2-0B874BA64C71}">
  <dimension ref="A1:F62"/>
  <sheetViews>
    <sheetView workbookViewId="0">
      <selection activeCell="F21" sqref="F21"/>
    </sheetView>
  </sheetViews>
  <sheetFormatPr defaultRowHeight="14.4" x14ac:dyDescent="0.3"/>
  <cols>
    <col min="1" max="1" width="35" customWidth="1"/>
    <col min="2" max="2" width="37.109375" customWidth="1"/>
    <col min="3" max="3" width="22" customWidth="1"/>
    <col min="4" max="5" width="9.109375" bestFit="1" customWidth="1"/>
    <col min="6" max="6" width="29.33203125" customWidth="1"/>
  </cols>
  <sheetData>
    <row r="1" spans="1:3" x14ac:dyDescent="0.3">
      <c r="A1" s="531" t="s">
        <v>620</v>
      </c>
      <c r="B1" s="532"/>
      <c r="C1" s="532"/>
    </row>
    <row r="2" spans="1:3" x14ac:dyDescent="0.3">
      <c r="A2" s="290" t="s">
        <v>621</v>
      </c>
      <c r="B2" s="279" t="s">
        <v>622</v>
      </c>
      <c r="C2" s="279" t="s">
        <v>623</v>
      </c>
    </row>
    <row r="3" spans="1:3" x14ac:dyDescent="0.3">
      <c r="A3" t="s">
        <v>624</v>
      </c>
      <c r="B3" s="376">
        <v>18052</v>
      </c>
      <c r="C3">
        <v>164</v>
      </c>
    </row>
    <row r="4" spans="1:3" x14ac:dyDescent="0.3">
      <c r="A4" t="s">
        <v>625</v>
      </c>
      <c r="B4" s="274">
        <v>8322</v>
      </c>
      <c r="C4">
        <v>66</v>
      </c>
    </row>
    <row r="5" spans="1:3" x14ac:dyDescent="0.3">
      <c r="A5" t="s">
        <v>626</v>
      </c>
      <c r="B5" s="274">
        <v>7065</v>
      </c>
      <c r="C5">
        <v>86</v>
      </c>
    </row>
    <row r="6" spans="1:3" x14ac:dyDescent="0.3">
      <c r="A6" t="s">
        <v>627</v>
      </c>
      <c r="B6" s="274">
        <v>4084.5</v>
      </c>
      <c r="C6">
        <v>54</v>
      </c>
    </row>
    <row r="7" spans="1:3" x14ac:dyDescent="0.3">
      <c r="A7" t="s">
        <v>628</v>
      </c>
      <c r="B7" s="274">
        <v>3441</v>
      </c>
      <c r="C7">
        <v>38</v>
      </c>
    </row>
    <row r="8" spans="1:3" x14ac:dyDescent="0.3">
      <c r="A8" t="s">
        <v>155</v>
      </c>
      <c r="B8" s="274">
        <v>2892</v>
      </c>
      <c r="C8">
        <v>44</v>
      </c>
    </row>
    <row r="9" spans="1:3" x14ac:dyDescent="0.3">
      <c r="A9" t="s">
        <v>629</v>
      </c>
      <c r="B9" s="274">
        <v>2521</v>
      </c>
      <c r="C9">
        <v>29</v>
      </c>
    </row>
    <row r="10" spans="1:3" x14ac:dyDescent="0.3">
      <c r="A10" t="s">
        <v>630</v>
      </c>
      <c r="B10" s="274">
        <v>2454</v>
      </c>
      <c r="C10">
        <v>52</v>
      </c>
    </row>
    <row r="11" spans="1:3" x14ac:dyDescent="0.3">
      <c r="B11" s="274"/>
    </row>
    <row r="12" spans="1:3" x14ac:dyDescent="0.3">
      <c r="A12" s="531" t="s">
        <v>631</v>
      </c>
      <c r="B12" s="532"/>
      <c r="C12" s="532"/>
    </row>
    <row r="13" spans="1:3" x14ac:dyDescent="0.3">
      <c r="A13" s="290" t="s">
        <v>632</v>
      </c>
      <c r="B13" s="279" t="s">
        <v>633</v>
      </c>
      <c r="C13" s="279" t="s">
        <v>623</v>
      </c>
    </row>
    <row r="14" spans="1:3" x14ac:dyDescent="0.3">
      <c r="A14" t="s">
        <v>627</v>
      </c>
      <c r="B14" s="274">
        <v>17681</v>
      </c>
      <c r="C14">
        <v>161</v>
      </c>
    </row>
    <row r="15" spans="1:3" x14ac:dyDescent="0.3">
      <c r="A15" t="s">
        <v>624</v>
      </c>
      <c r="B15" s="274">
        <v>7995</v>
      </c>
      <c r="C15">
        <v>64</v>
      </c>
    </row>
    <row r="16" spans="1:3" x14ac:dyDescent="0.3">
      <c r="A16" t="s">
        <v>626</v>
      </c>
      <c r="B16" s="274">
        <v>5293</v>
      </c>
      <c r="C16">
        <v>64</v>
      </c>
    </row>
    <row r="17" spans="1:6" x14ac:dyDescent="0.3">
      <c r="A17" t="s">
        <v>634</v>
      </c>
      <c r="B17" s="274">
        <v>4084</v>
      </c>
      <c r="C17">
        <v>54</v>
      </c>
    </row>
    <row r="18" spans="1:6" x14ac:dyDescent="0.3">
      <c r="A18" t="s">
        <v>630</v>
      </c>
      <c r="B18" s="274">
        <v>2684</v>
      </c>
      <c r="C18">
        <v>31</v>
      </c>
    </row>
    <row r="19" spans="1:6" x14ac:dyDescent="0.3">
      <c r="A19" t="s">
        <v>155</v>
      </c>
      <c r="B19" s="274">
        <v>2343</v>
      </c>
      <c r="C19">
        <v>26</v>
      </c>
    </row>
    <row r="20" spans="1:6" x14ac:dyDescent="0.3">
      <c r="A20" t="s">
        <v>185</v>
      </c>
      <c r="B20" s="274">
        <v>2341</v>
      </c>
      <c r="C20">
        <v>38</v>
      </c>
    </row>
    <row r="21" spans="1:6" x14ac:dyDescent="0.3">
      <c r="A21" t="s">
        <v>635</v>
      </c>
      <c r="B21" s="274">
        <v>2308</v>
      </c>
      <c r="C21">
        <v>49</v>
      </c>
    </row>
    <row r="22" spans="1:6" x14ac:dyDescent="0.3">
      <c r="A22" t="s">
        <v>636</v>
      </c>
      <c r="B22" s="274">
        <v>2030</v>
      </c>
      <c r="C22">
        <v>26</v>
      </c>
    </row>
    <row r="23" spans="1:6" x14ac:dyDescent="0.3">
      <c r="A23" t="s">
        <v>628</v>
      </c>
      <c r="B23" s="289">
        <v>2004</v>
      </c>
      <c r="C23">
        <v>26</v>
      </c>
    </row>
    <row r="27" spans="1:6" x14ac:dyDescent="0.3">
      <c r="A27" s="531" t="s">
        <v>631</v>
      </c>
      <c r="B27" s="532"/>
      <c r="C27" s="532"/>
    </row>
    <row r="28" spans="1:6" x14ac:dyDescent="0.3">
      <c r="A28" s="290" t="s">
        <v>637</v>
      </c>
      <c r="B28" s="279" t="s">
        <v>638</v>
      </c>
      <c r="C28" s="279" t="s">
        <v>623</v>
      </c>
      <c r="F28" s="266"/>
    </row>
    <row r="29" spans="1:6" x14ac:dyDescent="0.3">
      <c r="A29" t="s">
        <v>624</v>
      </c>
      <c r="B29" s="289">
        <v>27675</v>
      </c>
      <c r="C29">
        <v>215</v>
      </c>
    </row>
    <row r="30" spans="1:6" x14ac:dyDescent="0.3">
      <c r="A30" t="s">
        <v>626</v>
      </c>
      <c r="B30" s="289">
        <v>9650</v>
      </c>
      <c r="C30">
        <v>116</v>
      </c>
    </row>
    <row r="31" spans="1:6" x14ac:dyDescent="0.3">
      <c r="A31" t="s">
        <v>630</v>
      </c>
      <c r="B31" s="289">
        <v>8677</v>
      </c>
      <c r="C31">
        <v>104</v>
      </c>
    </row>
    <row r="32" spans="1:6" x14ac:dyDescent="0.3">
      <c r="A32" t="s">
        <v>627</v>
      </c>
      <c r="B32" s="289">
        <v>9110</v>
      </c>
      <c r="C32">
        <v>84</v>
      </c>
    </row>
    <row r="33" spans="1:6" x14ac:dyDescent="0.3">
      <c r="A33" t="s">
        <v>155</v>
      </c>
      <c r="B33" s="274">
        <v>5110</v>
      </c>
      <c r="C33">
        <v>80</v>
      </c>
    </row>
    <row r="34" spans="1:6" x14ac:dyDescent="0.3">
      <c r="A34" t="s">
        <v>634</v>
      </c>
      <c r="B34" s="289">
        <v>5435</v>
      </c>
      <c r="C34">
        <v>73</v>
      </c>
    </row>
    <row r="35" spans="1:6" x14ac:dyDescent="0.3">
      <c r="A35" t="s">
        <v>636</v>
      </c>
      <c r="B35" s="289">
        <v>5145</v>
      </c>
      <c r="C35">
        <v>61</v>
      </c>
    </row>
    <row r="36" spans="1:6" x14ac:dyDescent="0.3">
      <c r="A36" t="s">
        <v>639</v>
      </c>
      <c r="B36" s="289">
        <v>4200</v>
      </c>
      <c r="C36">
        <v>56</v>
      </c>
    </row>
    <row r="37" spans="1:6" x14ac:dyDescent="0.3">
      <c r="A37" t="s">
        <v>172</v>
      </c>
      <c r="B37" s="289">
        <v>2970</v>
      </c>
      <c r="C37">
        <v>55</v>
      </c>
    </row>
    <row r="43" spans="1:6" x14ac:dyDescent="0.3">
      <c r="A43" s="531" t="s">
        <v>640</v>
      </c>
      <c r="B43" s="532"/>
      <c r="C43" s="532"/>
    </row>
    <row r="44" spans="1:6" ht="15" customHeight="1" x14ac:dyDescent="0.3">
      <c r="A44" s="290" t="s">
        <v>641</v>
      </c>
      <c r="B44" s="279" t="s">
        <v>642</v>
      </c>
      <c r="C44" s="279" t="s">
        <v>623</v>
      </c>
      <c r="F44" s="266"/>
    </row>
    <row r="45" spans="1:6" ht="15" customHeight="1" x14ac:dyDescent="0.3">
      <c r="A45" s="268" t="s">
        <v>626</v>
      </c>
      <c r="B45" s="289">
        <v>19205</v>
      </c>
      <c r="C45">
        <v>234</v>
      </c>
    </row>
    <row r="46" spans="1:6" ht="15" customHeight="1" x14ac:dyDescent="0.3">
      <c r="A46" s="268" t="s">
        <v>624</v>
      </c>
      <c r="B46" s="289">
        <v>16175</v>
      </c>
      <c r="C46">
        <v>130</v>
      </c>
    </row>
    <row r="47" spans="1:6" ht="15" customHeight="1" x14ac:dyDescent="0.3">
      <c r="A47" s="269" t="s">
        <v>627</v>
      </c>
      <c r="B47" s="289">
        <v>14107</v>
      </c>
      <c r="C47">
        <v>139</v>
      </c>
    </row>
    <row r="48" spans="1:6" ht="17.25" customHeight="1" x14ac:dyDescent="0.3">
      <c r="A48" t="s">
        <v>628</v>
      </c>
      <c r="B48" s="289">
        <v>12729</v>
      </c>
      <c r="C48">
        <v>186</v>
      </c>
    </row>
    <row r="49" spans="1:3" ht="17.25" customHeight="1" x14ac:dyDescent="0.3">
      <c r="A49" t="s">
        <v>643</v>
      </c>
      <c r="B49" s="289">
        <v>11391</v>
      </c>
      <c r="C49">
        <v>149</v>
      </c>
    </row>
    <row r="50" spans="1:3" ht="17.25" customHeight="1" x14ac:dyDescent="0.3">
      <c r="A50" t="s">
        <v>644</v>
      </c>
      <c r="B50" s="289">
        <v>11075</v>
      </c>
      <c r="C50">
        <v>168</v>
      </c>
    </row>
    <row r="51" spans="1:3" ht="19.5" customHeight="1" x14ac:dyDescent="0.3">
      <c r="A51" t="s">
        <v>629</v>
      </c>
      <c r="B51" s="289">
        <v>10715</v>
      </c>
      <c r="C51">
        <v>155</v>
      </c>
    </row>
    <row r="52" spans="1:3" x14ac:dyDescent="0.3">
      <c r="A52" t="s">
        <v>630</v>
      </c>
      <c r="B52" s="289">
        <v>9126</v>
      </c>
      <c r="C52">
        <v>129</v>
      </c>
    </row>
    <row r="53" spans="1:3" x14ac:dyDescent="0.3">
      <c r="A53" t="s">
        <v>625</v>
      </c>
      <c r="B53" s="289">
        <v>6150</v>
      </c>
      <c r="C53">
        <v>91</v>
      </c>
    </row>
    <row r="54" spans="1:3" x14ac:dyDescent="0.3">
      <c r="A54" t="s">
        <v>100</v>
      </c>
      <c r="B54" s="289">
        <v>6140</v>
      </c>
      <c r="C54">
        <v>60</v>
      </c>
    </row>
    <row r="56" spans="1:3" x14ac:dyDescent="0.3">
      <c r="A56" s="529" t="s">
        <v>645</v>
      </c>
      <c r="B56" s="530"/>
      <c r="C56" s="298"/>
    </row>
    <row r="57" spans="1:3" x14ac:dyDescent="0.3">
      <c r="A57" s="299" t="s">
        <v>646</v>
      </c>
      <c r="B57" s="300" t="s">
        <v>647</v>
      </c>
      <c r="C57" s="298"/>
    </row>
    <row r="58" spans="1:3" x14ac:dyDescent="0.3">
      <c r="A58" s="298" t="s">
        <v>648</v>
      </c>
      <c r="B58" s="301"/>
      <c r="C58" s="298"/>
    </row>
    <row r="59" spans="1:3" x14ac:dyDescent="0.3">
      <c r="A59" s="298" t="s">
        <v>649</v>
      </c>
      <c r="B59" s="301"/>
      <c r="C59" s="298"/>
    </row>
    <row r="60" spans="1:3" x14ac:dyDescent="0.3">
      <c r="A60" s="298" t="s">
        <v>650</v>
      </c>
      <c r="B60" s="301"/>
      <c r="C60" s="298"/>
    </row>
    <row r="61" spans="1:3" x14ac:dyDescent="0.3">
      <c r="A61" s="298" t="s">
        <v>651</v>
      </c>
      <c r="B61" s="298"/>
      <c r="C61" s="298"/>
    </row>
    <row r="62" spans="1:3" x14ac:dyDescent="0.3">
      <c r="A62" s="298" t="s">
        <v>652</v>
      </c>
      <c r="B62" s="298"/>
      <c r="C62" s="298"/>
    </row>
  </sheetData>
  <mergeCells count="5">
    <mergeCell ref="A56:B56"/>
    <mergeCell ref="A43:C43"/>
    <mergeCell ref="A27:C27"/>
    <mergeCell ref="A12:C12"/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508F-04F7-4D91-9DF1-36FA506CE61A}">
  <dimension ref="A1:L8"/>
  <sheetViews>
    <sheetView workbookViewId="0">
      <selection activeCell="A2" sqref="A2:C2"/>
    </sheetView>
  </sheetViews>
  <sheetFormatPr defaultRowHeight="14.4" x14ac:dyDescent="0.3"/>
  <cols>
    <col min="1" max="1" width="24.109375" customWidth="1"/>
    <col min="2" max="2" width="23.33203125" customWidth="1"/>
    <col min="3" max="3" width="8.6640625" customWidth="1"/>
    <col min="4" max="4" width="9.109375" style="343"/>
    <col min="5" max="5" width="16.109375" customWidth="1"/>
    <col min="6" max="6" width="18.88671875" customWidth="1"/>
    <col min="7" max="7" width="12.5546875" customWidth="1"/>
    <col min="8" max="8" width="9.109375" style="343"/>
    <col min="9" max="9" width="16.5546875" customWidth="1"/>
    <col min="10" max="10" width="18.44140625" customWidth="1"/>
    <col min="11" max="11" width="15.6640625" customWidth="1"/>
    <col min="12" max="12" width="9.109375" style="343"/>
  </cols>
  <sheetData>
    <row r="1" spans="1:11" ht="24.75" customHeight="1" x14ac:dyDescent="0.3">
      <c r="A1" s="339" t="s">
        <v>653</v>
      </c>
      <c r="B1" s="341" t="s">
        <v>654</v>
      </c>
      <c r="C1" s="340" t="s">
        <v>655</v>
      </c>
      <c r="E1" s="339" t="s">
        <v>656</v>
      </c>
      <c r="F1" s="341" t="s">
        <v>657</v>
      </c>
      <c r="G1" s="340" t="s">
        <v>655</v>
      </c>
      <c r="I1" s="339" t="s">
        <v>658</v>
      </c>
      <c r="J1" s="341" t="s">
        <v>659</v>
      </c>
      <c r="K1" s="340" t="s">
        <v>655</v>
      </c>
    </row>
    <row r="2" spans="1:11" x14ac:dyDescent="0.3">
      <c r="A2" s="380" t="s">
        <v>660</v>
      </c>
      <c r="B2" s="380"/>
      <c r="C2" s="380"/>
    </row>
    <row r="3" spans="1:11" x14ac:dyDescent="0.3">
      <c r="A3" t="s">
        <v>661</v>
      </c>
      <c r="B3" t="s">
        <v>662</v>
      </c>
      <c r="C3" s="342">
        <v>45870</v>
      </c>
    </row>
    <row r="4" spans="1:11" x14ac:dyDescent="0.3">
      <c r="A4" t="s">
        <v>663</v>
      </c>
      <c r="B4" t="s">
        <v>662</v>
      </c>
      <c r="C4" s="342">
        <v>45870</v>
      </c>
    </row>
    <row r="5" spans="1:11" x14ac:dyDescent="0.3">
      <c r="A5" t="s">
        <v>664</v>
      </c>
      <c r="B5" t="s">
        <v>662</v>
      </c>
      <c r="C5" s="342">
        <v>45870</v>
      </c>
    </row>
    <row r="6" spans="1:11" x14ac:dyDescent="0.3">
      <c r="A6" t="s">
        <v>665</v>
      </c>
      <c r="B6" t="s">
        <v>666</v>
      </c>
      <c r="C6" s="342">
        <v>45875</v>
      </c>
    </row>
    <row r="7" spans="1:11" x14ac:dyDescent="0.3">
      <c r="A7" t="s">
        <v>667</v>
      </c>
      <c r="B7" t="s">
        <v>668</v>
      </c>
      <c r="C7" s="342">
        <v>45875</v>
      </c>
    </row>
    <row r="8" spans="1:11" x14ac:dyDescent="0.3">
      <c r="A8" t="s">
        <v>669</v>
      </c>
      <c r="B8" t="s">
        <v>668</v>
      </c>
      <c r="C8" s="342">
        <v>45875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0A56-AA2D-44E9-A56E-218E79FA2077}">
  <dimension ref="A1:U72"/>
  <sheetViews>
    <sheetView workbookViewId="0">
      <pane ySplit="4" topLeftCell="A5" activePane="bottomLeft" state="frozen"/>
      <selection pane="bottomLeft" activeCell="I35" sqref="I35"/>
    </sheetView>
  </sheetViews>
  <sheetFormatPr defaultRowHeight="14.4" x14ac:dyDescent="0.3"/>
  <cols>
    <col min="1" max="1" width="10.5546875" customWidth="1"/>
    <col min="3" max="3" width="16.88671875" customWidth="1"/>
    <col min="5" max="6" width="14.5546875" bestFit="1" customWidth="1"/>
    <col min="7" max="7" width="15.5546875" bestFit="1" customWidth="1"/>
    <col min="8" max="8" width="10.6640625" bestFit="1" customWidth="1"/>
    <col min="9" max="10" width="14.5546875" bestFit="1" customWidth="1"/>
    <col min="11" max="11" width="10.6640625" bestFit="1" customWidth="1"/>
    <col min="12" max="13" width="14.5546875" bestFit="1" customWidth="1"/>
    <col min="14" max="14" width="10.6640625" bestFit="1" customWidth="1"/>
    <col min="15" max="15" width="11.88671875" bestFit="1" customWidth="1"/>
  </cols>
  <sheetData>
    <row r="1" spans="1:21" ht="65.25" customHeight="1" x14ac:dyDescent="0.3">
      <c r="A1" s="26"/>
      <c r="B1" s="2"/>
      <c r="C1" s="2"/>
      <c r="D1" s="1"/>
      <c r="E1" s="1"/>
      <c r="F1" s="3"/>
      <c r="G1" s="3"/>
      <c r="H1" s="1"/>
      <c r="I1" s="1"/>
      <c r="J1" s="1"/>
      <c r="K1" s="1"/>
      <c r="L1" s="1"/>
      <c r="M1" s="534" t="s">
        <v>670</v>
      </c>
      <c r="N1" s="534"/>
      <c r="O1" s="534"/>
      <c r="P1" s="534"/>
      <c r="Q1" s="534"/>
      <c r="R1" s="446"/>
      <c r="S1" s="1"/>
      <c r="T1" s="1"/>
      <c r="U1" s="6"/>
    </row>
    <row r="2" spans="1:21" x14ac:dyDescent="0.3">
      <c r="A2" s="2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</row>
    <row r="3" spans="1:21" x14ac:dyDescent="0.3">
      <c r="A3" s="426" t="s">
        <v>671</v>
      </c>
      <c r="B3" s="426"/>
      <c r="C3" s="426"/>
      <c r="D3" s="1"/>
      <c r="E3" s="535" t="s">
        <v>672</v>
      </c>
      <c r="F3" s="535"/>
      <c r="G3" s="535"/>
      <c r="H3" s="535"/>
      <c r="I3" s="536" t="s">
        <v>673</v>
      </c>
      <c r="J3" s="536"/>
      <c r="K3" s="536"/>
      <c r="L3" s="537" t="s">
        <v>17</v>
      </c>
      <c r="M3" s="537"/>
      <c r="N3" s="537"/>
      <c r="O3" s="535" t="s">
        <v>20</v>
      </c>
      <c r="P3" s="535"/>
      <c r="Q3" s="538"/>
    </row>
    <row r="4" spans="1:21" ht="16.2" x14ac:dyDescent="0.45">
      <c r="A4" s="533" t="s">
        <v>674</v>
      </c>
      <c r="B4" s="533"/>
      <c r="C4" s="533"/>
      <c r="D4" s="427" t="s">
        <v>675</v>
      </c>
      <c r="E4" s="428" t="s">
        <v>42</v>
      </c>
      <c r="F4" s="427" t="s">
        <v>676</v>
      </c>
      <c r="G4" s="429" t="s">
        <v>677</v>
      </c>
      <c r="H4" s="427" t="s">
        <v>678</v>
      </c>
      <c r="I4" s="428" t="s">
        <v>679</v>
      </c>
      <c r="J4" s="427" t="s">
        <v>680</v>
      </c>
      <c r="K4" s="427" t="s">
        <v>678</v>
      </c>
      <c r="L4" s="428" t="s">
        <v>679</v>
      </c>
      <c r="M4" s="427" t="s">
        <v>680</v>
      </c>
      <c r="N4" s="427" t="s">
        <v>678</v>
      </c>
      <c r="O4" s="428" t="s">
        <v>681</v>
      </c>
      <c r="P4" s="430" t="s">
        <v>682</v>
      </c>
      <c r="Q4" s="431" t="s">
        <v>683</v>
      </c>
    </row>
    <row r="5" spans="1:21" x14ac:dyDescent="0.3">
      <c r="A5" s="2" t="s">
        <v>684</v>
      </c>
      <c r="B5" s="2"/>
      <c r="C5" s="2"/>
      <c r="D5" s="432"/>
      <c r="E5" s="433" t="s">
        <v>276</v>
      </c>
      <c r="F5" s="432"/>
      <c r="G5" s="434"/>
      <c r="H5" s="432"/>
      <c r="I5" s="447" t="s">
        <v>276</v>
      </c>
      <c r="J5" s="448"/>
      <c r="K5" s="432"/>
      <c r="L5" s="447" t="s">
        <v>276</v>
      </c>
      <c r="M5" s="448"/>
      <c r="N5" s="432"/>
      <c r="O5" s="435" t="s">
        <v>276</v>
      </c>
      <c r="P5" s="432"/>
      <c r="Q5" s="436" t="s">
        <v>276</v>
      </c>
    </row>
    <row r="6" spans="1:21" x14ac:dyDescent="0.3">
      <c r="A6" s="1" t="s">
        <v>685</v>
      </c>
      <c r="B6" s="1" t="s">
        <v>686</v>
      </c>
      <c r="C6" s="1"/>
      <c r="D6" s="1" t="s">
        <v>687</v>
      </c>
      <c r="E6" s="443">
        <f>SUM('Performances by Week'!U15:U17)</f>
        <v>49998</v>
      </c>
      <c r="F6" s="444">
        <f>SUM('Performances by Week'!T15:T17)</f>
        <v>53339</v>
      </c>
      <c r="G6" s="449">
        <f>F6-E6</f>
        <v>3341</v>
      </c>
      <c r="H6" s="1">
        <f>SUM('Performances by Week'!P15:P17)</f>
        <v>895</v>
      </c>
      <c r="I6" s="443">
        <f>SUM('Performances by Week'!Z15:Z17)</f>
        <v>100000</v>
      </c>
      <c r="J6" s="444">
        <f>SUM('Performances by Week'!Y15:Y17)</f>
        <v>111230.70000000001</v>
      </c>
      <c r="K6" s="437">
        <f>SUM('Performances by Week'!X15:X17)</f>
        <v>1678</v>
      </c>
      <c r="L6" s="443">
        <f>SUM(E6,I6)</f>
        <v>149998</v>
      </c>
      <c r="M6" s="443">
        <f>SUM(F6,J6)</f>
        <v>164569.70000000001</v>
      </c>
      <c r="N6" s="437">
        <f>SUM(H6,K6)</f>
        <v>2573</v>
      </c>
      <c r="O6" s="445">
        <f>SUM('Performances by Week'!AB15:AB17)</f>
        <v>4299</v>
      </c>
      <c r="P6" s="439">
        <f>N6/O6</f>
        <v>0.59851128169341705</v>
      </c>
      <c r="Q6" s="441">
        <f>M6/N6</f>
        <v>63.960240963855426</v>
      </c>
    </row>
    <row r="7" spans="1:21" x14ac:dyDescent="0.3">
      <c r="A7" s="1" t="s">
        <v>688</v>
      </c>
      <c r="B7" s="1" t="s">
        <v>689</v>
      </c>
      <c r="C7" s="1"/>
      <c r="D7" s="1" t="s">
        <v>690</v>
      </c>
      <c r="E7" s="443">
        <f>SUM('Performances by Week'!U26:U28)</f>
        <v>85000</v>
      </c>
      <c r="F7" s="444">
        <f>SUM('Performances by Week'!T26:T28)</f>
        <v>48283</v>
      </c>
      <c r="G7" s="449">
        <f t="shared" ref="G7:G19" si="0">F7-E7</f>
        <v>-36717</v>
      </c>
      <c r="H7" s="78">
        <f>SUM('Performances by Week'!P26:P28)</f>
        <v>834</v>
      </c>
      <c r="I7" s="444">
        <f>SUM('Performances by Week'!Z26:Z28)</f>
        <v>140000</v>
      </c>
      <c r="J7" s="444">
        <f>SUM('Performances by Week'!Y26:Y28)</f>
        <v>96474.1</v>
      </c>
      <c r="K7" s="78">
        <f>SUM('Performances by Week'!X26:X28)</f>
        <v>1461</v>
      </c>
      <c r="L7" s="443">
        <f t="shared" ref="L7:M20" si="1">SUM(E7,I7)</f>
        <v>225000</v>
      </c>
      <c r="M7" s="443">
        <f t="shared" si="1"/>
        <v>144757.1</v>
      </c>
      <c r="N7" s="437">
        <f t="shared" ref="N7:N19" si="2">SUM(H7,K7)</f>
        <v>2295</v>
      </c>
      <c r="O7" s="78">
        <f>SUM('Performances by Week'!AB26:AB28)</f>
        <v>4299</v>
      </c>
      <c r="P7" s="439">
        <f t="shared" ref="P7:P20" si="3">N7/O7</f>
        <v>0.53384508025122124</v>
      </c>
      <c r="Q7" s="441">
        <f t="shared" ref="Q7:Q20" si="4">M7/N7</f>
        <v>63.074989106753819</v>
      </c>
    </row>
    <row r="8" spans="1:21" x14ac:dyDescent="0.3">
      <c r="A8" s="1" t="s">
        <v>691</v>
      </c>
      <c r="B8" s="1" t="s">
        <v>692</v>
      </c>
      <c r="C8" s="1"/>
      <c r="D8" s="1" t="s">
        <v>693</v>
      </c>
      <c r="E8" s="443">
        <f>SUM('Performances by Week'!U31:U33)</f>
        <v>38000</v>
      </c>
      <c r="F8" s="444">
        <f>SUM('Performances by Week'!T31:T33)</f>
        <v>18184</v>
      </c>
      <c r="G8" s="449">
        <f t="shared" si="0"/>
        <v>-19816</v>
      </c>
      <c r="H8" s="78">
        <f>SUM('Performances by Week'!P31:P33)</f>
        <v>301</v>
      </c>
      <c r="I8" s="444">
        <f>SUM('Performances by Week'!Z31:Z33)</f>
        <v>135000</v>
      </c>
      <c r="J8" s="444">
        <f>SUM('Performances by Week'!Y31:Y33)</f>
        <v>105210.1</v>
      </c>
      <c r="K8" s="78">
        <f>SUM('Performances by Week'!X31:X33)</f>
        <v>1572</v>
      </c>
      <c r="L8" s="443">
        <f t="shared" si="1"/>
        <v>173000</v>
      </c>
      <c r="M8" s="443">
        <f t="shared" si="1"/>
        <v>123394.1</v>
      </c>
      <c r="N8" s="437">
        <f t="shared" si="2"/>
        <v>1873</v>
      </c>
      <c r="O8" s="78">
        <f>SUM('Performances by Week'!AB31:AB33)</f>
        <v>4770</v>
      </c>
      <c r="P8" s="439">
        <f t="shared" si="3"/>
        <v>0.39266247379454927</v>
      </c>
      <c r="Q8" s="441">
        <f t="shared" si="4"/>
        <v>65.880459156433531</v>
      </c>
    </row>
    <row r="9" spans="1:21" x14ac:dyDescent="0.3">
      <c r="A9" s="1" t="s">
        <v>694</v>
      </c>
      <c r="B9" s="1" t="s">
        <v>695</v>
      </c>
      <c r="C9" s="1"/>
      <c r="D9" s="1" t="s">
        <v>696</v>
      </c>
      <c r="E9" s="443">
        <f>SUM('Performances by Week'!U52:U54)</f>
        <v>64998</v>
      </c>
      <c r="F9" s="444">
        <f>SUM('Performances by Week'!T52:T54)</f>
        <v>8795</v>
      </c>
      <c r="G9" s="449">
        <f t="shared" si="0"/>
        <v>-56203</v>
      </c>
      <c r="H9" s="78">
        <f>SUM('Performances by Week'!P52:P54)</f>
        <v>159</v>
      </c>
      <c r="I9" s="444">
        <f>SUM('Performances by Week'!Z52:Z54)</f>
        <v>100000</v>
      </c>
      <c r="J9" s="444">
        <f>SUM('Performances by Week'!Y52:Y54)</f>
        <v>111577.5</v>
      </c>
      <c r="K9" s="78">
        <f>SUM('Performances by Week'!X52:X54)</f>
        <v>1701</v>
      </c>
      <c r="L9" s="443">
        <f t="shared" si="1"/>
        <v>164998</v>
      </c>
      <c r="M9" s="443">
        <f t="shared" si="1"/>
        <v>120372.5</v>
      </c>
      <c r="N9" s="437">
        <f t="shared" si="2"/>
        <v>1860</v>
      </c>
      <c r="O9" s="78">
        <f>SUM('Performances by Week'!AB52:AB54)</f>
        <v>4770</v>
      </c>
      <c r="P9" s="439">
        <f t="shared" si="3"/>
        <v>0.38993710691823902</v>
      </c>
      <c r="Q9" s="441">
        <f t="shared" si="4"/>
        <v>64.716397849462368</v>
      </c>
    </row>
    <row r="10" spans="1:21" x14ac:dyDescent="0.3">
      <c r="A10" s="1" t="s">
        <v>697</v>
      </c>
      <c r="B10" s="1" t="s">
        <v>698</v>
      </c>
      <c r="C10" s="1"/>
      <c r="D10" s="1" t="s">
        <v>699</v>
      </c>
      <c r="E10" s="443">
        <f>SUM('Performances by Week'!U55:U57)</f>
        <v>70000</v>
      </c>
      <c r="F10" s="444">
        <f>SUM('Performances by Week'!T55:T57)</f>
        <v>16249</v>
      </c>
      <c r="G10" s="449">
        <f t="shared" si="0"/>
        <v>-53751</v>
      </c>
      <c r="H10" s="78">
        <f>SUM('Performances by Week'!P55:P57)</f>
        <v>270</v>
      </c>
      <c r="I10" s="444">
        <f>SUM('Performances by Week'!Z55:Z57)</f>
        <v>140000</v>
      </c>
      <c r="J10" s="444">
        <f>SUM('Performances by Week'!Y55:Y57)</f>
        <v>104865.09999999999</v>
      </c>
      <c r="K10" s="78">
        <f>SUM('Performances by Week'!X55:X57)</f>
        <v>1576</v>
      </c>
      <c r="L10" s="443">
        <f t="shared" si="1"/>
        <v>210000</v>
      </c>
      <c r="M10" s="443">
        <f t="shared" si="1"/>
        <v>121114.09999999999</v>
      </c>
      <c r="N10" s="437">
        <f t="shared" si="2"/>
        <v>1846</v>
      </c>
      <c r="O10" s="78">
        <f>SUM('Performances by Week'!AB55:AB57)</f>
        <v>4770</v>
      </c>
      <c r="P10" s="439">
        <f t="shared" si="3"/>
        <v>0.38700209643605871</v>
      </c>
      <c r="Q10" s="441">
        <f t="shared" si="4"/>
        <v>65.608938244853732</v>
      </c>
    </row>
    <row r="11" spans="1:21" x14ac:dyDescent="0.3">
      <c r="A11" s="1" t="s">
        <v>700</v>
      </c>
      <c r="B11" s="1" t="s">
        <v>701</v>
      </c>
      <c r="C11" s="1"/>
      <c r="D11" s="1" t="s">
        <v>702</v>
      </c>
      <c r="E11" s="443">
        <f>SUM('Performances by Week'!U62:U64)</f>
        <v>64000</v>
      </c>
      <c r="F11" s="444">
        <f>SUM('Performances by Week'!T62:T64)</f>
        <v>14060</v>
      </c>
      <c r="G11" s="449">
        <f t="shared" si="0"/>
        <v>-49940</v>
      </c>
      <c r="H11" s="78">
        <f>SUM('Performances by Week'!P62:P64)</f>
        <v>237</v>
      </c>
      <c r="I11" s="444">
        <f>SUM('Performances by Week'!Z62:Z64)</f>
        <v>140000</v>
      </c>
      <c r="J11" s="444">
        <f>SUM('Performances by Week'!Y62:Y64)</f>
        <v>103801.1</v>
      </c>
      <c r="K11" s="78">
        <f>SUM('Performances by Week'!X62:X64)</f>
        <v>1571</v>
      </c>
      <c r="L11" s="443">
        <f t="shared" si="1"/>
        <v>204000</v>
      </c>
      <c r="M11" s="443">
        <f t="shared" si="1"/>
        <v>117861.1</v>
      </c>
      <c r="N11" s="437">
        <f t="shared" si="2"/>
        <v>1808</v>
      </c>
      <c r="O11" s="78">
        <f>SUM('Performances by Week'!AB62:AB64)</f>
        <v>4770</v>
      </c>
      <c r="P11" s="439">
        <f t="shared" si="3"/>
        <v>0.37903563941299789</v>
      </c>
      <c r="Q11" s="441">
        <f t="shared" si="4"/>
        <v>65.188661504424786</v>
      </c>
    </row>
    <row r="12" spans="1:21" x14ac:dyDescent="0.3">
      <c r="A12" s="1" t="s">
        <v>703</v>
      </c>
      <c r="B12" s="1" t="s">
        <v>704</v>
      </c>
      <c r="C12" s="1"/>
      <c r="D12" s="1" t="s">
        <v>705</v>
      </c>
      <c r="E12" s="443">
        <f>SUM('Performances by Week'!U66:U68)</f>
        <v>39999</v>
      </c>
      <c r="F12" s="444">
        <f>SUM('Performances by Week'!T66:T68)</f>
        <v>6940</v>
      </c>
      <c r="G12" s="449">
        <f t="shared" si="0"/>
        <v>-33059</v>
      </c>
      <c r="H12" s="78">
        <f>SUM('Performances by Week'!P66:P68)</f>
        <v>155</v>
      </c>
      <c r="I12" s="444">
        <f>SUM('Performances by Week'!Z66:Z68)</f>
        <v>100000</v>
      </c>
      <c r="J12" s="444">
        <f>SUM('Performances by Week'!Y66:Y68)</f>
        <v>109967.29999999999</v>
      </c>
      <c r="K12" s="78">
        <f>SUM('Performances by Week'!X66:X68)</f>
        <v>1683</v>
      </c>
      <c r="L12" s="443">
        <f t="shared" si="1"/>
        <v>139999</v>
      </c>
      <c r="M12" s="443">
        <f t="shared" si="1"/>
        <v>116907.29999999999</v>
      </c>
      <c r="N12" s="437">
        <f t="shared" si="2"/>
        <v>1838</v>
      </c>
      <c r="O12" s="78">
        <f>SUM('Performances by Week'!AB66:AB68)</f>
        <v>4770</v>
      </c>
      <c r="P12" s="439">
        <f t="shared" si="3"/>
        <v>0.38532494758909852</v>
      </c>
      <c r="Q12" s="441">
        <f t="shared" si="4"/>
        <v>63.605712731229588</v>
      </c>
    </row>
    <row r="13" spans="1:21" x14ac:dyDescent="0.3">
      <c r="A13" s="1" t="s">
        <v>706</v>
      </c>
      <c r="B13" s="1" t="s">
        <v>707</v>
      </c>
      <c r="C13" s="1"/>
      <c r="D13" s="1" t="s">
        <v>708</v>
      </c>
      <c r="E13" s="443">
        <f>SUM('Performances by Week'!U79:U81)</f>
        <v>54999</v>
      </c>
      <c r="F13" s="444">
        <f>SUM('Performances by Week'!T79:T81)</f>
        <v>10846</v>
      </c>
      <c r="G13" s="449">
        <f t="shared" si="0"/>
        <v>-44153</v>
      </c>
      <c r="H13" s="78">
        <f>SUM('Performances by Week'!P79:P81)</f>
        <v>190</v>
      </c>
      <c r="I13" s="444">
        <f>SUM('Performances by Week'!Z79:Z81)</f>
        <v>110000</v>
      </c>
      <c r="J13" s="444">
        <f>SUM('Performances by Week'!Y79:Y81)</f>
        <v>111505.29999999999</v>
      </c>
      <c r="K13" s="78">
        <f>SUM('Performances by Week'!X79:X81)</f>
        <v>1708</v>
      </c>
      <c r="L13" s="443">
        <f t="shared" si="1"/>
        <v>164999</v>
      </c>
      <c r="M13" s="443">
        <f t="shared" si="1"/>
        <v>122351.29999999999</v>
      </c>
      <c r="N13" s="437">
        <f t="shared" si="2"/>
        <v>1898</v>
      </c>
      <c r="O13" s="78">
        <f>SUM('Performances by Week'!AB79:AB81)</f>
        <v>4770</v>
      </c>
      <c r="P13" s="439">
        <f t="shared" si="3"/>
        <v>0.39790356394129978</v>
      </c>
      <c r="Q13" s="441">
        <f t="shared" si="4"/>
        <v>64.463277133825073</v>
      </c>
    </row>
    <row r="14" spans="1:21" x14ac:dyDescent="0.3">
      <c r="A14" s="1" t="s">
        <v>709</v>
      </c>
      <c r="B14" s="1" t="s">
        <v>710</v>
      </c>
      <c r="C14" s="1"/>
      <c r="D14" s="1" t="s">
        <v>711</v>
      </c>
      <c r="E14" s="443">
        <f>SUM('Performances by Week'!U89:U91)</f>
        <v>70000</v>
      </c>
      <c r="F14" s="444">
        <f>SUM('Performances by Week'!T89:T91)</f>
        <v>10472</v>
      </c>
      <c r="G14" s="449">
        <f t="shared" si="0"/>
        <v>-59528</v>
      </c>
      <c r="H14" s="78">
        <f>SUM('Performances by Week'!P89:P91)</f>
        <v>219</v>
      </c>
      <c r="I14" s="444">
        <f>SUM('Performances by Week'!Z89:Z91)</f>
        <v>130000</v>
      </c>
      <c r="J14" s="444">
        <f>SUM('Performances by Week'!Y89:Y91)</f>
        <v>98992.1</v>
      </c>
      <c r="K14" s="78">
        <f>SUM('Performances by Week'!X89:X91)</f>
        <v>1505</v>
      </c>
      <c r="L14" s="443">
        <f t="shared" si="1"/>
        <v>200000</v>
      </c>
      <c r="M14" s="443">
        <f t="shared" si="1"/>
        <v>109464.1</v>
      </c>
      <c r="N14" s="437">
        <f t="shared" si="2"/>
        <v>1724</v>
      </c>
      <c r="O14" s="78">
        <f>SUM('Performances by Week'!AB89:AB91)</f>
        <v>4299</v>
      </c>
      <c r="P14" s="439">
        <f t="shared" si="3"/>
        <v>0.40102349383577574</v>
      </c>
      <c r="Q14" s="441">
        <f t="shared" si="4"/>
        <v>63.49425754060325</v>
      </c>
    </row>
    <row r="15" spans="1:21" x14ac:dyDescent="0.3">
      <c r="A15" s="1" t="s">
        <v>712</v>
      </c>
      <c r="B15" s="1" t="s">
        <v>713</v>
      </c>
      <c r="C15" s="1"/>
      <c r="D15" s="1" t="s">
        <v>714</v>
      </c>
      <c r="E15" s="443">
        <f>SUM('Performances by Week'!U92:U94)</f>
        <v>39999</v>
      </c>
      <c r="F15" s="444">
        <f>SUM('Performances by Week'!T92:T94)</f>
        <v>4229</v>
      </c>
      <c r="G15" s="449">
        <f t="shared" si="0"/>
        <v>-35770</v>
      </c>
      <c r="H15" s="78">
        <f>SUM('Performances by Week'!P92:P94)</f>
        <v>103</v>
      </c>
      <c r="I15" s="444">
        <f>SUM('Performances by Week'!Z92:Z94)</f>
        <v>100000</v>
      </c>
      <c r="J15" s="444">
        <f>SUM('Performances by Week'!Y92:Y94)</f>
        <v>119099.09999999999</v>
      </c>
      <c r="K15" s="78">
        <f>SUM('Performances by Week'!X92:X94)</f>
        <v>1789</v>
      </c>
      <c r="L15" s="443">
        <f t="shared" si="1"/>
        <v>139999</v>
      </c>
      <c r="M15" s="443">
        <f t="shared" si="1"/>
        <v>123328.09999999999</v>
      </c>
      <c r="N15" s="437">
        <f t="shared" si="2"/>
        <v>1892</v>
      </c>
      <c r="O15" s="78">
        <f>SUM('Performances by Week'!AB92:AB94)</f>
        <v>4770</v>
      </c>
      <c r="P15" s="439">
        <f t="shared" si="3"/>
        <v>0.39664570230607965</v>
      </c>
      <c r="Q15" s="441">
        <f t="shared" si="4"/>
        <v>65.183985200845655</v>
      </c>
    </row>
    <row r="16" spans="1:21" x14ac:dyDescent="0.3">
      <c r="A16" s="1" t="s">
        <v>715</v>
      </c>
      <c r="B16" s="1" t="s">
        <v>716</v>
      </c>
      <c r="C16" s="1"/>
      <c r="D16" s="1" t="s">
        <v>717</v>
      </c>
      <c r="E16" s="443">
        <f>SUM('Performances by Week'!U97:U99)</f>
        <v>55000</v>
      </c>
      <c r="F16" s="444">
        <f>SUM('Performances by Week'!T97:T99)</f>
        <v>11439</v>
      </c>
      <c r="G16" s="449">
        <f t="shared" si="0"/>
        <v>-43561</v>
      </c>
      <c r="H16" s="78">
        <f>SUM('Performances by Week'!P97:P99)</f>
        <v>208</v>
      </c>
      <c r="I16" s="444">
        <f>SUM('Performances by Week'!Z97:Z99)</f>
        <v>120000</v>
      </c>
      <c r="J16" s="444">
        <f>SUM('Performances by Week'!Y97:Y99)</f>
        <v>105674.09999999999</v>
      </c>
      <c r="K16" s="78">
        <f>SUM('Performances by Week'!X97:X99)</f>
        <v>1585</v>
      </c>
      <c r="L16" s="443">
        <f t="shared" si="1"/>
        <v>175000</v>
      </c>
      <c r="M16" s="443">
        <f t="shared" si="1"/>
        <v>117113.09999999999</v>
      </c>
      <c r="N16" s="437">
        <f t="shared" si="2"/>
        <v>1793</v>
      </c>
      <c r="O16" s="78">
        <f>SUM('Performances by Week'!AB97:AB99)</f>
        <v>4770</v>
      </c>
      <c r="P16" s="439">
        <f t="shared" si="3"/>
        <v>0.37589098532494758</v>
      </c>
      <c r="Q16" s="441">
        <f t="shared" si="4"/>
        <v>65.316843279419956</v>
      </c>
    </row>
    <row r="17" spans="1:17" x14ac:dyDescent="0.3">
      <c r="A17" s="1" t="s">
        <v>718</v>
      </c>
      <c r="B17" s="1" t="s">
        <v>719</v>
      </c>
      <c r="C17" s="1"/>
      <c r="D17" s="1" t="s">
        <v>720</v>
      </c>
      <c r="E17" s="443">
        <f>SUM('Performances by Week'!U107:U109)</f>
        <v>60000</v>
      </c>
      <c r="F17" s="444">
        <f>SUM('Performances by Week'!T107:T109)</f>
        <v>6544</v>
      </c>
      <c r="G17" s="449">
        <f t="shared" si="0"/>
        <v>-53456</v>
      </c>
      <c r="H17" s="78">
        <f>SUM('Performances by Week'!P107:P109)</f>
        <v>162</v>
      </c>
      <c r="I17" s="444">
        <f>SUM('Performances by Week'!Z107:Z109)</f>
        <v>95000</v>
      </c>
      <c r="J17" s="444">
        <f>SUM('Performances by Week'!Y107:Y109)</f>
        <v>112084.5</v>
      </c>
      <c r="K17" s="78">
        <f>SUM('Performances by Week'!X107:X109)</f>
        <v>1713</v>
      </c>
      <c r="L17" s="443">
        <f t="shared" si="1"/>
        <v>155000</v>
      </c>
      <c r="M17" s="443">
        <f t="shared" si="1"/>
        <v>118628.5</v>
      </c>
      <c r="N17" s="437">
        <f t="shared" si="2"/>
        <v>1875</v>
      </c>
      <c r="O17" s="78">
        <f>SUM('Performances by Week'!AB107:AB109)</f>
        <v>4770</v>
      </c>
      <c r="P17" s="439">
        <f t="shared" si="3"/>
        <v>0.39308176100628933</v>
      </c>
      <c r="Q17" s="441">
        <f t="shared" si="4"/>
        <v>63.26853333333333</v>
      </c>
    </row>
    <row r="18" spans="1:17" x14ac:dyDescent="0.3">
      <c r="A18" s="1" t="s">
        <v>721</v>
      </c>
      <c r="B18" s="1" t="s">
        <v>722</v>
      </c>
      <c r="C18" s="1"/>
      <c r="D18" s="1" t="s">
        <v>723</v>
      </c>
      <c r="E18" s="443">
        <f>SUM('Performances by Week'!U111:U113)</f>
        <v>90000</v>
      </c>
      <c r="F18" s="444">
        <f>SUM('Performances by Week'!T111:T113)</f>
        <v>13110</v>
      </c>
      <c r="G18" s="449">
        <f t="shared" si="0"/>
        <v>-76890</v>
      </c>
      <c r="H18" s="78">
        <f>SUM('Performances by Week'!P111:P113)</f>
        <v>225</v>
      </c>
      <c r="I18" s="444">
        <f>SUM('Performances by Week'!Z111:Z113)</f>
        <v>110000</v>
      </c>
      <c r="J18" s="444">
        <f>SUM('Performances by Week'!Y111:Y113)</f>
        <v>119909.5</v>
      </c>
      <c r="K18" s="78">
        <f>SUM('Performances by Week'!X111:X113)</f>
        <v>1809</v>
      </c>
      <c r="L18" s="443">
        <f t="shared" si="1"/>
        <v>200000</v>
      </c>
      <c r="M18" s="443">
        <f t="shared" si="1"/>
        <v>133019.5</v>
      </c>
      <c r="N18" s="437">
        <f t="shared" si="2"/>
        <v>2034</v>
      </c>
      <c r="O18" s="78">
        <f>SUM('Performances by Week'!AB111:AB113)</f>
        <v>4770</v>
      </c>
      <c r="P18" s="439">
        <f t="shared" si="3"/>
        <v>0.42641509433962266</v>
      </c>
      <c r="Q18" s="441">
        <f t="shared" si="4"/>
        <v>65.397984267453296</v>
      </c>
    </row>
    <row r="19" spans="1:17" x14ac:dyDescent="0.3">
      <c r="A19" s="450" t="s">
        <v>724</v>
      </c>
      <c r="B19" s="450" t="s">
        <v>725</v>
      </c>
      <c r="C19" s="450"/>
      <c r="D19" s="450" t="s">
        <v>726</v>
      </c>
      <c r="E19" s="451">
        <f>SUM('Performances by Week'!U115:U117)</f>
        <v>85000</v>
      </c>
      <c r="F19" s="452">
        <f>SUM('Performances by Week'!T115:T117)</f>
        <v>30540</v>
      </c>
      <c r="G19" s="453">
        <f t="shared" si="0"/>
        <v>-54460</v>
      </c>
      <c r="H19" s="454">
        <f>SUM('Performances by Week'!P115:P117)</f>
        <v>518</v>
      </c>
      <c r="I19" s="452">
        <f>SUM('Performances by Week'!Z115:Z117)</f>
        <v>115000</v>
      </c>
      <c r="J19" s="452">
        <f>SUM('Performances by Week'!Y115:Y117)</f>
        <v>101226</v>
      </c>
      <c r="K19" s="454">
        <f>SUM('Performances by Week'!X115:X117)</f>
        <v>1538</v>
      </c>
      <c r="L19" s="451">
        <f t="shared" si="1"/>
        <v>200000</v>
      </c>
      <c r="M19" s="451">
        <f t="shared" si="1"/>
        <v>131766</v>
      </c>
      <c r="N19" s="455">
        <f t="shared" si="2"/>
        <v>2056</v>
      </c>
      <c r="O19" s="454">
        <f>SUM('Performances by Week'!AB115:AB117)</f>
        <v>4770</v>
      </c>
      <c r="P19" s="456">
        <f t="shared" si="3"/>
        <v>0.4310272536687631</v>
      </c>
      <c r="Q19" s="457">
        <f t="shared" si="4"/>
        <v>64.088521400778205</v>
      </c>
    </row>
    <row r="20" spans="1:17" x14ac:dyDescent="0.3">
      <c r="A20" s="458" t="s">
        <v>258</v>
      </c>
      <c r="B20" s="459"/>
      <c r="C20" s="459"/>
      <c r="D20" s="460" t="s">
        <v>276</v>
      </c>
      <c r="E20" s="461">
        <f>SUM(E6:E19)</f>
        <v>866993</v>
      </c>
      <c r="F20" s="461">
        <f>SUM(F6:F19)</f>
        <v>253030</v>
      </c>
      <c r="G20" s="462">
        <f>F20-E20</f>
        <v>-613963</v>
      </c>
      <c r="H20" s="463">
        <f>SUM(H6:H19)</f>
        <v>4476</v>
      </c>
      <c r="I20" s="461">
        <f>SUM(I6:I19)</f>
        <v>1635000</v>
      </c>
      <c r="J20" s="461">
        <f>SUM(J6:J19)</f>
        <v>1511616.5</v>
      </c>
      <c r="K20" s="463">
        <f>SUM(K6:K19)</f>
        <v>22889</v>
      </c>
      <c r="L20" s="464">
        <f>SUM(L6:L19)</f>
        <v>2501993</v>
      </c>
      <c r="M20" s="464">
        <f t="shared" si="1"/>
        <v>1764646.5</v>
      </c>
      <c r="N20" s="465">
        <f>SUM(N6:N19)</f>
        <v>27365</v>
      </c>
      <c r="O20" s="463">
        <f>SUM(O6:O19)</f>
        <v>65367</v>
      </c>
      <c r="P20" s="466">
        <f t="shared" si="3"/>
        <v>0.41863631496014808</v>
      </c>
      <c r="Q20" s="467">
        <f t="shared" si="4"/>
        <v>64.48552896035082</v>
      </c>
    </row>
    <row r="21" spans="1:17" x14ac:dyDescent="0.3">
      <c r="A21" s="1"/>
      <c r="B21" s="1"/>
      <c r="C21" s="1"/>
      <c r="D21" s="1"/>
      <c r="E21" s="443" t="s">
        <v>276</v>
      </c>
      <c r="F21" s="444"/>
      <c r="G21" s="468"/>
      <c r="H21" s="1"/>
      <c r="I21" s="443" t="s">
        <v>276</v>
      </c>
      <c r="J21" s="444"/>
      <c r="K21" s="1"/>
      <c r="L21" s="443" t="s">
        <v>276</v>
      </c>
      <c r="M21" s="444"/>
      <c r="N21" s="1"/>
      <c r="O21" s="4" t="s">
        <v>276</v>
      </c>
      <c r="P21" s="1"/>
      <c r="Q21" s="440" t="s">
        <v>276</v>
      </c>
    </row>
    <row r="22" spans="1:17" x14ac:dyDescent="0.3">
      <c r="A22" s="2" t="s">
        <v>727</v>
      </c>
      <c r="B22" s="2"/>
      <c r="C22" s="2"/>
      <c r="D22" s="1"/>
      <c r="E22" s="443" t="s">
        <v>276</v>
      </c>
      <c r="F22" s="444"/>
      <c r="G22" s="468"/>
      <c r="H22" s="1"/>
      <c r="I22" s="443" t="s">
        <v>276</v>
      </c>
      <c r="J22" s="444"/>
      <c r="K22" s="1"/>
      <c r="L22" s="443" t="s">
        <v>276</v>
      </c>
      <c r="M22" s="444"/>
      <c r="N22" s="1"/>
      <c r="O22" s="4" t="s">
        <v>276</v>
      </c>
      <c r="P22" s="1"/>
      <c r="Q22" s="440" t="s">
        <v>276</v>
      </c>
    </row>
    <row r="23" spans="1:17" x14ac:dyDescent="0.3">
      <c r="A23" s="1" t="s">
        <v>728</v>
      </c>
      <c r="B23" s="1" t="str">
        <f>B7</f>
        <v>Rachmaninoff Cele Pt 1 (SP)</v>
      </c>
      <c r="C23" s="1"/>
      <c r="D23" s="469" t="s">
        <v>729</v>
      </c>
      <c r="E23" s="443">
        <f>'Performances by Week'!$U$26</f>
        <v>22000</v>
      </c>
      <c r="F23" s="444">
        <f>'Performances by Week'!$T$26</f>
        <v>7526</v>
      </c>
      <c r="G23" s="444">
        <f>F23-E23</f>
        <v>-14474</v>
      </c>
      <c r="H23" s="1">
        <f>'Performances by Week'!$P$26</f>
        <v>137</v>
      </c>
      <c r="I23" s="443">
        <f>'Performances by Week'!$Z$26</f>
        <v>30000</v>
      </c>
      <c r="J23" s="444">
        <f>'Performances by Week'!$Y$26</f>
        <v>23801</v>
      </c>
      <c r="K23" s="1">
        <f>'Performances by Week'!$X$26</f>
        <v>342</v>
      </c>
      <c r="L23" s="443">
        <f t="shared" ref="L23:M29" si="5">SUM(E23,I23)</f>
        <v>52000</v>
      </c>
      <c r="M23" s="444">
        <f t="shared" si="5"/>
        <v>31327</v>
      </c>
      <c r="N23" s="437">
        <f t="shared" ref="N23:N29" si="6">SUM(H23,K23)</f>
        <v>479</v>
      </c>
      <c r="O23" s="438">
        <f>'Performances by Week'!$AB$115</f>
        <v>1590</v>
      </c>
      <c r="P23" s="439">
        <f t="shared" ref="P23:P30" si="7">N23/O23</f>
        <v>0.30125786163522011</v>
      </c>
      <c r="Q23" s="441">
        <f t="shared" ref="Q23:Q30" si="8">M23/N23</f>
        <v>65.40083507306889</v>
      </c>
    </row>
    <row r="24" spans="1:17" x14ac:dyDescent="0.3">
      <c r="A24" s="1" t="s">
        <v>730</v>
      </c>
      <c r="B24" s="1" t="str">
        <f>B8</f>
        <v>Matthias and Mahler (SP)</v>
      </c>
      <c r="C24" s="1"/>
      <c r="D24" s="470" t="s">
        <v>731</v>
      </c>
      <c r="E24" s="443">
        <f>'Performances by Week'!$U$31</f>
        <v>15000</v>
      </c>
      <c r="F24" s="444">
        <f>'Performances by Week'!$T$31</f>
        <v>4025</v>
      </c>
      <c r="G24" s="444">
        <f>F24-E24</f>
        <v>-10975</v>
      </c>
      <c r="H24" s="1">
        <f>'Performances by Week'!$P$31</f>
        <v>79</v>
      </c>
      <c r="I24" s="443">
        <f>'Performances by Week'!$Z$31</f>
        <v>25000</v>
      </c>
      <c r="J24" s="444">
        <f>'Performances by Week'!$Y$31</f>
        <v>25348</v>
      </c>
      <c r="K24" s="1">
        <f>'Performances by Week'!$X$31</f>
        <v>367</v>
      </c>
      <c r="L24" s="443">
        <f t="shared" si="5"/>
        <v>40000</v>
      </c>
      <c r="M24" s="444">
        <f t="shared" si="5"/>
        <v>29373</v>
      </c>
      <c r="N24" s="437">
        <f t="shared" si="6"/>
        <v>446</v>
      </c>
      <c r="O24" s="438">
        <f>'Performances by Week'!$AB$31</f>
        <v>1590</v>
      </c>
      <c r="P24" s="439">
        <f t="shared" si="7"/>
        <v>0.28050314465408804</v>
      </c>
      <c r="Q24" s="441">
        <f t="shared" si="8"/>
        <v>65.858744394618839</v>
      </c>
    </row>
    <row r="25" spans="1:17" x14ac:dyDescent="0.3">
      <c r="A25" s="1" t="s">
        <v>732</v>
      </c>
      <c r="B25" s="1" t="str">
        <f>B10</f>
        <v>Pines of Rome &amp; Bruch (SP)</v>
      </c>
      <c r="C25" s="1"/>
      <c r="D25" s="470" t="s">
        <v>733</v>
      </c>
      <c r="E25" s="443">
        <f>'Performances by Week'!$U$55</f>
        <v>30000</v>
      </c>
      <c r="F25" s="444">
        <f>'Performances by Week'!$T$55</f>
        <v>2960</v>
      </c>
      <c r="G25" s="444">
        <f t="shared" ref="G25:G29" si="9">F25-E25</f>
        <v>-27040</v>
      </c>
      <c r="H25" s="1">
        <f>'Performances by Week'!$P$55</f>
        <v>51</v>
      </c>
      <c r="I25" s="443">
        <f>'Performances by Week'!$Z$55</f>
        <v>30000</v>
      </c>
      <c r="J25" s="444">
        <f>'Performances by Week'!$Y$55</f>
        <v>25342</v>
      </c>
      <c r="K25" s="1">
        <f>'Performances by Week'!$X$55</f>
        <v>368</v>
      </c>
      <c r="L25" s="443">
        <f t="shared" si="5"/>
        <v>60000</v>
      </c>
      <c r="M25" s="444">
        <f t="shared" si="5"/>
        <v>28302</v>
      </c>
      <c r="N25" s="437">
        <f t="shared" si="6"/>
        <v>419</v>
      </c>
      <c r="O25" s="438">
        <f>'Performances by Week'!$AB$55</f>
        <v>1590</v>
      </c>
      <c r="P25" s="439">
        <f t="shared" si="7"/>
        <v>0.26352201257861635</v>
      </c>
      <c r="Q25" s="441">
        <f t="shared" si="8"/>
        <v>67.546539379474936</v>
      </c>
    </row>
    <row r="26" spans="1:17" x14ac:dyDescent="0.3">
      <c r="A26" s="1" t="s">
        <v>734</v>
      </c>
      <c r="B26" s="1" t="str">
        <f>B11</f>
        <v>Beethoven+ (SP)</v>
      </c>
      <c r="C26" s="1"/>
      <c r="D26" s="470" t="s">
        <v>735</v>
      </c>
      <c r="E26" s="443">
        <f>'Performances by Week'!$U$62</f>
        <v>24000</v>
      </c>
      <c r="F26" s="444">
        <f>'Performances by Week'!$T$62</f>
        <v>3847</v>
      </c>
      <c r="G26" s="444">
        <f t="shared" si="9"/>
        <v>-20153</v>
      </c>
      <c r="H26" s="1">
        <f>'Performances by Week'!$P$62</f>
        <v>71</v>
      </c>
      <c r="I26" s="443">
        <f>'Performances by Week'!$Z$62</f>
        <v>30000</v>
      </c>
      <c r="J26" s="444">
        <f>'Performances by Week'!$Y$62</f>
        <v>24869</v>
      </c>
      <c r="K26" s="1">
        <f>'Performances by Week'!$X$62</f>
        <v>364</v>
      </c>
      <c r="L26" s="443">
        <f t="shared" si="5"/>
        <v>54000</v>
      </c>
      <c r="M26" s="444">
        <f t="shared" si="5"/>
        <v>28716</v>
      </c>
      <c r="N26" s="437">
        <f t="shared" si="6"/>
        <v>435</v>
      </c>
      <c r="O26" s="438">
        <f>'Performances by Week'!$AB$62</f>
        <v>1590</v>
      </c>
      <c r="P26" s="439">
        <f t="shared" si="7"/>
        <v>0.27358490566037735</v>
      </c>
      <c r="Q26" s="441">
        <f t="shared" si="8"/>
        <v>66.013793103448279</v>
      </c>
    </row>
    <row r="27" spans="1:17" x14ac:dyDescent="0.3">
      <c r="A27" s="1" t="s">
        <v>736</v>
      </c>
      <c r="B27" s="1" t="str">
        <f>B14</f>
        <v>Midsummer Night's Dream (SP)</v>
      </c>
      <c r="C27" s="1"/>
      <c r="D27" s="470" t="s">
        <v>737</v>
      </c>
      <c r="E27" s="443">
        <f>'Performances by Week'!$U$89</f>
        <v>22000</v>
      </c>
      <c r="F27" s="444">
        <f>'Performances by Week'!$T$89</f>
        <v>2411</v>
      </c>
      <c r="G27" s="444">
        <f t="shared" si="9"/>
        <v>-19589</v>
      </c>
      <c r="H27" s="1">
        <f>'Performances by Week'!$P$89</f>
        <v>52</v>
      </c>
      <c r="I27" s="443">
        <f>'Performances by Week'!$Z$89</f>
        <v>30000</v>
      </c>
      <c r="J27" s="444">
        <f>'Performances by Week'!$Y$89</f>
        <v>25714</v>
      </c>
      <c r="K27" s="1">
        <f>'Performances by Week'!$X$89</f>
        <v>368</v>
      </c>
      <c r="L27" s="443">
        <f t="shared" si="5"/>
        <v>52000</v>
      </c>
      <c r="M27" s="444">
        <f t="shared" si="5"/>
        <v>28125</v>
      </c>
      <c r="N27" s="437">
        <f t="shared" si="6"/>
        <v>420</v>
      </c>
      <c r="O27" s="438">
        <f>'Performances by Week'!$AB$89</f>
        <v>1433</v>
      </c>
      <c r="P27" s="439">
        <f t="shared" si="7"/>
        <v>0.29309141660851362</v>
      </c>
      <c r="Q27" s="441">
        <f t="shared" si="8"/>
        <v>66.964285714285708</v>
      </c>
    </row>
    <row r="28" spans="1:17" x14ac:dyDescent="0.3">
      <c r="A28" s="1" t="s">
        <v>738</v>
      </c>
      <c r="B28" s="1" t="str">
        <f>B16</f>
        <v>Grieg's Piano Concerto (SP)</v>
      </c>
      <c r="C28" s="1"/>
      <c r="D28" s="470" t="s">
        <v>739</v>
      </c>
      <c r="E28" s="443">
        <f>'Performances by Week'!$U$97</f>
        <v>20000</v>
      </c>
      <c r="F28" s="444">
        <f>'Performances by Week'!$T$97</f>
        <v>2349</v>
      </c>
      <c r="G28" s="444">
        <f t="shared" si="9"/>
        <v>-17651</v>
      </c>
      <c r="H28" s="1">
        <f>'Performances by Week'!$P$97</f>
        <v>50</v>
      </c>
      <c r="I28" s="443">
        <f>'Performances by Week'!$Z$97</f>
        <v>25000</v>
      </c>
      <c r="J28" s="444">
        <f>'Performances by Week'!$Y$97</f>
        <v>25763</v>
      </c>
      <c r="K28" s="1">
        <f>'Performances by Week'!$X$97</f>
        <v>374</v>
      </c>
      <c r="L28" s="443">
        <f t="shared" si="5"/>
        <v>45000</v>
      </c>
      <c r="M28" s="444">
        <f t="shared" si="5"/>
        <v>28112</v>
      </c>
      <c r="N28" s="437">
        <f t="shared" si="6"/>
        <v>424</v>
      </c>
      <c r="O28" s="438">
        <f>'Performances by Week'!$AB$97</f>
        <v>1590</v>
      </c>
      <c r="P28" s="439">
        <f t="shared" si="7"/>
        <v>0.26666666666666666</v>
      </c>
      <c r="Q28" s="441">
        <f t="shared" si="8"/>
        <v>66.301886792452834</v>
      </c>
    </row>
    <row r="29" spans="1:17" x14ac:dyDescent="0.3">
      <c r="A29" s="450" t="s">
        <v>740</v>
      </c>
      <c r="B29" s="450" t="str">
        <f>B19</f>
        <v>Rhapsody in Blue (SP)</v>
      </c>
      <c r="C29" s="450"/>
      <c r="D29" s="471" t="s">
        <v>741</v>
      </c>
      <c r="E29" s="451">
        <f>'Performances by Week'!$U$115</f>
        <v>30000</v>
      </c>
      <c r="F29" s="452">
        <f>'Performances by Week'!$T$115</f>
        <v>6390</v>
      </c>
      <c r="G29" s="452">
        <f t="shared" si="9"/>
        <v>-23610</v>
      </c>
      <c r="H29" s="450">
        <f>'Performances by Week'!$P$115</f>
        <v>111</v>
      </c>
      <c r="I29" s="451">
        <f>'Performances by Week'!$Z$115</f>
        <v>30000</v>
      </c>
      <c r="J29" s="452">
        <f>'Performances by Week'!$Y$115</f>
        <v>26279</v>
      </c>
      <c r="K29" s="450">
        <f>'Performances by Week'!$X$115</f>
        <v>380</v>
      </c>
      <c r="L29" s="451">
        <f t="shared" si="5"/>
        <v>60000</v>
      </c>
      <c r="M29" s="452">
        <f t="shared" si="5"/>
        <v>32669</v>
      </c>
      <c r="N29" s="455">
        <f t="shared" si="6"/>
        <v>491</v>
      </c>
      <c r="O29" s="472">
        <f>'Performances by Week'!$AB$115</f>
        <v>1590</v>
      </c>
      <c r="P29" s="456">
        <f t="shared" si="7"/>
        <v>0.30880503144654087</v>
      </c>
      <c r="Q29" s="457">
        <f t="shared" si="8"/>
        <v>66.535641547861502</v>
      </c>
    </row>
    <row r="30" spans="1:17" x14ac:dyDescent="0.3">
      <c r="A30" s="458" t="s">
        <v>259</v>
      </c>
      <c r="B30" s="459"/>
      <c r="C30" s="459"/>
      <c r="D30" s="460" t="s">
        <v>276</v>
      </c>
      <c r="E30" s="461">
        <f t="shared" ref="E30:O30" si="10">SUM(E23:E29)</f>
        <v>163000</v>
      </c>
      <c r="F30" s="461">
        <f t="shared" si="10"/>
        <v>29508</v>
      </c>
      <c r="G30" s="461">
        <f t="shared" si="10"/>
        <v>-133492</v>
      </c>
      <c r="H30" s="463">
        <f t="shared" si="10"/>
        <v>551</v>
      </c>
      <c r="I30" s="461">
        <f t="shared" si="10"/>
        <v>200000</v>
      </c>
      <c r="J30" s="461">
        <f t="shared" si="10"/>
        <v>177116</v>
      </c>
      <c r="K30" s="463">
        <f t="shared" si="10"/>
        <v>2563</v>
      </c>
      <c r="L30" s="461">
        <f t="shared" si="10"/>
        <v>363000</v>
      </c>
      <c r="M30" s="461">
        <f t="shared" si="10"/>
        <v>206624</v>
      </c>
      <c r="N30" s="463">
        <f t="shared" si="10"/>
        <v>3114</v>
      </c>
      <c r="O30" s="463">
        <f t="shared" si="10"/>
        <v>10973</v>
      </c>
      <c r="P30" s="466">
        <f t="shared" si="7"/>
        <v>0.28378747835596463</v>
      </c>
      <c r="Q30" s="467">
        <f t="shared" si="8"/>
        <v>66.353243416827226</v>
      </c>
    </row>
    <row r="31" spans="1:17" x14ac:dyDescent="0.3">
      <c r="E31" s="473"/>
      <c r="F31" s="473"/>
      <c r="G31" s="473"/>
      <c r="I31" s="473"/>
      <c r="J31" s="473"/>
      <c r="L31" s="473"/>
      <c r="M31" s="473"/>
    </row>
    <row r="32" spans="1:17" x14ac:dyDescent="0.3">
      <c r="A32" s="2" t="s">
        <v>110</v>
      </c>
      <c r="B32" s="1"/>
      <c r="C32" s="1"/>
      <c r="D32" s="1"/>
      <c r="E32" s="443" t="s">
        <v>276</v>
      </c>
      <c r="F32" s="444"/>
      <c r="G32" s="468"/>
      <c r="H32" s="1"/>
      <c r="I32" s="443" t="s">
        <v>276</v>
      </c>
      <c r="J32" s="444"/>
      <c r="K32" s="1"/>
      <c r="L32" s="443" t="s">
        <v>276</v>
      </c>
      <c r="M32" s="444"/>
      <c r="N32" s="1"/>
      <c r="O32" s="4" t="s">
        <v>276</v>
      </c>
      <c r="P32" s="1"/>
      <c r="Q32" s="440" t="s">
        <v>276</v>
      </c>
    </row>
    <row r="33" spans="1:17" x14ac:dyDescent="0.3">
      <c r="A33" s="1" t="s">
        <v>742</v>
      </c>
      <c r="B33" s="1" t="s">
        <v>625</v>
      </c>
      <c r="C33" s="1"/>
      <c r="D33" s="1" t="s">
        <v>743</v>
      </c>
      <c r="E33" s="443">
        <f>SUM('Performances by Week'!$U$10:$U$12)</f>
        <v>177999</v>
      </c>
      <c r="F33" s="444">
        <f>SUM('Performances by Week'!$T$10:$T$12)</f>
        <v>106172</v>
      </c>
      <c r="G33" s="444">
        <f>F33-E33</f>
        <v>-71827</v>
      </c>
      <c r="H33" s="78">
        <f>SUM('Performances by Week'!$P$10:$P$12)</f>
        <v>1733</v>
      </c>
      <c r="I33" s="443">
        <f>SUM('Performances by Week'!$Z$10:$Z$12)</f>
        <v>124000</v>
      </c>
      <c r="J33" s="443">
        <f>SUM('Performances by Week'!$Y$10:$Y$12)</f>
        <v>108064.7</v>
      </c>
      <c r="K33" s="445">
        <f>SUM('Performances by Week'!$X$10:$X$12)</f>
        <v>1473</v>
      </c>
      <c r="L33" s="443">
        <f t="shared" ref="L33:M37" si="11">SUM(E33,I33)</f>
        <v>301999</v>
      </c>
      <c r="M33" s="444">
        <f t="shared" si="11"/>
        <v>214236.7</v>
      </c>
      <c r="N33" s="437">
        <f t="shared" ref="N33:N37" si="12">SUM(H33,K33)</f>
        <v>3206</v>
      </c>
      <c r="O33" s="438">
        <f>SUM('Performances by Week'!$AB$10:$AB$12)</f>
        <v>4770</v>
      </c>
      <c r="P33" s="439">
        <f t="shared" ref="P33:P38" si="13">N33/O33</f>
        <v>0.67211740041928725</v>
      </c>
      <c r="Q33" s="441">
        <f t="shared" ref="Q33:Q38" si="14">M33/N33</f>
        <v>66.823674360573932</v>
      </c>
    </row>
    <row r="34" spans="1:17" x14ac:dyDescent="0.3">
      <c r="A34" s="1" t="s">
        <v>744</v>
      </c>
      <c r="B34" s="1" t="s">
        <v>745</v>
      </c>
      <c r="C34" s="1"/>
      <c r="D34" s="1" t="s">
        <v>746</v>
      </c>
      <c r="E34" s="443">
        <f>SUM('Performances by Week'!$U$22:$U$24)</f>
        <v>159999</v>
      </c>
      <c r="F34" s="444">
        <f>SUM('Performances by Week'!$T$22:$T$24)</f>
        <v>24422</v>
      </c>
      <c r="G34" s="444">
        <f t="shared" ref="G34:G37" si="15">F34-E34</f>
        <v>-135577</v>
      </c>
      <c r="H34" s="78">
        <f>SUM('Performances by Week'!$P$22:$P$24)</f>
        <v>398</v>
      </c>
      <c r="I34" s="443">
        <f>SUM('Performances by Week'!$Z$22:$Z$24)</f>
        <v>117000</v>
      </c>
      <c r="J34" s="443">
        <f>SUM('Performances by Week'!$Y$22:$Y$24)</f>
        <v>122339.20000000001</v>
      </c>
      <c r="K34" s="445">
        <f>SUM('Performances by Week'!$X$22:$X$24)</f>
        <v>1719</v>
      </c>
      <c r="L34" s="443">
        <f t="shared" si="11"/>
        <v>276999</v>
      </c>
      <c r="M34" s="444">
        <f t="shared" si="11"/>
        <v>146761.20000000001</v>
      </c>
      <c r="N34" s="437">
        <f t="shared" si="12"/>
        <v>2117</v>
      </c>
      <c r="O34" s="438">
        <f>SUM('Performances by Week'!$AB$22:$AB$24)</f>
        <v>4770</v>
      </c>
      <c r="P34" s="439">
        <f t="shared" si="13"/>
        <v>0.44381551362683436</v>
      </c>
      <c r="Q34" s="441">
        <f t="shared" si="14"/>
        <v>69.325082664147388</v>
      </c>
    </row>
    <row r="35" spans="1:17" x14ac:dyDescent="0.3">
      <c r="A35" s="1" t="s">
        <v>747</v>
      </c>
      <c r="B35" s="1" t="s">
        <v>748</v>
      </c>
      <c r="C35" s="1"/>
      <c r="D35" s="1" t="s">
        <v>749</v>
      </c>
      <c r="E35" s="443">
        <f>SUM('Performances by Week'!$U$70:$U$72)</f>
        <v>159999</v>
      </c>
      <c r="F35" s="444">
        <f>SUM('Performances by Week'!$T$70:$T$72)</f>
        <v>10200</v>
      </c>
      <c r="G35" s="444">
        <f t="shared" si="15"/>
        <v>-149799</v>
      </c>
      <c r="H35" s="78">
        <f>SUM('Performances by Week'!$P$70:$P$72)</f>
        <v>175</v>
      </c>
      <c r="I35" s="443">
        <f>SUM('Performances by Week'!$Z$70:$Z$72)</f>
        <v>124000</v>
      </c>
      <c r="J35" s="443">
        <f>SUM('Performances by Week'!$Y$70:$Y$72)</f>
        <v>126157.2</v>
      </c>
      <c r="K35" s="445">
        <f>SUM('Performances by Week'!$X$70:$X$72)</f>
        <v>1771</v>
      </c>
      <c r="L35" s="443">
        <f t="shared" si="11"/>
        <v>283999</v>
      </c>
      <c r="M35" s="444">
        <f t="shared" si="11"/>
        <v>136357.20000000001</v>
      </c>
      <c r="N35" s="437">
        <f t="shared" si="12"/>
        <v>1946</v>
      </c>
      <c r="O35" s="438">
        <f>SUM('Performances by Week'!$AB$70:$AB$72)</f>
        <v>4770</v>
      </c>
      <c r="P35" s="439">
        <f t="shared" si="13"/>
        <v>0.40796645702306078</v>
      </c>
      <c r="Q35" s="441">
        <f t="shared" si="14"/>
        <v>70.070503597122311</v>
      </c>
    </row>
    <row r="36" spans="1:17" x14ac:dyDescent="0.3">
      <c r="A36" s="1" t="s">
        <v>750</v>
      </c>
      <c r="B36" s="1" t="s">
        <v>751</v>
      </c>
      <c r="C36" s="1"/>
      <c r="D36" s="1" t="s">
        <v>752</v>
      </c>
      <c r="E36" s="443">
        <f>SUM('Performances by Week'!$U$85:$U$87)</f>
        <v>159999</v>
      </c>
      <c r="F36" s="444">
        <f>SUM('Performances by Week'!$T$85:$T$87)</f>
        <v>40766</v>
      </c>
      <c r="G36" s="444">
        <f t="shared" si="15"/>
        <v>-119233</v>
      </c>
      <c r="H36" s="78">
        <f>SUM('Performances by Week'!$P$85:$P$87)</f>
        <v>579</v>
      </c>
      <c r="I36" s="443">
        <f>SUM('Performances by Week'!$Z$85:$Z$87)</f>
        <v>124000</v>
      </c>
      <c r="J36" s="443">
        <f>SUM('Performances by Week'!$Y$85:$Y$87)</f>
        <v>128191.5</v>
      </c>
      <c r="K36" s="445">
        <f>SUM('Performances by Week'!$X$85:$X$87)</f>
        <v>1798</v>
      </c>
      <c r="L36" s="474">
        <f t="shared" si="11"/>
        <v>283999</v>
      </c>
      <c r="M36" s="444">
        <f t="shared" si="11"/>
        <v>168957.5</v>
      </c>
      <c r="N36" s="437">
        <f t="shared" si="12"/>
        <v>2377</v>
      </c>
      <c r="O36" s="438">
        <f>SUM('Performances by Week'!$AB$85:$AB$87)</f>
        <v>4770</v>
      </c>
      <c r="P36" s="439">
        <f t="shared" si="13"/>
        <v>0.49832285115303981</v>
      </c>
      <c r="Q36" s="441">
        <f t="shared" si="14"/>
        <v>71.080143037442156</v>
      </c>
    </row>
    <row r="37" spans="1:17" x14ac:dyDescent="0.3">
      <c r="A37" s="450" t="s">
        <v>753</v>
      </c>
      <c r="B37" s="450" t="s">
        <v>754</v>
      </c>
      <c r="C37" s="450"/>
      <c r="D37" s="450" t="s">
        <v>755</v>
      </c>
      <c r="E37" s="451">
        <f>SUM('Performances by Week'!$U$100:$U$102)</f>
        <v>180000</v>
      </c>
      <c r="F37" s="452">
        <f>SUM('Performances by Week'!$T$100:$T$102)</f>
        <v>19555</v>
      </c>
      <c r="G37" s="452">
        <f t="shared" si="15"/>
        <v>-160445</v>
      </c>
      <c r="H37" s="454">
        <f>SUM('Performances by Week'!$P$100:$P$102)</f>
        <v>256</v>
      </c>
      <c r="I37" s="451">
        <f>SUM('Performances by Week'!$Z$100:$Z$102)</f>
        <v>130000</v>
      </c>
      <c r="J37" s="451">
        <f>SUM('Performances by Week'!$Y$100:$Y$102)</f>
        <v>150672</v>
      </c>
      <c r="K37" s="475">
        <f>SUM('Performances by Week'!$X$100:$X$102)</f>
        <v>1801</v>
      </c>
      <c r="L37" s="476">
        <f t="shared" si="11"/>
        <v>310000</v>
      </c>
      <c r="M37" s="452">
        <f t="shared" si="11"/>
        <v>170227</v>
      </c>
      <c r="N37" s="455">
        <f t="shared" si="12"/>
        <v>2057</v>
      </c>
      <c r="O37" s="472">
        <f>SUM('Performances by Week'!$AB$100:$AB$102)</f>
        <v>3906</v>
      </c>
      <c r="P37" s="456">
        <f t="shared" si="13"/>
        <v>0.52662570404505893</v>
      </c>
      <c r="Q37" s="457">
        <f t="shared" si="14"/>
        <v>82.754982984929512</v>
      </c>
    </row>
    <row r="38" spans="1:17" x14ac:dyDescent="0.3">
      <c r="A38" s="458" t="s">
        <v>260</v>
      </c>
      <c r="B38" s="459"/>
      <c r="C38" s="460" t="s">
        <v>276</v>
      </c>
      <c r="D38" s="460" t="s">
        <v>276</v>
      </c>
      <c r="E38" s="461">
        <f t="shared" ref="E38:O38" si="16">SUM(E33:E37)</f>
        <v>837996</v>
      </c>
      <c r="F38" s="461">
        <f t="shared" si="16"/>
        <v>201115</v>
      </c>
      <c r="G38" s="461">
        <f t="shared" si="16"/>
        <v>-636881</v>
      </c>
      <c r="H38" s="463">
        <f t="shared" si="16"/>
        <v>3141</v>
      </c>
      <c r="I38" s="461">
        <f t="shared" si="16"/>
        <v>619000</v>
      </c>
      <c r="J38" s="461">
        <f t="shared" si="16"/>
        <v>635424.60000000009</v>
      </c>
      <c r="K38" s="463">
        <f t="shared" si="16"/>
        <v>8562</v>
      </c>
      <c r="L38" s="461">
        <f t="shared" si="16"/>
        <v>1456996</v>
      </c>
      <c r="M38" s="461">
        <f t="shared" si="16"/>
        <v>836539.60000000009</v>
      </c>
      <c r="N38" s="463">
        <f t="shared" si="16"/>
        <v>11703</v>
      </c>
      <c r="O38" s="463">
        <f t="shared" si="16"/>
        <v>22986</v>
      </c>
      <c r="P38" s="466">
        <f t="shared" si="13"/>
        <v>0.50913599582354474</v>
      </c>
      <c r="Q38" s="467">
        <f t="shared" si="14"/>
        <v>71.480782705289243</v>
      </c>
    </row>
    <row r="39" spans="1:17" x14ac:dyDescent="0.3">
      <c r="A39" s="1"/>
      <c r="B39" s="1"/>
      <c r="C39" s="1"/>
      <c r="D39" s="1"/>
      <c r="E39" s="443" t="s">
        <v>276</v>
      </c>
      <c r="F39" s="444"/>
      <c r="G39" s="468"/>
      <c r="H39" s="1"/>
      <c r="I39" s="443" t="s">
        <v>276</v>
      </c>
      <c r="J39" s="444"/>
      <c r="K39" s="1"/>
      <c r="L39" s="443" t="s">
        <v>276</v>
      </c>
      <c r="M39" s="444"/>
      <c r="N39" s="1"/>
      <c r="O39" s="4" t="s">
        <v>276</v>
      </c>
      <c r="P39" s="1"/>
      <c r="Q39" s="440" t="s">
        <v>276</v>
      </c>
    </row>
    <row r="40" spans="1:17" x14ac:dyDescent="0.3">
      <c r="A40" s="2" t="s">
        <v>756</v>
      </c>
      <c r="B40" s="2"/>
      <c r="C40" s="1"/>
      <c r="D40" s="1"/>
      <c r="E40" s="443" t="s">
        <v>276</v>
      </c>
      <c r="F40" s="444"/>
      <c r="G40" s="468"/>
      <c r="H40" s="1"/>
      <c r="I40" s="443" t="s">
        <v>276</v>
      </c>
      <c r="J40" s="444"/>
      <c r="K40" s="1"/>
      <c r="L40" s="443" t="s">
        <v>276</v>
      </c>
      <c r="M40" s="444"/>
      <c r="N40" s="1"/>
      <c r="O40" s="4" t="s">
        <v>276</v>
      </c>
      <c r="P40" s="1"/>
      <c r="Q40" s="440" t="s">
        <v>276</v>
      </c>
    </row>
    <row r="41" spans="1:17" x14ac:dyDescent="0.3">
      <c r="A41" s="1" t="s">
        <v>757</v>
      </c>
      <c r="B41" s="1" t="s">
        <v>758</v>
      </c>
      <c r="C41" s="1"/>
      <c r="D41" s="470" t="s">
        <v>759</v>
      </c>
      <c r="E41" s="443">
        <f>'Performances by Week'!$U$13</f>
        <v>10000</v>
      </c>
      <c r="F41" s="444">
        <f>'Performances by Week'!$T$13</f>
        <v>8917</v>
      </c>
      <c r="G41" s="449">
        <f>F41-E41</f>
        <v>-1083</v>
      </c>
      <c r="H41" s="1">
        <f>'Performances by Week'!$P$13</f>
        <v>343</v>
      </c>
      <c r="I41" s="443">
        <f>'Performances by Week'!$Z$13</f>
        <v>9500</v>
      </c>
      <c r="J41" s="444">
        <f>'Performances by Week'!$Y$13</f>
        <v>5217</v>
      </c>
      <c r="K41" s="1">
        <f>'Performances by Week'!$X$13</f>
        <v>196</v>
      </c>
      <c r="L41" s="443">
        <f t="shared" ref="L41:M44" si="17">SUM(E41,I41)</f>
        <v>19500</v>
      </c>
      <c r="M41" s="444">
        <f t="shared" si="17"/>
        <v>14134</v>
      </c>
      <c r="N41" s="437">
        <f t="shared" ref="N41:N44" si="18">SUM(H41,K41)</f>
        <v>539</v>
      </c>
      <c r="O41" s="438">
        <f>'Performances by Week'!$AB$13</f>
        <v>1302</v>
      </c>
      <c r="P41" s="439">
        <f t="shared" ref="P41:P45" si="19">N41/O41</f>
        <v>0.41397849462365593</v>
      </c>
      <c r="Q41" s="441">
        <f t="shared" ref="Q41:Q45" si="20">M41/N41</f>
        <v>26.222634508348794</v>
      </c>
    </row>
    <row r="42" spans="1:17" x14ac:dyDescent="0.3">
      <c r="A42" s="1" t="s">
        <v>760</v>
      </c>
      <c r="B42" s="1" t="s">
        <v>761</v>
      </c>
      <c r="C42" s="1"/>
      <c r="D42" s="470" t="s">
        <v>762</v>
      </c>
      <c r="E42" s="443">
        <f>'Performances by Week'!$U$29</f>
        <v>10000</v>
      </c>
      <c r="F42" s="444">
        <f>'Performances by Week'!$T$29</f>
        <v>4465</v>
      </c>
      <c r="G42" s="449">
        <f>F42-E42</f>
        <v>-5535</v>
      </c>
      <c r="H42" s="437">
        <f>'Performances by Week'!$P$29</f>
        <v>158</v>
      </c>
      <c r="I42" s="443">
        <f>'Performances by Week'!$Z$29</f>
        <v>9500</v>
      </c>
      <c r="J42" s="444">
        <f>'Performances by Week'!$Y$29</f>
        <v>6836</v>
      </c>
      <c r="K42" s="1">
        <f>'Performances by Week'!$X$29</f>
        <v>307</v>
      </c>
      <c r="L42" s="443">
        <f t="shared" si="17"/>
        <v>19500</v>
      </c>
      <c r="M42" s="444">
        <f t="shared" si="17"/>
        <v>11301</v>
      </c>
      <c r="N42" s="437">
        <f t="shared" si="18"/>
        <v>465</v>
      </c>
      <c r="O42" s="438">
        <f>'Performances by Week'!$AB$29</f>
        <v>1300</v>
      </c>
      <c r="P42" s="439">
        <f t="shared" si="19"/>
        <v>0.3576923076923077</v>
      </c>
      <c r="Q42" s="441">
        <f t="shared" si="20"/>
        <v>24.303225806451614</v>
      </c>
    </row>
    <row r="43" spans="1:17" x14ac:dyDescent="0.3">
      <c r="A43" s="1" t="s">
        <v>75</v>
      </c>
      <c r="B43" s="1" t="s">
        <v>185</v>
      </c>
      <c r="C43" s="1"/>
      <c r="D43" s="470" t="s">
        <v>763</v>
      </c>
      <c r="E43" s="443">
        <f>SUM('Performances by Week'!$U$43:$U$48)</f>
        <v>455000</v>
      </c>
      <c r="F43" s="444">
        <f>SUM('Performances by Week'!$T$43:$T$48)</f>
        <v>91945</v>
      </c>
      <c r="G43" s="449">
        <f>F43-E43</f>
        <v>-363055</v>
      </c>
      <c r="H43" s="437">
        <f>SUM('Performances by Week'!$P$43:$P$48)</f>
        <v>1519</v>
      </c>
      <c r="I43" s="443">
        <f>SUM('Performances by Week'!$Z$43:$Z$48)</f>
        <v>12450</v>
      </c>
      <c r="J43" s="443">
        <f>SUM('Performances by Week'!$Y$43:$Y$48)</f>
        <v>6677</v>
      </c>
      <c r="K43" s="437">
        <f>SUM('Performances by Week'!$X$43:$X$48)</f>
        <v>301</v>
      </c>
      <c r="L43" s="443">
        <f t="shared" si="17"/>
        <v>467450</v>
      </c>
      <c r="M43" s="444">
        <f t="shared" si="17"/>
        <v>98622</v>
      </c>
      <c r="N43" s="437">
        <f t="shared" si="18"/>
        <v>1820</v>
      </c>
      <c r="O43" s="438">
        <f>SUM('Performances by Week'!$AB$43:$AB$48)</f>
        <v>8598</v>
      </c>
      <c r="P43" s="439">
        <f t="shared" si="19"/>
        <v>0.21167713421725984</v>
      </c>
      <c r="Q43" s="441">
        <f t="shared" si="20"/>
        <v>54.187912087912089</v>
      </c>
    </row>
    <row r="44" spans="1:17" x14ac:dyDescent="0.3">
      <c r="A44" s="450" t="s">
        <v>764</v>
      </c>
      <c r="B44" s="450" t="s">
        <v>765</v>
      </c>
      <c r="C44" s="450"/>
      <c r="D44" s="471" t="s">
        <v>766</v>
      </c>
      <c r="E44" s="451">
        <f>'Performances by Week'!$U$77</f>
        <v>10000</v>
      </c>
      <c r="F44" s="452">
        <f>'Performances by Week'!$T$77</f>
        <v>1461</v>
      </c>
      <c r="G44" s="453">
        <f>F44-E44</f>
        <v>-8539</v>
      </c>
      <c r="H44" s="450">
        <f>'Performances by Week'!$P$77</f>
        <v>50</v>
      </c>
      <c r="I44" s="451">
        <f>'Performances by Week'!$Z$77</f>
        <v>9500</v>
      </c>
      <c r="J44" s="452">
        <f>'Performances by Week'!$Y$77</f>
        <v>6836</v>
      </c>
      <c r="K44" s="450">
        <f>'Performances by Week'!$X$77</f>
        <v>307</v>
      </c>
      <c r="L44" s="451">
        <f t="shared" si="17"/>
        <v>19500</v>
      </c>
      <c r="M44" s="452">
        <f t="shared" si="17"/>
        <v>8297</v>
      </c>
      <c r="N44" s="455">
        <f t="shared" si="18"/>
        <v>357</v>
      </c>
      <c r="O44" s="472">
        <f>'Performances by Week'!$AB$77</f>
        <v>1302</v>
      </c>
      <c r="P44" s="456">
        <f t="shared" si="19"/>
        <v>0.27419354838709675</v>
      </c>
      <c r="Q44" s="457">
        <f t="shared" si="20"/>
        <v>23.240896358543417</v>
      </c>
    </row>
    <row r="45" spans="1:17" x14ac:dyDescent="0.3">
      <c r="A45" s="458" t="s">
        <v>261</v>
      </c>
      <c r="B45" s="459"/>
      <c r="C45" s="459"/>
      <c r="D45" s="460" t="s">
        <v>276</v>
      </c>
      <c r="E45" s="461">
        <f>SUM(E41:E44)</f>
        <v>485000</v>
      </c>
      <c r="F45" s="461">
        <f>SUM(F41:F44)</f>
        <v>106788</v>
      </c>
      <c r="G45" s="462">
        <f>F45-E45</f>
        <v>-378212</v>
      </c>
      <c r="H45" s="465">
        <f t="shared" ref="H45:O45" si="21">SUM(H41:H44)</f>
        <v>2070</v>
      </c>
      <c r="I45" s="461">
        <f t="shared" si="21"/>
        <v>40950</v>
      </c>
      <c r="J45" s="461">
        <f t="shared" si="21"/>
        <v>25566</v>
      </c>
      <c r="K45" s="465">
        <f t="shared" si="21"/>
        <v>1111</v>
      </c>
      <c r="L45" s="461">
        <f t="shared" si="21"/>
        <v>525950</v>
      </c>
      <c r="M45" s="461">
        <f t="shared" si="21"/>
        <v>132354</v>
      </c>
      <c r="N45" s="465">
        <f t="shared" si="21"/>
        <v>3181</v>
      </c>
      <c r="O45" s="463">
        <f t="shared" si="21"/>
        <v>12502</v>
      </c>
      <c r="P45" s="466">
        <f t="shared" si="19"/>
        <v>0.25443928971364582</v>
      </c>
      <c r="Q45" s="467">
        <f t="shared" si="20"/>
        <v>41.607670543854134</v>
      </c>
    </row>
    <row r="46" spans="1:17" x14ac:dyDescent="0.3">
      <c r="A46" s="2"/>
      <c r="B46" s="1"/>
      <c r="C46" s="1"/>
      <c r="D46" s="1"/>
      <c r="E46" s="477" t="s">
        <v>276</v>
      </c>
      <c r="F46" s="468"/>
      <c r="G46" s="478"/>
      <c r="H46" s="2"/>
      <c r="I46" s="477" t="s">
        <v>276</v>
      </c>
      <c r="J46" s="468"/>
      <c r="K46" s="2"/>
      <c r="L46" s="477" t="s">
        <v>276</v>
      </c>
      <c r="M46" s="468"/>
      <c r="N46" s="2"/>
      <c r="O46" s="479" t="s">
        <v>276</v>
      </c>
      <c r="P46" s="2"/>
      <c r="Q46" s="480" t="s">
        <v>276</v>
      </c>
    </row>
    <row r="47" spans="1:17" x14ac:dyDescent="0.3">
      <c r="A47" s="2" t="s">
        <v>112</v>
      </c>
      <c r="B47" s="481"/>
      <c r="C47" s="481"/>
      <c r="D47" s="1"/>
      <c r="E47" s="477" t="s">
        <v>276</v>
      </c>
      <c r="F47" s="468"/>
      <c r="G47" s="478"/>
      <c r="H47" s="2"/>
      <c r="I47" s="477" t="s">
        <v>276</v>
      </c>
      <c r="J47" s="468"/>
      <c r="K47" s="2"/>
      <c r="L47" s="477" t="s">
        <v>276</v>
      </c>
      <c r="M47" s="468"/>
      <c r="N47" s="2"/>
      <c r="O47" s="479" t="s">
        <v>276</v>
      </c>
      <c r="P47" s="2"/>
      <c r="Q47" s="480" t="s">
        <v>276</v>
      </c>
    </row>
    <row r="48" spans="1:17" x14ac:dyDescent="0.3">
      <c r="A48" s="1" t="s">
        <v>767</v>
      </c>
      <c r="B48" s="1"/>
      <c r="C48" s="1"/>
      <c r="D48" s="1" t="s">
        <v>768</v>
      </c>
      <c r="E48" s="443">
        <f>SUM('Performances by Week'!$U$18:$U$20)</f>
        <v>310490</v>
      </c>
      <c r="F48" s="443">
        <f>SUM('Performances by Week'!$T$18:$T$20)</f>
        <v>166434.5</v>
      </c>
      <c r="G48" s="449">
        <f>F48-E48</f>
        <v>-144055.5</v>
      </c>
      <c r="H48" s="445">
        <f>SUM('Performances by Week'!$P$18:$P$20)</f>
        <v>2227</v>
      </c>
      <c r="I48" s="443" t="s">
        <v>769</v>
      </c>
      <c r="J48" s="444" t="s">
        <v>769</v>
      </c>
      <c r="K48" s="1" t="s">
        <v>770</v>
      </c>
      <c r="L48" s="443">
        <f t="shared" ref="L48:M53" si="22">SUM(E48,I48)</f>
        <v>310490</v>
      </c>
      <c r="M48" s="444">
        <f t="shared" si="22"/>
        <v>166434.5</v>
      </c>
      <c r="N48" s="437">
        <f t="shared" ref="N48:N53" si="23">SUM(H48,K48)</f>
        <v>2227</v>
      </c>
      <c r="O48" s="445">
        <f>SUM('Performances by Week'!$AB$18:$AB$20)</f>
        <v>3906</v>
      </c>
      <c r="P48" s="439">
        <f t="shared" ref="P48:P54" si="24">N48/O48</f>
        <v>0.57014848950332819</v>
      </c>
      <c r="Q48" s="441">
        <f t="shared" ref="Q48:Q54" si="25">M48/N48</f>
        <v>74.734845083071392</v>
      </c>
    </row>
    <row r="49" spans="1:17" x14ac:dyDescent="0.3">
      <c r="A49" s="1" t="s">
        <v>771</v>
      </c>
      <c r="B49" s="1"/>
      <c r="C49" s="1"/>
      <c r="D49" s="469" t="s">
        <v>772</v>
      </c>
      <c r="E49" s="443">
        <f>'Performances by Week'!$U$21</f>
        <v>50000</v>
      </c>
      <c r="F49" s="443">
        <f>'Performances by Week'!$T$21</f>
        <v>11006</v>
      </c>
      <c r="G49" s="449">
        <f t="shared" ref="G49:G53" si="26">F49-E49</f>
        <v>-38994</v>
      </c>
      <c r="H49" s="445">
        <f>'Performances by Week'!$P$21</f>
        <v>216</v>
      </c>
      <c r="I49" s="443" t="s">
        <v>769</v>
      </c>
      <c r="J49" s="444" t="s">
        <v>769</v>
      </c>
      <c r="K49" s="1" t="s">
        <v>770</v>
      </c>
      <c r="L49" s="443">
        <f t="shared" si="22"/>
        <v>50000</v>
      </c>
      <c r="M49" s="444">
        <f t="shared" si="22"/>
        <v>11006</v>
      </c>
      <c r="N49" s="437">
        <f t="shared" si="23"/>
        <v>216</v>
      </c>
      <c r="O49" s="445">
        <f>'Performances by Week'!$AB$21</f>
        <v>1302</v>
      </c>
      <c r="P49" s="439">
        <f t="shared" si="24"/>
        <v>0.16589861751152074</v>
      </c>
      <c r="Q49" s="441">
        <f t="shared" si="25"/>
        <v>50.953703703703702</v>
      </c>
    </row>
    <row r="50" spans="1:17" x14ac:dyDescent="0.3">
      <c r="A50" s="1" t="s">
        <v>773</v>
      </c>
      <c r="B50" s="1"/>
      <c r="C50" s="1"/>
      <c r="D50" s="1" t="s">
        <v>774</v>
      </c>
      <c r="E50" s="443">
        <f>SUM('Performances by Week'!$U$34:$U$37)</f>
        <v>430000</v>
      </c>
      <c r="F50" s="443">
        <f>SUM('Performances by Week'!$T$34:$T$37)</f>
        <v>103920.20000000001</v>
      </c>
      <c r="G50" s="449">
        <f t="shared" si="26"/>
        <v>-326079.8</v>
      </c>
      <c r="H50" s="445">
        <f>SUM('Performances by Week'!$P$34:$P$37)</f>
        <v>1528</v>
      </c>
      <c r="I50" s="443" t="s">
        <v>769</v>
      </c>
      <c r="J50" s="444" t="s">
        <v>769</v>
      </c>
      <c r="K50" s="1" t="s">
        <v>770</v>
      </c>
      <c r="L50" s="443">
        <f t="shared" si="22"/>
        <v>430000</v>
      </c>
      <c r="M50" s="444">
        <f t="shared" si="22"/>
        <v>103920.20000000001</v>
      </c>
      <c r="N50" s="437">
        <f t="shared" si="23"/>
        <v>1528</v>
      </c>
      <c r="O50" s="445">
        <f>SUM('Performances by Week'!$AB$34:$AB$37)</f>
        <v>5208</v>
      </c>
      <c r="P50" s="439">
        <f t="shared" si="24"/>
        <v>0.29339477726574503</v>
      </c>
      <c r="Q50" s="441">
        <f t="shared" si="25"/>
        <v>68.010602094240852</v>
      </c>
    </row>
    <row r="51" spans="1:17" x14ac:dyDescent="0.3">
      <c r="A51" s="1" t="s">
        <v>775</v>
      </c>
      <c r="B51" s="1"/>
      <c r="C51" s="1"/>
      <c r="D51" s="1" t="s">
        <v>776</v>
      </c>
      <c r="E51" s="443">
        <f>SUM('Performances by Week'!$U$49:$U$50)</f>
        <v>200000</v>
      </c>
      <c r="F51" s="443">
        <f>SUM('Performances by Week'!$T$49:$T$50)</f>
        <v>84306</v>
      </c>
      <c r="G51" s="449">
        <f t="shared" si="26"/>
        <v>-115694</v>
      </c>
      <c r="H51" s="445">
        <f>SUM('Performances by Week'!$P$49:$P$50)</f>
        <v>1106</v>
      </c>
      <c r="I51" s="443" t="s">
        <v>769</v>
      </c>
      <c r="J51" s="444" t="s">
        <v>769</v>
      </c>
      <c r="K51" s="1" t="s">
        <v>770</v>
      </c>
      <c r="L51" s="443">
        <f t="shared" si="22"/>
        <v>200000</v>
      </c>
      <c r="M51" s="444">
        <f t="shared" si="22"/>
        <v>84306</v>
      </c>
      <c r="N51" s="437">
        <f t="shared" si="23"/>
        <v>1106</v>
      </c>
      <c r="O51" s="445">
        <f>SUM('Performances by Week'!$AB$49:$AB$50)</f>
        <v>2604</v>
      </c>
      <c r="P51" s="439">
        <f t="shared" si="24"/>
        <v>0.42473118279569894</v>
      </c>
      <c r="Q51" s="441">
        <f t="shared" si="25"/>
        <v>76.226039783001809</v>
      </c>
    </row>
    <row r="52" spans="1:17" x14ac:dyDescent="0.3">
      <c r="A52" s="1" t="s">
        <v>777</v>
      </c>
      <c r="B52" s="1"/>
      <c r="C52" s="1"/>
      <c r="D52" s="1" t="s">
        <v>778</v>
      </c>
      <c r="E52" s="443">
        <f>SUM('Performances by Week'!$U$58:$U$61)</f>
        <v>360000</v>
      </c>
      <c r="F52" s="443">
        <f>SUM('Performances by Week'!$T$58:$T$61)</f>
        <v>93772.1</v>
      </c>
      <c r="G52" s="449">
        <f t="shared" si="26"/>
        <v>-266227.90000000002</v>
      </c>
      <c r="H52" s="445">
        <f>SUM('Performances by Week'!$P$58:$P$61)</f>
        <v>1322</v>
      </c>
      <c r="I52" s="443" t="s">
        <v>769</v>
      </c>
      <c r="J52" s="444" t="s">
        <v>769</v>
      </c>
      <c r="K52" s="1" t="s">
        <v>770</v>
      </c>
      <c r="L52" s="443">
        <f t="shared" si="22"/>
        <v>360000</v>
      </c>
      <c r="M52" s="444">
        <f t="shared" si="22"/>
        <v>93772.1</v>
      </c>
      <c r="N52" s="437">
        <f t="shared" si="23"/>
        <v>1322</v>
      </c>
      <c r="O52" s="445">
        <f>SUM('Performances by Week'!$AB$58:$AB$61)</f>
        <v>5208</v>
      </c>
      <c r="P52" s="439">
        <f t="shared" si="24"/>
        <v>0.25384024577572967</v>
      </c>
      <c r="Q52" s="441">
        <f t="shared" si="25"/>
        <v>70.93199697428139</v>
      </c>
    </row>
    <row r="53" spans="1:17" x14ac:dyDescent="0.3">
      <c r="A53" s="450" t="s">
        <v>779</v>
      </c>
      <c r="B53" s="450"/>
      <c r="C53" s="450"/>
      <c r="D53" s="450" t="s">
        <v>780</v>
      </c>
      <c r="E53" s="451">
        <f>SUM('Performances by Week'!$U$73:$U$76)</f>
        <v>445000</v>
      </c>
      <c r="F53" s="451">
        <f>SUM('Performances by Week'!$T$73:$T$76)</f>
        <v>94720</v>
      </c>
      <c r="G53" s="453">
        <f t="shared" si="26"/>
        <v>-350280</v>
      </c>
      <c r="H53" s="475">
        <f>SUM('Performances by Week'!$P$73:$P$76)</f>
        <v>1328</v>
      </c>
      <c r="I53" s="451" t="s">
        <v>769</v>
      </c>
      <c r="J53" s="452" t="s">
        <v>769</v>
      </c>
      <c r="K53" s="450" t="s">
        <v>770</v>
      </c>
      <c r="L53" s="451">
        <f t="shared" si="22"/>
        <v>445000</v>
      </c>
      <c r="M53" s="452">
        <f t="shared" si="22"/>
        <v>94720</v>
      </c>
      <c r="N53" s="455">
        <f t="shared" si="23"/>
        <v>1328</v>
      </c>
      <c r="O53" s="475">
        <f>SUM('Performances by Week'!$AB$73:$AB$76)</f>
        <v>5208</v>
      </c>
      <c r="P53" s="456">
        <f t="shared" si="24"/>
        <v>0.25499231950844853</v>
      </c>
      <c r="Q53" s="457">
        <f t="shared" si="25"/>
        <v>71.325301204819283</v>
      </c>
    </row>
    <row r="54" spans="1:17" x14ac:dyDescent="0.3">
      <c r="A54" s="459" t="s">
        <v>262</v>
      </c>
      <c r="B54" s="459"/>
      <c r="C54" s="460" t="s">
        <v>276</v>
      </c>
      <c r="D54" s="460" t="s">
        <v>276</v>
      </c>
      <c r="E54" s="461">
        <f>SUM(E48:E53)</f>
        <v>1795490</v>
      </c>
      <c r="F54" s="461">
        <f>SUM(F48:F53)</f>
        <v>554158.80000000005</v>
      </c>
      <c r="G54" s="482">
        <f>SUM(G48:G53)</f>
        <v>-1241331.2000000002</v>
      </c>
      <c r="H54" s="463">
        <f>SUM(H48:H53)</f>
        <v>7727</v>
      </c>
      <c r="I54" s="461" t="s">
        <v>769</v>
      </c>
      <c r="J54" s="464" t="s">
        <v>769</v>
      </c>
      <c r="K54" s="483" t="s">
        <v>770</v>
      </c>
      <c r="L54" s="461">
        <f>SUM(L48:L53)</f>
        <v>1795490</v>
      </c>
      <c r="M54" s="461">
        <f>SUM(M48:M53)</f>
        <v>554158.80000000005</v>
      </c>
      <c r="N54" s="463">
        <f>SUM(N48:N53)</f>
        <v>7727</v>
      </c>
      <c r="O54" s="463">
        <f>SUM(O48:O53)</f>
        <v>23436</v>
      </c>
      <c r="P54" s="466">
        <f t="shared" si="24"/>
        <v>0.3297064345451442</v>
      </c>
      <c r="Q54" s="467">
        <f t="shared" si="25"/>
        <v>71.717199430568144</v>
      </c>
    </row>
    <row r="55" spans="1:17" x14ac:dyDescent="0.3">
      <c r="A55" s="2"/>
      <c r="B55" s="1"/>
      <c r="C55" s="1"/>
      <c r="D55" s="1"/>
      <c r="E55" s="477" t="s">
        <v>276</v>
      </c>
      <c r="F55" s="468"/>
      <c r="G55" s="484"/>
      <c r="H55" s="2"/>
      <c r="I55" s="477" t="s">
        <v>276</v>
      </c>
      <c r="J55" s="468"/>
      <c r="K55" s="2"/>
      <c r="L55" s="477" t="s">
        <v>276</v>
      </c>
      <c r="M55" s="468"/>
      <c r="N55" s="2"/>
      <c r="O55" s="479" t="s">
        <v>276</v>
      </c>
      <c r="P55" s="2"/>
      <c r="Q55" s="480" t="s">
        <v>276</v>
      </c>
    </row>
    <row r="56" spans="1:17" x14ac:dyDescent="0.3">
      <c r="A56" s="2" t="s">
        <v>113</v>
      </c>
      <c r="B56" s="2"/>
      <c r="C56" s="481"/>
      <c r="D56" s="1"/>
      <c r="E56" s="477" t="s">
        <v>276</v>
      </c>
      <c r="F56" s="468"/>
      <c r="G56" s="468"/>
      <c r="H56" s="2"/>
      <c r="I56" s="477" t="s">
        <v>276</v>
      </c>
      <c r="J56" s="468"/>
      <c r="K56" s="2"/>
      <c r="L56" s="477" t="s">
        <v>276</v>
      </c>
      <c r="M56" s="468"/>
      <c r="N56" s="2"/>
      <c r="O56" s="479" t="s">
        <v>276</v>
      </c>
      <c r="P56" s="2"/>
      <c r="Q56" s="480" t="s">
        <v>276</v>
      </c>
    </row>
    <row r="57" spans="1:17" x14ac:dyDescent="0.3">
      <c r="A57" s="1" t="s">
        <v>781</v>
      </c>
      <c r="B57" s="1"/>
      <c r="C57" s="1"/>
      <c r="D57" s="470" t="s">
        <v>782</v>
      </c>
      <c r="E57" s="443">
        <f>'Performances by Week'!$U$25</f>
        <v>11200</v>
      </c>
      <c r="F57" s="444">
        <f>'Performances by Week'!$T$25</f>
        <v>2800</v>
      </c>
      <c r="G57" s="449">
        <f>F57-E57</f>
        <v>-8400</v>
      </c>
      <c r="H57" s="1">
        <f>'Performances by Week'!$P$25</f>
        <v>25</v>
      </c>
      <c r="I57" s="443" t="s">
        <v>769</v>
      </c>
      <c r="J57" s="444" t="s">
        <v>769</v>
      </c>
      <c r="K57" s="2" t="s">
        <v>770</v>
      </c>
      <c r="L57" s="443">
        <f t="shared" ref="L57:M60" si="27">SUM(E57,I57)</f>
        <v>11200</v>
      </c>
      <c r="M57" s="444">
        <f t="shared" si="27"/>
        <v>2800</v>
      </c>
      <c r="N57" s="437">
        <f t="shared" ref="N57:N60" si="28">SUM(H57,K57)</f>
        <v>25</v>
      </c>
      <c r="O57" s="4">
        <f>'Performances by Week'!$AB$25</f>
        <v>100</v>
      </c>
      <c r="P57" s="439">
        <f t="shared" ref="P57:P61" si="29">N57/O57</f>
        <v>0.25</v>
      </c>
      <c r="Q57" s="441">
        <f t="shared" ref="Q57:Q61" si="30">M57/N57</f>
        <v>112</v>
      </c>
    </row>
    <row r="58" spans="1:17" x14ac:dyDescent="0.3">
      <c r="A58" s="1" t="s">
        <v>783</v>
      </c>
      <c r="B58" s="1"/>
      <c r="C58" s="1"/>
      <c r="D58" s="470" t="s">
        <v>784</v>
      </c>
      <c r="E58" s="443">
        <f>'Performances by Week'!$U$65</f>
        <v>9000</v>
      </c>
      <c r="F58" s="444">
        <f>'Performances by Week'!$T$65</f>
        <v>1960</v>
      </c>
      <c r="G58" s="449">
        <f>F58-E58</f>
        <v>-7040</v>
      </c>
      <c r="H58" s="1">
        <f>'Performances by Week'!$P$65</f>
        <v>19</v>
      </c>
      <c r="I58" s="443" t="s">
        <v>769</v>
      </c>
      <c r="J58" s="444" t="s">
        <v>769</v>
      </c>
      <c r="K58" s="2" t="s">
        <v>770</v>
      </c>
      <c r="L58" s="443">
        <f t="shared" si="27"/>
        <v>9000</v>
      </c>
      <c r="M58" s="444">
        <f t="shared" si="27"/>
        <v>1960</v>
      </c>
      <c r="N58" s="437">
        <f t="shared" si="28"/>
        <v>19</v>
      </c>
      <c r="O58" s="4">
        <f>'Performances by Week'!$AB$65</f>
        <v>100</v>
      </c>
      <c r="P58" s="439">
        <f t="shared" si="29"/>
        <v>0.19</v>
      </c>
      <c r="Q58" s="441">
        <f t="shared" si="30"/>
        <v>103.15789473684211</v>
      </c>
    </row>
    <row r="59" spans="1:17" x14ac:dyDescent="0.3">
      <c r="A59" s="1" t="s">
        <v>785</v>
      </c>
      <c r="B59" s="1"/>
      <c r="C59" s="1"/>
      <c r="D59" s="470" t="s">
        <v>786</v>
      </c>
      <c r="E59" s="443">
        <f>'Performances by Week'!$U$106</f>
        <v>9000</v>
      </c>
      <c r="F59" s="444">
        <f>'Performances by Week'!$T$106</f>
        <v>1680</v>
      </c>
      <c r="G59" s="449">
        <f>F59-E59</f>
        <v>-7320</v>
      </c>
      <c r="H59" s="1">
        <f>'Performances by Week'!$P$106</f>
        <v>17</v>
      </c>
      <c r="I59" s="443" t="s">
        <v>769</v>
      </c>
      <c r="J59" s="444" t="s">
        <v>769</v>
      </c>
      <c r="K59" s="2" t="s">
        <v>770</v>
      </c>
      <c r="L59" s="443">
        <f t="shared" si="27"/>
        <v>9000</v>
      </c>
      <c r="M59" s="444">
        <f t="shared" si="27"/>
        <v>1680</v>
      </c>
      <c r="N59" s="437">
        <f t="shared" si="28"/>
        <v>17</v>
      </c>
      <c r="O59" s="4">
        <f>'Performances by Week'!$AB$106</f>
        <v>100</v>
      </c>
      <c r="P59" s="439">
        <f t="shared" si="29"/>
        <v>0.17</v>
      </c>
      <c r="Q59" s="441">
        <f t="shared" si="30"/>
        <v>98.82352941176471</v>
      </c>
    </row>
    <row r="60" spans="1:17" x14ac:dyDescent="0.3">
      <c r="A60" s="450" t="s">
        <v>787</v>
      </c>
      <c r="B60" s="450"/>
      <c r="C60" s="450"/>
      <c r="D60" s="471" t="s">
        <v>788</v>
      </c>
      <c r="E60" s="451">
        <f>'Performances by Week'!$U$110</f>
        <v>9000</v>
      </c>
      <c r="F60" s="452">
        <f>'Performances by Week'!$T$110</f>
        <v>2100</v>
      </c>
      <c r="G60" s="453">
        <f>F60-E60</f>
        <v>-6900</v>
      </c>
      <c r="H60" s="450">
        <f>'Performances by Week'!$P$110</f>
        <v>20</v>
      </c>
      <c r="I60" s="451" t="s">
        <v>769</v>
      </c>
      <c r="J60" s="452" t="s">
        <v>769</v>
      </c>
      <c r="K60" s="485" t="s">
        <v>770</v>
      </c>
      <c r="L60" s="451">
        <f t="shared" si="27"/>
        <v>9000</v>
      </c>
      <c r="M60" s="452">
        <f t="shared" si="27"/>
        <v>2100</v>
      </c>
      <c r="N60" s="455">
        <f t="shared" si="28"/>
        <v>20</v>
      </c>
      <c r="O60" s="486">
        <f>'Performances by Week'!$AB$110</f>
        <v>100</v>
      </c>
      <c r="P60" s="456">
        <f t="shared" si="29"/>
        <v>0.2</v>
      </c>
      <c r="Q60" s="457">
        <f t="shared" si="30"/>
        <v>105</v>
      </c>
    </row>
    <row r="61" spans="1:17" x14ac:dyDescent="0.3">
      <c r="A61" s="459" t="s">
        <v>263</v>
      </c>
      <c r="B61" s="459"/>
      <c r="C61" s="459"/>
      <c r="D61" s="460" t="s">
        <v>276</v>
      </c>
      <c r="E61" s="461">
        <f>SUM(E57:E60)</f>
        <v>38200</v>
      </c>
      <c r="F61" s="461">
        <f>SUM(F57:F60)</f>
        <v>8540</v>
      </c>
      <c r="G61" s="482">
        <f>SUM(G57:G60)</f>
        <v>-29660</v>
      </c>
      <c r="H61" s="463">
        <f>SUM(H57:H60)</f>
        <v>81</v>
      </c>
      <c r="I61" s="461" t="s">
        <v>769</v>
      </c>
      <c r="J61" s="464" t="s">
        <v>769</v>
      </c>
      <c r="K61" s="483" t="s">
        <v>770</v>
      </c>
      <c r="L61" s="461">
        <f>SUM(L57:L60)</f>
        <v>38200</v>
      </c>
      <c r="M61" s="461">
        <f>SUM(M57:M60)</f>
        <v>8540</v>
      </c>
      <c r="N61" s="463">
        <f>SUM(N57:N60)</f>
        <v>81</v>
      </c>
      <c r="O61" s="463">
        <f>SUM(O57:O60)</f>
        <v>400</v>
      </c>
      <c r="P61" s="466">
        <f t="shared" si="29"/>
        <v>0.20250000000000001</v>
      </c>
      <c r="Q61" s="467">
        <f t="shared" si="30"/>
        <v>105.4320987654321</v>
      </c>
    </row>
    <row r="62" spans="1:17" x14ac:dyDescent="0.3">
      <c r="A62" s="2"/>
      <c r="B62" s="1"/>
      <c r="C62" s="1"/>
      <c r="D62" s="1"/>
      <c r="E62" s="477" t="s">
        <v>276</v>
      </c>
      <c r="F62" s="468"/>
      <c r="G62" s="484"/>
      <c r="H62" s="2"/>
      <c r="I62" s="477" t="s">
        <v>276</v>
      </c>
      <c r="J62" s="468"/>
      <c r="K62" s="2"/>
      <c r="L62" s="477" t="s">
        <v>276</v>
      </c>
      <c r="M62" s="468"/>
      <c r="N62" s="2"/>
      <c r="O62" s="479" t="s">
        <v>276</v>
      </c>
      <c r="P62" s="2"/>
      <c r="Q62" s="480" t="s">
        <v>276</v>
      </c>
    </row>
    <row r="63" spans="1:17" x14ac:dyDescent="0.3">
      <c r="A63" s="2" t="s">
        <v>789</v>
      </c>
      <c r="B63" s="2"/>
      <c r="C63" s="2"/>
      <c r="D63" s="1"/>
      <c r="E63" s="443" t="s">
        <v>276</v>
      </c>
      <c r="F63" s="444"/>
      <c r="G63" s="468"/>
      <c r="H63" s="1"/>
      <c r="I63" s="443" t="s">
        <v>276</v>
      </c>
      <c r="J63" s="444"/>
      <c r="K63" s="1"/>
      <c r="L63" s="443" t="s">
        <v>276</v>
      </c>
      <c r="M63" s="444"/>
      <c r="N63" s="1"/>
      <c r="O63" s="4" t="s">
        <v>276</v>
      </c>
      <c r="P63" s="1"/>
      <c r="Q63" s="440" t="s">
        <v>276</v>
      </c>
    </row>
    <row r="64" spans="1:17" x14ac:dyDescent="0.3">
      <c r="A64" s="1" t="s">
        <v>790</v>
      </c>
      <c r="B64" s="1"/>
      <c r="C64" s="1"/>
      <c r="D64" s="1" t="s">
        <v>791</v>
      </c>
      <c r="E64" s="443">
        <f>SUM('Performances by Week'!$U$6:$U$7)</f>
        <v>306946</v>
      </c>
      <c r="F64" s="443">
        <f>SUM('Performances by Week'!$T$6:$T$7)</f>
        <v>272084</v>
      </c>
      <c r="G64" s="444">
        <f>F64-E64</f>
        <v>-34862</v>
      </c>
      <c r="H64" s="445">
        <f>SUM('Performances by Week'!$P$6:$P$7)</f>
        <v>2317</v>
      </c>
      <c r="I64" s="443" t="s">
        <v>769</v>
      </c>
      <c r="J64" s="444" t="s">
        <v>769</v>
      </c>
      <c r="K64" s="1"/>
      <c r="L64" s="443">
        <f t="shared" ref="L64:M70" si="31">SUM(E64,I64)</f>
        <v>306946</v>
      </c>
      <c r="M64" s="444">
        <f t="shared" si="31"/>
        <v>272084</v>
      </c>
      <c r="N64" s="437">
        <f t="shared" ref="N64:N70" si="32">SUM(H64,K64)</f>
        <v>2317</v>
      </c>
      <c r="O64" s="445">
        <f>SUM('Performances by Week'!$AB$6:$AB$7)</f>
        <v>2604</v>
      </c>
      <c r="P64" s="439">
        <f t="shared" ref="P64:P72" si="33">N64/O64</f>
        <v>0.88978494623655913</v>
      </c>
      <c r="Q64" s="441">
        <f t="shared" ref="Q64:Q72" si="34">M64/N64</f>
        <v>117.42943461372464</v>
      </c>
    </row>
    <row r="65" spans="1:17" x14ac:dyDescent="0.3">
      <c r="A65" s="1" t="s">
        <v>792</v>
      </c>
      <c r="B65" s="1"/>
      <c r="C65" s="1"/>
      <c r="D65" s="470" t="s">
        <v>793</v>
      </c>
      <c r="E65" s="443">
        <f>'Performances by Week'!$U$8</f>
        <v>15000</v>
      </c>
      <c r="F65" s="443">
        <f>'Performances by Week'!$T$8</f>
        <v>20005</v>
      </c>
      <c r="G65" s="444">
        <f t="shared" ref="G65:G70" si="35">F65-E65</f>
        <v>5005</v>
      </c>
      <c r="H65" s="445">
        <f>'Performances by Week'!$P$8</f>
        <v>699</v>
      </c>
      <c r="I65" s="443" t="s">
        <v>769</v>
      </c>
      <c r="J65" s="444" t="s">
        <v>769</v>
      </c>
      <c r="K65" s="1"/>
      <c r="L65" s="443">
        <f t="shared" si="31"/>
        <v>15000</v>
      </c>
      <c r="M65" s="444">
        <f t="shared" si="31"/>
        <v>20005</v>
      </c>
      <c r="N65" s="437">
        <f t="shared" si="32"/>
        <v>699</v>
      </c>
      <c r="O65" s="445">
        <f>'Performances by Week'!$AB$8</f>
        <v>600</v>
      </c>
      <c r="P65" s="439">
        <f t="shared" si="33"/>
        <v>1.165</v>
      </c>
      <c r="Q65" s="441">
        <f t="shared" si="34"/>
        <v>28.619456366237483</v>
      </c>
    </row>
    <row r="66" spans="1:17" x14ac:dyDescent="0.3">
      <c r="A66" s="1" t="s">
        <v>172</v>
      </c>
      <c r="B66" s="1"/>
      <c r="C66" s="1"/>
      <c r="D66" s="1" t="s">
        <v>794</v>
      </c>
      <c r="E66" s="443">
        <f>SUM('Performances by Week'!$U$38:$U$40)</f>
        <v>235000</v>
      </c>
      <c r="F66" s="443">
        <f>SUM('Performances by Week'!$T$38:$T$40)</f>
        <v>65052.5</v>
      </c>
      <c r="G66" s="444">
        <f t="shared" si="35"/>
        <v>-169947.5</v>
      </c>
      <c r="H66" s="445">
        <f>SUM('Performances by Week'!$P$38:$P$40)</f>
        <v>1176</v>
      </c>
      <c r="I66" s="443" t="s">
        <v>769</v>
      </c>
      <c r="J66" s="444" t="s">
        <v>769</v>
      </c>
      <c r="K66" s="1" t="s">
        <v>770</v>
      </c>
      <c r="L66" s="443">
        <f t="shared" si="31"/>
        <v>235000</v>
      </c>
      <c r="M66" s="444">
        <f t="shared" si="31"/>
        <v>65052.5</v>
      </c>
      <c r="N66" s="437">
        <f t="shared" si="32"/>
        <v>1176</v>
      </c>
      <c r="O66" s="445">
        <f>SUM('Performances by Week'!$AB$38:$AB$40)</f>
        <v>4299</v>
      </c>
      <c r="P66" s="439">
        <f t="shared" si="33"/>
        <v>0.27355198883461268</v>
      </c>
      <c r="Q66" s="441">
        <f t="shared" si="34"/>
        <v>55.316751700680271</v>
      </c>
    </row>
    <row r="67" spans="1:17" x14ac:dyDescent="0.3">
      <c r="A67" s="1" t="s">
        <v>795</v>
      </c>
      <c r="B67" s="1"/>
      <c r="C67" s="1"/>
      <c r="D67" s="1" t="s">
        <v>796</v>
      </c>
      <c r="E67" s="443">
        <f>SUM('Performances by Week'!$U$41:$U$42)</f>
        <v>300000</v>
      </c>
      <c r="F67" s="443">
        <f>SUM('Performances by Week'!$T$41:$T$42)</f>
        <v>234790.5</v>
      </c>
      <c r="G67" s="444">
        <f t="shared" si="35"/>
        <v>-65209.5</v>
      </c>
      <c r="H67" s="445">
        <f>SUM('Performances by Week'!$P$41:$P$42)</f>
        <v>2334</v>
      </c>
      <c r="I67" s="443" t="s">
        <v>769</v>
      </c>
      <c r="J67" s="444" t="s">
        <v>769</v>
      </c>
      <c r="K67" s="1" t="s">
        <v>770</v>
      </c>
      <c r="L67" s="443">
        <f t="shared" si="31"/>
        <v>300000</v>
      </c>
      <c r="M67" s="444">
        <f t="shared" si="31"/>
        <v>234790.5</v>
      </c>
      <c r="N67" s="437">
        <f t="shared" si="32"/>
        <v>2334</v>
      </c>
      <c r="O67" s="445">
        <f>SUM('Performances by Week'!$AB$41:$AB$42)</f>
        <v>3180</v>
      </c>
      <c r="P67" s="439">
        <f t="shared" si="33"/>
        <v>0.73396226415094334</v>
      </c>
      <c r="Q67" s="441">
        <f t="shared" si="34"/>
        <v>100.59575835475579</v>
      </c>
    </row>
    <row r="68" spans="1:17" x14ac:dyDescent="0.3">
      <c r="A68" s="1" t="s">
        <v>797</v>
      </c>
      <c r="B68" s="1"/>
      <c r="C68" s="1"/>
      <c r="D68" s="470" t="s">
        <v>798</v>
      </c>
      <c r="E68" s="443">
        <f>'Performances by Week'!$U$69</f>
        <v>128900</v>
      </c>
      <c r="F68" s="443">
        <f>'Performances by Week'!$T$69</f>
        <v>30162</v>
      </c>
      <c r="G68" s="444">
        <f t="shared" si="35"/>
        <v>-98738</v>
      </c>
      <c r="H68" s="445">
        <f>'Performances by Week'!$P$69</f>
        <v>340</v>
      </c>
      <c r="I68" s="443" t="s">
        <v>769</v>
      </c>
      <c r="J68" s="444" t="s">
        <v>769</v>
      </c>
      <c r="K68" s="1" t="s">
        <v>770</v>
      </c>
      <c r="L68" s="443">
        <f t="shared" si="31"/>
        <v>128900</v>
      </c>
      <c r="M68" s="444">
        <f t="shared" si="31"/>
        <v>30162</v>
      </c>
      <c r="N68" s="437">
        <f t="shared" si="32"/>
        <v>340</v>
      </c>
      <c r="O68" s="445">
        <f>'Performances by Week'!$AB$69</f>
        <v>1590</v>
      </c>
      <c r="P68" s="439">
        <f t="shared" si="33"/>
        <v>0.21383647798742139</v>
      </c>
      <c r="Q68" s="441">
        <f t="shared" si="34"/>
        <v>88.711764705882359</v>
      </c>
    </row>
    <row r="69" spans="1:17" x14ac:dyDescent="0.3">
      <c r="A69" s="1" t="s">
        <v>94</v>
      </c>
      <c r="B69" s="1"/>
      <c r="C69" s="1"/>
      <c r="D69" s="1" t="s">
        <v>799</v>
      </c>
      <c r="E69" s="443">
        <f>SUM('Performances by Week'!$U$83:$U$84)</f>
        <v>168218</v>
      </c>
      <c r="F69" s="443">
        <f>SUM('Performances by Week'!$T$83:$T$84)</f>
        <v>10464.5</v>
      </c>
      <c r="G69" s="444">
        <f t="shared" si="35"/>
        <v>-157753.5</v>
      </c>
      <c r="H69" s="445">
        <f>SUM('Performances by Week'!$P$83:$P$84)</f>
        <v>173</v>
      </c>
      <c r="I69" s="443" t="s">
        <v>769</v>
      </c>
      <c r="J69" s="444" t="s">
        <v>769</v>
      </c>
      <c r="K69" s="1" t="s">
        <v>770</v>
      </c>
      <c r="L69" s="443">
        <f t="shared" si="31"/>
        <v>168218</v>
      </c>
      <c r="M69" s="444">
        <f t="shared" si="31"/>
        <v>10464.5</v>
      </c>
      <c r="N69" s="437">
        <f t="shared" si="32"/>
        <v>173</v>
      </c>
      <c r="O69" s="445">
        <f>SUM('Performances by Week'!$AB$83:$AB$84)</f>
        <v>3180</v>
      </c>
      <c r="P69" s="439">
        <f t="shared" si="33"/>
        <v>5.4402515723270442E-2</v>
      </c>
      <c r="Q69" s="441">
        <f t="shared" si="34"/>
        <v>60.48843930635838</v>
      </c>
    </row>
    <row r="70" spans="1:17" x14ac:dyDescent="0.3">
      <c r="A70" s="450" t="s">
        <v>100</v>
      </c>
      <c r="B70" s="450"/>
      <c r="C70" s="450"/>
      <c r="D70" s="450" t="s">
        <v>800</v>
      </c>
      <c r="E70" s="451">
        <f>SUM('Performances by Week'!$U$104:$U$105)</f>
        <v>224936</v>
      </c>
      <c r="F70" s="451">
        <f>SUM('Performances by Week'!$T$104:$T$105)</f>
        <v>28268</v>
      </c>
      <c r="G70" s="452">
        <f t="shared" si="35"/>
        <v>-196668</v>
      </c>
      <c r="H70" s="475">
        <f>SUM('Performances by Week'!$P$104:$P$105)</f>
        <v>317</v>
      </c>
      <c r="I70" s="451" t="s">
        <v>276</v>
      </c>
      <c r="J70" s="452"/>
      <c r="K70" s="450"/>
      <c r="L70" s="451">
        <f t="shared" si="31"/>
        <v>224936</v>
      </c>
      <c r="M70" s="452">
        <f t="shared" si="31"/>
        <v>28268</v>
      </c>
      <c r="N70" s="455">
        <f t="shared" si="32"/>
        <v>317</v>
      </c>
      <c r="O70" s="475">
        <f>SUM('Performances by Week'!$AB$104:$AB$105)</f>
        <v>3180</v>
      </c>
      <c r="P70" s="456">
        <f t="shared" si="33"/>
        <v>9.9685534591194974E-2</v>
      </c>
      <c r="Q70" s="457">
        <f t="shared" si="34"/>
        <v>89.17350157728707</v>
      </c>
    </row>
    <row r="71" spans="1:17" x14ac:dyDescent="0.3">
      <c r="A71" s="487" t="s">
        <v>264</v>
      </c>
      <c r="B71" s="442"/>
      <c r="C71" s="442"/>
      <c r="D71" s="442" t="s">
        <v>276</v>
      </c>
      <c r="E71" s="488">
        <f>SUM(E64:E70)</f>
        <v>1379000</v>
      </c>
      <c r="F71" s="488">
        <f>SUM(F64:F70)</f>
        <v>660826.5</v>
      </c>
      <c r="G71" s="488">
        <f>SUM(G64:G70)</f>
        <v>-718173.5</v>
      </c>
      <c r="H71" s="489">
        <f>SUM(H64:H70)</f>
        <v>7356</v>
      </c>
      <c r="I71" s="488" t="s">
        <v>769</v>
      </c>
      <c r="J71" s="490" t="s">
        <v>769</v>
      </c>
      <c r="K71" s="491" t="s">
        <v>770</v>
      </c>
      <c r="L71" s="488">
        <f>SUM(L64:L70)</f>
        <v>1379000</v>
      </c>
      <c r="M71" s="488">
        <f>SUM(M64:M70)</f>
        <v>660826.5</v>
      </c>
      <c r="N71" s="489">
        <f>SUM(N64:N70)</f>
        <v>7356</v>
      </c>
      <c r="O71" s="489">
        <f>SUM(O64:O70)</f>
        <v>18633</v>
      </c>
      <c r="P71" s="492">
        <f t="shared" si="33"/>
        <v>0.39478344872001286</v>
      </c>
      <c r="Q71" s="493">
        <f t="shared" si="34"/>
        <v>89.835032626427406</v>
      </c>
    </row>
    <row r="72" spans="1:17" x14ac:dyDescent="0.3">
      <c r="A72" s="494" t="s">
        <v>115</v>
      </c>
      <c r="B72" s="495"/>
      <c r="C72" s="495" t="s">
        <v>276</v>
      </c>
      <c r="D72" s="495" t="s">
        <v>276</v>
      </c>
      <c r="E72" s="496">
        <f t="shared" ref="E72:O72" si="36">SUM(E71,E61,E54,E45,E38,E20)</f>
        <v>5402679</v>
      </c>
      <c r="F72" s="496">
        <f t="shared" si="36"/>
        <v>1784458.3</v>
      </c>
      <c r="G72" s="496">
        <f t="shared" si="36"/>
        <v>-3618220.7</v>
      </c>
      <c r="H72" s="497">
        <f t="shared" si="36"/>
        <v>24851</v>
      </c>
      <c r="I72" s="496">
        <f t="shared" si="36"/>
        <v>2294950</v>
      </c>
      <c r="J72" s="496">
        <f t="shared" si="36"/>
        <v>2172607.1</v>
      </c>
      <c r="K72" s="497">
        <f t="shared" si="36"/>
        <v>32562</v>
      </c>
      <c r="L72" s="496">
        <f t="shared" si="36"/>
        <v>7697629</v>
      </c>
      <c r="M72" s="496">
        <f t="shared" si="36"/>
        <v>3957065.4000000004</v>
      </c>
      <c r="N72" s="497">
        <f t="shared" si="36"/>
        <v>57413</v>
      </c>
      <c r="O72" s="497">
        <f t="shared" si="36"/>
        <v>143324</v>
      </c>
      <c r="P72" s="498">
        <f t="shared" si="33"/>
        <v>0.40058189835617203</v>
      </c>
      <c r="Q72" s="499">
        <f t="shared" si="34"/>
        <v>68.922811906711033</v>
      </c>
    </row>
  </sheetData>
  <mergeCells count="6">
    <mergeCell ref="A4:C4"/>
    <mergeCell ref="M1:Q1"/>
    <mergeCell ref="E3:H3"/>
    <mergeCell ref="I3:K3"/>
    <mergeCell ref="L3:N3"/>
    <mergeCell ref="O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Performances by Week</vt:lpstr>
      <vt:lpstr>PS1 Journey</vt:lpstr>
      <vt:lpstr>CS1 Appalachian</vt:lpstr>
      <vt:lpstr>PS2 90s Mixtape</vt:lpstr>
      <vt:lpstr>MFSB</vt:lpstr>
      <vt:lpstr>CS2 Rachmaninoff</vt:lpstr>
      <vt:lpstr>CS3 Mahler</vt:lpstr>
      <vt:lpstr>Elf</vt:lpstr>
      <vt:lpstr>Messiah</vt:lpstr>
      <vt:lpstr>XMas Festival</vt:lpstr>
      <vt:lpstr>Subscriptions</vt:lpstr>
      <vt:lpstr>Summary (Draft)</vt:lpstr>
      <vt:lpstr>Sub Graphs</vt:lpstr>
      <vt:lpstr>Channels (Draft)</vt:lpstr>
      <vt:lpstr>Sales Pacing</vt:lpstr>
      <vt:lpstr>Email Reporting</vt:lpstr>
      <vt:lpstr>Social Reporting</vt:lpstr>
      <vt:lpstr>Website Reporting</vt:lpstr>
      <vt:lpstr>Grassroots Flyer Locations</vt:lpstr>
      <vt:lpstr>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Julius Lai</dc:creator>
  <cp:keywords/>
  <dc:description/>
  <cp:lastModifiedBy>Rupal Gor</cp:lastModifiedBy>
  <cp:revision/>
  <dcterms:created xsi:type="dcterms:W3CDTF">2025-06-06T18:30:38Z</dcterms:created>
  <dcterms:modified xsi:type="dcterms:W3CDTF">2025-09-23T01:25:56Z</dcterms:modified>
  <cp:category/>
  <cp:contentStatus/>
</cp:coreProperties>
</file>