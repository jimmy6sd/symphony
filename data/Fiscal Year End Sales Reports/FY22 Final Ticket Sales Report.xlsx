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"/>
    </mc:Choice>
  </mc:AlternateContent>
  <xr:revisionPtr revIDLastSave="0" documentId="8_{A506EA0F-BCD4-CF45-9535-B2E3C0021ACC}" xr6:coauthVersionLast="47" xr6:coauthVersionMax="47" xr10:uidLastSave="{00000000-0000-0000-0000-000000000000}"/>
  <bookViews>
    <workbookView xWindow="84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F33" i="1"/>
  <c r="F26" i="1"/>
  <c r="G19" i="1"/>
</calcChain>
</file>

<file path=xl/sharedStrings.xml><?xml version="1.0" encoding="utf-8"?>
<sst xmlns="http://schemas.openxmlformats.org/spreadsheetml/2006/main" count="132" uniqueCount="115">
  <si>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</si>
  <si>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</si>
  <si>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</si>
  <si>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</si>
  <si>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</si>
  <si>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</si>
  <si>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</si>
  <si>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</si>
  <si>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</si>
  <si>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</si>
  <si>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</si>
  <si>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</si>
  <si>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</si>
  <si>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</si>
  <si>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</si>
  <si>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</si>
  <si>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</si>
  <si>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</si>
  <si>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</si>
  <si>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</si>
  <si>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</si>
  <si>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</si>
  <si>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</si>
  <si>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</si>
  <si>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</si>
  <si>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</si>
  <si>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</si>
  <si>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</si>
  <si>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</si>
  <si>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</si>
  <si>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</si>
  <si>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</si>
  <si>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</si>
  <si>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</si>
  <si>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</si>
  <si>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</si>
  <si>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</si>
  <si>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Film: Harry Potter 5/Order of Phoenix</t>
  </si>
  <si>
    <t>Everly</t>
  </si>
  <si>
    <t>Film: Home Alone</t>
  </si>
  <si>
    <t>Dec. 22 - 24</t>
  </si>
  <si>
    <t>Film: Star Wars/Jedi</t>
  </si>
  <si>
    <t>Francis</t>
  </si>
  <si>
    <t>Bortolameolli</t>
  </si>
  <si>
    <t>New</t>
  </si>
  <si>
    <t>Reif</t>
  </si>
  <si>
    <t>Weilerstein</t>
  </si>
  <si>
    <t>2021-22 SINGLE TICKET REVENUE</t>
  </si>
  <si>
    <t>Mahler 1/Kahane/Beethoven</t>
  </si>
  <si>
    <t>Sept. 24 - 26</t>
  </si>
  <si>
    <t>Brahms 1/Bruch/Turnbull</t>
  </si>
  <si>
    <t>Oct. 29 - 31</t>
  </si>
  <si>
    <t>Scheherazade/Strauss/Price</t>
  </si>
  <si>
    <t>Nov. 5 - 7</t>
  </si>
  <si>
    <t>Oundjian</t>
  </si>
  <si>
    <t>Schumann Rhenish/Beet PC4</t>
  </si>
  <si>
    <t>Nov. 26 - 28</t>
  </si>
  <si>
    <t>Debus</t>
  </si>
  <si>
    <t>Shostakovich 5/Gershwin PCF</t>
  </si>
  <si>
    <t>Jan. 14 - 16</t>
  </si>
  <si>
    <t>Jan. 28 - 30</t>
  </si>
  <si>
    <t>Prokofiev 5/Tchaik Rococo</t>
  </si>
  <si>
    <t>Feb. 4 -6</t>
  </si>
  <si>
    <t>Strausser</t>
  </si>
  <si>
    <t>Elgar 1/Mozart PC24</t>
  </si>
  <si>
    <t>Mar. 4 - 6</t>
  </si>
  <si>
    <t>Brahms VC/Debussy La Mer</t>
  </si>
  <si>
    <t>Mar. 25 - 27</t>
  </si>
  <si>
    <t>Petrouchka/Mozart Clarinet</t>
  </si>
  <si>
    <t>Apr. 1 - 3</t>
  </si>
  <si>
    <t>Bartok's Mandarin/Rach PC4</t>
  </si>
  <si>
    <t>Apr. 22 - 24</t>
  </si>
  <si>
    <t>Saint-Saens Organ/Rogerson</t>
  </si>
  <si>
    <t>Jun. 3 - 5</t>
  </si>
  <si>
    <t>Tchaik Beauty/Sibelius VC</t>
  </si>
  <si>
    <t>Jun. 17 - 19</t>
  </si>
  <si>
    <t>Bancroft</t>
  </si>
  <si>
    <t>Beethoven 9/Handel Zadok</t>
  </si>
  <si>
    <t>Oct. 22 - 24</t>
  </si>
  <si>
    <t>Jan. 7 - 9</t>
  </si>
  <si>
    <t>Apr. 7 - 9</t>
  </si>
  <si>
    <t>The Music of Queen</t>
  </si>
  <si>
    <t>May 20 - 22</t>
  </si>
  <si>
    <t>Buckets N Boards</t>
  </si>
  <si>
    <t>Mar. 13</t>
  </si>
  <si>
    <t>Ben Folds</t>
  </si>
  <si>
    <t>Oct. 5 - 6</t>
  </si>
  <si>
    <t xml:space="preserve">Dec. 16 - 19 </t>
  </si>
  <si>
    <t>Jan. 20 - 23</t>
  </si>
  <si>
    <t>Feb. 10 - 13</t>
  </si>
  <si>
    <t>ABBA The Concert</t>
  </si>
  <si>
    <t>Apr. 12 - 14</t>
  </si>
  <si>
    <t>The Music of John Williams</t>
  </si>
  <si>
    <t>Revolution: The Music of the Beatles</t>
  </si>
  <si>
    <t>The Music of the Rolling Stones</t>
  </si>
  <si>
    <t>Jun. 9 - 10</t>
  </si>
  <si>
    <t>Sinatra and Friends</t>
  </si>
  <si>
    <t>Chorus Concert</t>
  </si>
  <si>
    <t>Bruffy</t>
  </si>
  <si>
    <t>Apr. 9</t>
  </si>
  <si>
    <t>Dec. 10 - 12</t>
  </si>
  <si>
    <t>Quigley</t>
  </si>
  <si>
    <t>Havens</t>
  </si>
  <si>
    <t>Peter &amp; The Wolf</t>
  </si>
  <si>
    <t xml:space="preserve">The Composer is Dead </t>
  </si>
  <si>
    <t>May. 7</t>
  </si>
  <si>
    <t>Farias</t>
  </si>
  <si>
    <t>LvB Leonore/Prokofiev VC2</t>
  </si>
  <si>
    <t>Mar. 31</t>
  </si>
  <si>
    <t>%CAP</t>
  </si>
  <si>
    <t>AVG/</t>
  </si>
  <si>
    <t>TCKT</t>
  </si>
  <si>
    <t>PAID</t>
  </si>
  <si>
    <t>Jun. 23 - 26</t>
  </si>
  <si>
    <t>Revised: 6/27/22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</si>
</sst>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49" fontId="0" fillId="0" borderId="0" xfId="0" applyNumberForma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44" fontId="0" fillId="0" borderId="0" xfId="0" applyNumberFormat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4" xfId="0" applyNumberFormat="1" applyFont="1" applyFill="1" applyBorder="1" applyAlignment="1">
      <alignment horizontal="center"/>
    </xf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showGridLines="0" tabSelected="1" workbookViewId="0">
      <selection activeCell="T26" sqref="T26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4.33203125" customWidth="1"/>
    <col min="5" max="5" width="12.83203125" customWidth="1"/>
    <col min="6" max="7" width="11" customWidth="1"/>
    <col min="8" max="8" width="7.5" customWidth="1"/>
    <col min="9" max="9" width="2.33203125" customWidth="1"/>
    <col min="10" max="10" width="8.5" customWidth="1"/>
    <col min="11" max="11" width="1.1640625" customWidth="1"/>
    <col min="12" max="12" width="9.33203125" customWidth="1"/>
    <col min="13" max="13" width="11.6640625" customWidth="1"/>
    <col min="14" max="14" width="1.33203125" hidden="1" customWidth="1"/>
    <col min="15" max="15" width="12.6640625" customWidth="1"/>
    <col min="16" max="16" width="1.5" customWidth="1"/>
    <col min="17" max="17" width="7.33203125" customWidth="1"/>
    <col min="19" max="19" width="12.33203125" bestFit="1" customWidth="1"/>
  </cols>
  <sheetData>
    <row r="1" spans="1:17" ht="16" x14ac:dyDescent="0.2">
      <c r="A1" s="22"/>
      <c r="B1" s="12"/>
      <c r="C1" s="12"/>
      <c r="E1" s="25" t="s">
        <v>47</v>
      </c>
      <c r="F1" s="25"/>
      <c r="G1" s="25"/>
      <c r="O1" s="31" t="s">
        <v>114</v>
      </c>
    </row>
    <row r="2" spans="1:17" x14ac:dyDescent="0.15">
      <c r="A2" s="12"/>
      <c r="E2" s="23" t="s">
        <v>29</v>
      </c>
    </row>
    <row r="3" spans="1:17" x14ac:dyDescent="0.15">
      <c r="E3" s="32"/>
      <c r="J3" s="48" t="s">
        <v>112</v>
      </c>
      <c r="L3" s="48" t="s">
        <v>110</v>
      </c>
      <c r="O3" s="12" t="s">
        <v>33</v>
      </c>
    </row>
    <row r="4" spans="1:17" ht="12.75" customHeight="1" x14ac:dyDescent="0.15">
      <c r="A4" s="1" t="s">
        <v>0</v>
      </c>
      <c r="D4" s="3" t="s">
        <v>25</v>
      </c>
      <c r="E4" s="3" t="s">
        <v>26</v>
      </c>
      <c r="F4" s="10" t="s">
        <v>35</v>
      </c>
      <c r="G4" s="11" t="s">
        <v>4</v>
      </c>
      <c r="H4" s="1" t="s">
        <v>32</v>
      </c>
      <c r="I4" s="1"/>
      <c r="J4" s="11" t="s">
        <v>109</v>
      </c>
      <c r="K4" s="1"/>
      <c r="L4" s="11" t="s">
        <v>111</v>
      </c>
      <c r="M4" s="11" t="s">
        <v>5</v>
      </c>
      <c r="O4" s="9" t="s">
        <v>34</v>
      </c>
    </row>
    <row r="5" spans="1:17" x14ac:dyDescent="0.15">
      <c r="A5" t="s">
        <v>12</v>
      </c>
      <c r="B5" t="s">
        <v>48</v>
      </c>
      <c r="D5" t="s">
        <v>49</v>
      </c>
      <c r="E5" t="s">
        <v>27</v>
      </c>
      <c r="F5" s="37">
        <v>28000</v>
      </c>
      <c r="G5" s="37">
        <v>28063</v>
      </c>
      <c r="H5">
        <v>660</v>
      </c>
      <c r="J5" s="49">
        <v>0.53</v>
      </c>
      <c r="L5" s="47">
        <v>42.52</v>
      </c>
      <c r="M5" s="39">
        <v>63</v>
      </c>
      <c r="N5" s="17"/>
      <c r="O5" s="42">
        <v>63</v>
      </c>
      <c r="Q5" s="8"/>
    </row>
    <row r="6" spans="1:17" x14ac:dyDescent="0.15">
      <c r="A6" t="s">
        <v>13</v>
      </c>
      <c r="B6" t="s">
        <v>50</v>
      </c>
      <c r="D6" t="s">
        <v>51</v>
      </c>
      <c r="E6" t="s">
        <v>27</v>
      </c>
      <c r="F6" s="37">
        <v>29000</v>
      </c>
      <c r="G6" s="37">
        <v>27765</v>
      </c>
      <c r="H6">
        <v>612</v>
      </c>
      <c r="J6" s="49">
        <v>0.55000000000000004</v>
      </c>
      <c r="L6" s="47">
        <v>45.37</v>
      </c>
      <c r="M6" s="39">
        <v>-1235</v>
      </c>
      <c r="N6" s="17"/>
      <c r="O6" s="42">
        <v>-1172</v>
      </c>
      <c r="Q6" s="8"/>
    </row>
    <row r="7" spans="1:17" x14ac:dyDescent="0.15">
      <c r="A7" t="s">
        <v>14</v>
      </c>
      <c r="B7" t="s">
        <v>52</v>
      </c>
      <c r="D7" t="s">
        <v>53</v>
      </c>
      <c r="E7" t="s">
        <v>54</v>
      </c>
      <c r="F7" s="37">
        <v>28500</v>
      </c>
      <c r="G7" s="37">
        <v>30483</v>
      </c>
      <c r="H7">
        <v>645</v>
      </c>
      <c r="J7" s="49">
        <v>0.56999999999999995</v>
      </c>
      <c r="L7" s="47">
        <v>47.26</v>
      </c>
      <c r="M7" s="39">
        <v>1983</v>
      </c>
      <c r="N7" s="17"/>
      <c r="O7" s="42">
        <v>811</v>
      </c>
      <c r="Q7" s="8"/>
    </row>
    <row r="8" spans="1:17" x14ac:dyDescent="0.15">
      <c r="A8" t="s">
        <v>15</v>
      </c>
      <c r="B8" t="s">
        <v>55</v>
      </c>
      <c r="D8" s="32" t="s">
        <v>56</v>
      </c>
      <c r="E8" t="s">
        <v>57</v>
      </c>
      <c r="F8" s="37">
        <v>29000</v>
      </c>
      <c r="G8" s="37">
        <v>36148</v>
      </c>
      <c r="H8">
        <v>665</v>
      </c>
      <c r="J8" s="49">
        <v>0.54</v>
      </c>
      <c r="L8" s="47">
        <v>54.36</v>
      </c>
      <c r="M8" s="39">
        <v>7148</v>
      </c>
      <c r="N8" s="17"/>
      <c r="O8" s="42">
        <v>7959</v>
      </c>
      <c r="Q8" s="8"/>
    </row>
    <row r="9" spans="1:17" x14ac:dyDescent="0.15">
      <c r="A9" t="s">
        <v>16</v>
      </c>
      <c r="B9" t="s">
        <v>58</v>
      </c>
      <c r="D9" t="s">
        <v>59</v>
      </c>
      <c r="E9" t="s">
        <v>46</v>
      </c>
      <c r="F9" s="37">
        <v>35000</v>
      </c>
      <c r="G9" s="37">
        <v>29099</v>
      </c>
      <c r="H9">
        <v>612</v>
      </c>
      <c r="J9" s="49">
        <v>0.54</v>
      </c>
      <c r="L9" s="47">
        <v>47.55</v>
      </c>
      <c r="M9" s="39">
        <v>-5901</v>
      </c>
      <c r="N9" s="17"/>
      <c r="O9" s="42">
        <v>2058</v>
      </c>
      <c r="Q9" s="8"/>
    </row>
    <row r="10" spans="1:17" x14ac:dyDescent="0.15">
      <c r="A10" t="s">
        <v>17</v>
      </c>
      <c r="B10" t="s">
        <v>107</v>
      </c>
      <c r="D10" t="s">
        <v>60</v>
      </c>
      <c r="E10" t="s">
        <v>27</v>
      </c>
      <c r="F10" s="37">
        <v>33000</v>
      </c>
      <c r="G10" s="37">
        <v>18038</v>
      </c>
      <c r="H10">
        <v>387</v>
      </c>
      <c r="J10" s="49">
        <v>0.49</v>
      </c>
      <c r="L10" s="47">
        <v>46.61</v>
      </c>
      <c r="M10" s="39">
        <v>-14962</v>
      </c>
      <c r="N10" s="17"/>
      <c r="O10" s="42">
        <v>-12904</v>
      </c>
      <c r="Q10" s="8"/>
    </row>
    <row r="11" spans="1:17" x14ac:dyDescent="0.15">
      <c r="A11" t="s">
        <v>18</v>
      </c>
      <c r="B11" t="s">
        <v>61</v>
      </c>
      <c r="D11" t="s">
        <v>62</v>
      </c>
      <c r="E11" s="32" t="s">
        <v>63</v>
      </c>
      <c r="F11" s="37">
        <v>36000</v>
      </c>
      <c r="G11" s="37">
        <v>23736</v>
      </c>
      <c r="H11">
        <v>580</v>
      </c>
      <c r="J11" s="49">
        <v>0.56000000000000005</v>
      </c>
      <c r="L11" s="47">
        <v>40.92</v>
      </c>
      <c r="M11" s="39">
        <v>-12264</v>
      </c>
      <c r="N11" s="17"/>
      <c r="O11" s="42">
        <v>-25168</v>
      </c>
      <c r="Q11" s="8"/>
    </row>
    <row r="12" spans="1:17" x14ac:dyDescent="0.15">
      <c r="A12" t="s">
        <v>19</v>
      </c>
      <c r="B12" t="s">
        <v>64</v>
      </c>
      <c r="D12" s="32" t="s">
        <v>65</v>
      </c>
      <c r="E12" s="32" t="s">
        <v>42</v>
      </c>
      <c r="F12" s="37">
        <v>34000</v>
      </c>
      <c r="G12" s="37">
        <v>24612</v>
      </c>
      <c r="H12">
        <v>508</v>
      </c>
      <c r="J12" s="49">
        <v>0.56000000000000005</v>
      </c>
      <c r="L12" s="47">
        <v>48.45</v>
      </c>
      <c r="M12" s="39">
        <v>-9388</v>
      </c>
      <c r="N12" s="15"/>
      <c r="O12" s="42">
        <v>-34556</v>
      </c>
      <c r="Q12" s="8"/>
    </row>
    <row r="13" spans="1:17" x14ac:dyDescent="0.15">
      <c r="A13" t="s">
        <v>20</v>
      </c>
      <c r="B13" t="s">
        <v>66</v>
      </c>
      <c r="D13" s="32" t="s">
        <v>67</v>
      </c>
      <c r="E13" t="s">
        <v>27</v>
      </c>
      <c r="F13" s="37">
        <v>37000</v>
      </c>
      <c r="G13" s="37">
        <v>55600</v>
      </c>
      <c r="H13">
        <v>1030</v>
      </c>
      <c r="J13" s="49">
        <v>0.67</v>
      </c>
      <c r="L13" s="47">
        <v>53.98</v>
      </c>
      <c r="M13" s="39">
        <v>18600</v>
      </c>
      <c r="N13" s="17"/>
      <c r="O13" s="42">
        <v>-15956</v>
      </c>
      <c r="Q13" s="8"/>
    </row>
    <row r="14" spans="1:17" x14ac:dyDescent="0.15">
      <c r="A14" t="s">
        <v>21</v>
      </c>
      <c r="B14" s="32" t="s">
        <v>68</v>
      </c>
      <c r="D14" s="32" t="s">
        <v>69</v>
      </c>
      <c r="E14" t="s">
        <v>45</v>
      </c>
      <c r="F14" s="37">
        <v>31000</v>
      </c>
      <c r="G14" s="37">
        <v>22492</v>
      </c>
      <c r="H14">
        <v>397</v>
      </c>
      <c r="J14" s="49">
        <v>0.54</v>
      </c>
      <c r="L14" s="47">
        <v>56.65</v>
      </c>
      <c r="M14" s="39">
        <v>-8508</v>
      </c>
      <c r="N14" s="17"/>
      <c r="O14" s="42">
        <v>-24464</v>
      </c>
      <c r="Q14" s="8"/>
    </row>
    <row r="15" spans="1:17" x14ac:dyDescent="0.15">
      <c r="A15" t="s">
        <v>22</v>
      </c>
      <c r="B15" s="32" t="s">
        <v>70</v>
      </c>
      <c r="D15" s="32" t="s">
        <v>71</v>
      </c>
      <c r="E15" t="s">
        <v>43</v>
      </c>
      <c r="F15" s="37">
        <v>34000</v>
      </c>
      <c r="G15" s="37">
        <v>34251</v>
      </c>
      <c r="H15">
        <v>592</v>
      </c>
      <c r="J15" s="49">
        <v>0.62</v>
      </c>
      <c r="L15" s="47">
        <v>57.86</v>
      </c>
      <c r="M15" s="39">
        <v>251</v>
      </c>
      <c r="N15" s="17"/>
      <c r="O15" s="42">
        <v>-24213</v>
      </c>
      <c r="Q15" s="8"/>
    </row>
    <row r="16" spans="1:17" x14ac:dyDescent="0.15">
      <c r="A16" s="23" t="s">
        <v>23</v>
      </c>
      <c r="B16" s="32" t="s">
        <v>72</v>
      </c>
      <c r="C16" s="23"/>
      <c r="D16" s="32" t="s">
        <v>73</v>
      </c>
      <c r="E16" s="32" t="s">
        <v>44</v>
      </c>
      <c r="F16" s="37">
        <v>34000</v>
      </c>
      <c r="G16" s="37">
        <v>53757</v>
      </c>
      <c r="H16">
        <v>971</v>
      </c>
      <c r="J16" s="49">
        <v>0.76</v>
      </c>
      <c r="L16" s="47">
        <v>55.36</v>
      </c>
      <c r="M16" s="39">
        <v>19757</v>
      </c>
      <c r="N16" s="16"/>
      <c r="O16" s="42">
        <v>-4456</v>
      </c>
      <c r="Q16" s="8"/>
    </row>
    <row r="17" spans="1:19" x14ac:dyDescent="0.15">
      <c r="A17" t="s">
        <v>24</v>
      </c>
      <c r="B17" s="32" t="s">
        <v>74</v>
      </c>
      <c r="D17" s="32" t="s">
        <v>75</v>
      </c>
      <c r="E17" t="s">
        <v>76</v>
      </c>
      <c r="F17" s="37">
        <v>28000</v>
      </c>
      <c r="G17" s="37">
        <v>38602</v>
      </c>
      <c r="H17">
        <v>741</v>
      </c>
      <c r="J17" s="49">
        <v>0.63</v>
      </c>
      <c r="L17" s="47">
        <v>52.09</v>
      </c>
      <c r="M17" s="39">
        <v>10602</v>
      </c>
      <c r="N17" s="17"/>
      <c r="O17" s="42">
        <v>6146</v>
      </c>
      <c r="Q17" s="8"/>
    </row>
    <row r="18" spans="1:19" ht="14" thickBot="1" x14ac:dyDescent="0.2">
      <c r="A18" s="23" t="s">
        <v>28</v>
      </c>
      <c r="B18" s="32" t="s">
        <v>77</v>
      </c>
      <c r="D18" s="32" t="s">
        <v>113</v>
      </c>
      <c r="E18" s="23" t="s">
        <v>27</v>
      </c>
      <c r="F18" s="41">
        <v>59000</v>
      </c>
      <c r="G18" s="41">
        <v>167263</v>
      </c>
      <c r="H18" s="27">
        <v>2505</v>
      </c>
      <c r="I18" s="27"/>
      <c r="J18" s="50">
        <v>0.86</v>
      </c>
      <c r="K18" s="27"/>
      <c r="L18" s="51">
        <v>66.77</v>
      </c>
      <c r="M18" s="43">
        <v>108263</v>
      </c>
      <c r="O18" s="42">
        <v>114409</v>
      </c>
      <c r="Q18" s="8" t="s">
        <v>11</v>
      </c>
    </row>
    <row r="19" spans="1:19" ht="14" thickBot="1" x14ac:dyDescent="0.2">
      <c r="A19" s="4" t="s">
        <v>9</v>
      </c>
      <c r="B19" s="6"/>
      <c r="C19" s="6"/>
      <c r="D19" s="6"/>
      <c r="E19" s="6"/>
      <c r="F19" s="38">
        <v>475500</v>
      </c>
      <c r="G19" s="38">
        <f>SUM(G5:G18)</f>
        <v>589909</v>
      </c>
      <c r="H19" s="28">
        <v>10905</v>
      </c>
      <c r="I19" s="28"/>
      <c r="J19" s="28"/>
      <c r="K19" s="28"/>
      <c r="L19" s="28"/>
      <c r="M19" s="44">
        <v>114409</v>
      </c>
      <c r="N19" s="19"/>
      <c r="O19" s="40">
        <v>114409</v>
      </c>
      <c r="P19" s="6"/>
      <c r="Q19" s="7"/>
    </row>
    <row r="20" spans="1:19" ht="0.75" customHeight="1" x14ac:dyDescent="0.15">
      <c r="F20" s="13"/>
      <c r="G20" s="15"/>
      <c r="H20" s="14"/>
      <c r="I20" s="14"/>
      <c r="J20" s="14"/>
      <c r="K20" s="14"/>
      <c r="L20" s="14"/>
      <c r="M20" s="14"/>
      <c r="N20" s="14"/>
      <c r="O20" s="14"/>
    </row>
    <row r="21" spans="1:19" x14ac:dyDescent="0.15">
      <c r="A21" s="1" t="s">
        <v>1</v>
      </c>
      <c r="F21" s="13"/>
      <c r="G21" s="15"/>
      <c r="H21" s="14"/>
      <c r="I21" s="14"/>
      <c r="J21" s="14"/>
      <c r="K21" s="14"/>
      <c r="L21" s="14"/>
      <c r="M21" s="14"/>
      <c r="N21" s="14"/>
      <c r="O21" s="14"/>
    </row>
    <row r="22" spans="1:19" x14ac:dyDescent="0.15">
      <c r="A22" s="32" t="s">
        <v>92</v>
      </c>
      <c r="B22" s="23"/>
      <c r="C22" s="23"/>
      <c r="D22" s="33" t="s">
        <v>78</v>
      </c>
      <c r="E22" s="23" t="s">
        <v>36</v>
      </c>
      <c r="F22" s="37">
        <v>90000</v>
      </c>
      <c r="G22" s="37">
        <v>141854</v>
      </c>
      <c r="H22">
        <v>2381</v>
      </c>
      <c r="J22" s="49">
        <v>0.89</v>
      </c>
      <c r="L22" s="47">
        <v>59.58</v>
      </c>
      <c r="M22" s="42">
        <v>51854</v>
      </c>
      <c r="N22" s="16"/>
      <c r="O22" s="42">
        <v>51854</v>
      </c>
      <c r="P22" s="23"/>
      <c r="Q22" s="24"/>
    </row>
    <row r="23" spans="1:19" x14ac:dyDescent="0.15">
      <c r="A23" s="32" t="s">
        <v>93</v>
      </c>
      <c r="D23" s="33" t="s">
        <v>79</v>
      </c>
      <c r="E23" t="s">
        <v>36</v>
      </c>
      <c r="F23" s="37">
        <v>90000</v>
      </c>
      <c r="G23" s="37">
        <v>135010</v>
      </c>
      <c r="H23">
        <v>1946</v>
      </c>
      <c r="J23" s="49">
        <v>0.81</v>
      </c>
      <c r="L23" s="47">
        <v>69.38</v>
      </c>
      <c r="M23" s="42">
        <v>45010</v>
      </c>
      <c r="N23" s="17"/>
      <c r="O23" s="42">
        <v>96864</v>
      </c>
      <c r="Q23" s="24"/>
      <c r="S23" s="20"/>
    </row>
    <row r="24" spans="1:19" x14ac:dyDescent="0.15">
      <c r="A24" s="32" t="s">
        <v>96</v>
      </c>
      <c r="D24" s="32" t="s">
        <v>80</v>
      </c>
      <c r="E24" t="s">
        <v>38</v>
      </c>
      <c r="F24" s="37">
        <v>75000</v>
      </c>
      <c r="G24" s="37">
        <v>84449</v>
      </c>
      <c r="H24">
        <v>1092</v>
      </c>
      <c r="J24" s="49">
        <v>0.68</v>
      </c>
      <c r="L24" s="47">
        <v>77.33</v>
      </c>
      <c r="M24" s="42">
        <v>9449</v>
      </c>
      <c r="N24" s="17"/>
      <c r="O24" s="42">
        <v>106313</v>
      </c>
      <c r="Q24" s="24"/>
    </row>
    <row r="25" spans="1:19" ht="14" thickBot="1" x14ac:dyDescent="0.2">
      <c r="A25" s="32" t="s">
        <v>81</v>
      </c>
      <c r="D25" s="21" t="s">
        <v>82</v>
      </c>
      <c r="E25" t="s">
        <v>36</v>
      </c>
      <c r="F25" s="41">
        <v>92000</v>
      </c>
      <c r="G25" s="41">
        <v>205500</v>
      </c>
      <c r="H25">
        <v>2510</v>
      </c>
      <c r="J25" s="49">
        <v>1.02</v>
      </c>
      <c r="L25" s="47">
        <v>81.87</v>
      </c>
      <c r="M25" s="43">
        <v>113500</v>
      </c>
      <c r="N25" s="17"/>
      <c r="O25" s="42">
        <v>219813</v>
      </c>
      <c r="Q25" s="24" t="s">
        <v>11</v>
      </c>
    </row>
    <row r="26" spans="1:19" ht="14" thickBot="1" x14ac:dyDescent="0.2">
      <c r="A26" s="4" t="s">
        <v>8</v>
      </c>
      <c r="B26" s="6"/>
      <c r="C26" s="6"/>
      <c r="D26" s="6"/>
      <c r="E26" s="6"/>
      <c r="F26" s="38">
        <f>SUM(F22:F25)</f>
        <v>347000</v>
      </c>
      <c r="G26" s="38">
        <f>SUM(G22:G25)</f>
        <v>566813</v>
      </c>
      <c r="H26" s="29">
        <v>7929</v>
      </c>
      <c r="I26" s="29"/>
      <c r="J26" s="29"/>
      <c r="K26" s="29"/>
      <c r="L26" s="29"/>
      <c r="M26" s="44">
        <v>219813</v>
      </c>
      <c r="N26" s="19"/>
      <c r="O26" s="44">
        <v>219813</v>
      </c>
      <c r="P26" s="6"/>
      <c r="Q26" s="7"/>
    </row>
    <row r="27" spans="1:19" ht="0.75" customHeight="1" x14ac:dyDescent="0.15">
      <c r="F27" s="13"/>
      <c r="G27" s="15"/>
      <c r="H27" s="14"/>
      <c r="I27" s="14"/>
      <c r="J27" s="14"/>
      <c r="K27" s="14"/>
      <c r="L27" s="14"/>
      <c r="M27" s="14"/>
      <c r="N27" s="14"/>
      <c r="O27" s="14"/>
    </row>
    <row r="28" spans="1:19" x14ac:dyDescent="0.15">
      <c r="A28" s="1" t="s">
        <v>2</v>
      </c>
      <c r="F28" s="13"/>
      <c r="G28" s="15"/>
      <c r="H28" s="14"/>
      <c r="I28" s="14"/>
      <c r="J28" s="14"/>
      <c r="K28" s="14"/>
      <c r="L28" s="14"/>
      <c r="M28" s="14"/>
      <c r="N28" s="14"/>
      <c r="O28" s="14"/>
    </row>
    <row r="29" spans="1:19" x14ac:dyDescent="0.15">
      <c r="A29" t="s">
        <v>31</v>
      </c>
      <c r="D29" s="33" t="s">
        <v>87</v>
      </c>
      <c r="E29" t="s">
        <v>36</v>
      </c>
      <c r="F29" s="37">
        <v>350000</v>
      </c>
      <c r="G29" s="37">
        <v>305935</v>
      </c>
      <c r="H29">
        <v>5260</v>
      </c>
      <c r="J29" s="49">
        <v>0.7</v>
      </c>
      <c r="L29" s="47">
        <v>58.16</v>
      </c>
      <c r="M29" s="42">
        <v>-44065</v>
      </c>
      <c r="N29" s="17"/>
      <c r="O29" s="42">
        <v>-44065</v>
      </c>
      <c r="Q29" s="24"/>
    </row>
    <row r="30" spans="1:19" x14ac:dyDescent="0.15">
      <c r="A30" t="s">
        <v>83</v>
      </c>
      <c r="D30" s="2" t="s">
        <v>84</v>
      </c>
      <c r="E30" t="s">
        <v>36</v>
      </c>
      <c r="F30" s="37">
        <v>9000</v>
      </c>
      <c r="G30" s="37">
        <v>12577</v>
      </c>
      <c r="H30">
        <v>377</v>
      </c>
      <c r="J30" s="49">
        <v>0.49</v>
      </c>
      <c r="L30" s="47">
        <v>33.36</v>
      </c>
      <c r="M30" s="42">
        <v>3577</v>
      </c>
      <c r="N30" s="17"/>
      <c r="O30" s="42">
        <v>-40488</v>
      </c>
      <c r="Q30" s="24"/>
    </row>
    <row r="31" spans="1:19" x14ac:dyDescent="0.15">
      <c r="A31" t="s">
        <v>103</v>
      </c>
      <c r="D31" s="2" t="s">
        <v>99</v>
      </c>
      <c r="E31" t="s">
        <v>106</v>
      </c>
      <c r="F31" s="37">
        <v>9600</v>
      </c>
      <c r="G31" s="37">
        <v>11789</v>
      </c>
      <c r="H31">
        <v>375</v>
      </c>
      <c r="J31" s="49">
        <v>0.49</v>
      </c>
      <c r="L31" s="47">
        <v>31.44</v>
      </c>
      <c r="M31" s="42">
        <v>2189</v>
      </c>
      <c r="N31" s="17"/>
      <c r="O31" s="42">
        <v>-38299</v>
      </c>
      <c r="Q31" s="24"/>
    </row>
    <row r="32" spans="1:19" ht="14" thickBot="1" x14ac:dyDescent="0.2">
      <c r="A32" t="s">
        <v>104</v>
      </c>
      <c r="D32" s="2" t="s">
        <v>105</v>
      </c>
      <c r="E32" t="s">
        <v>36</v>
      </c>
      <c r="F32" s="41">
        <v>8000</v>
      </c>
      <c r="G32" s="41">
        <v>7716</v>
      </c>
      <c r="H32">
        <v>186</v>
      </c>
      <c r="J32" s="49">
        <v>0.39</v>
      </c>
      <c r="L32" s="47">
        <v>41.48</v>
      </c>
      <c r="M32" s="43">
        <v>-284</v>
      </c>
      <c r="N32" s="14"/>
      <c r="O32" s="43">
        <v>-38583</v>
      </c>
      <c r="Q32" s="24" t="s">
        <v>11</v>
      </c>
    </row>
    <row r="33" spans="1:19" ht="14" thickBot="1" x14ac:dyDescent="0.2">
      <c r="A33" s="4" t="s">
        <v>7</v>
      </c>
      <c r="B33" s="6"/>
      <c r="C33" s="6"/>
      <c r="D33" s="6"/>
      <c r="E33" s="6"/>
      <c r="F33" s="38">
        <f>SUM(F29:F32)</f>
        <v>376600</v>
      </c>
      <c r="G33" s="38">
        <v>338017</v>
      </c>
      <c r="H33" s="29">
        <v>6198</v>
      </c>
      <c r="I33" s="29"/>
      <c r="J33" s="29"/>
      <c r="K33" s="29"/>
      <c r="L33" s="29"/>
      <c r="M33" s="44">
        <v>-38583</v>
      </c>
      <c r="N33" s="19"/>
      <c r="O33" s="44">
        <v>-38583</v>
      </c>
      <c r="P33" s="6"/>
      <c r="Q33" s="7"/>
    </row>
    <row r="34" spans="1:19" ht="13.5" customHeight="1" x14ac:dyDescent="0.15">
      <c r="A34" s="1" t="s">
        <v>3</v>
      </c>
      <c r="F34" s="13"/>
      <c r="G34" s="15"/>
      <c r="H34" s="14"/>
      <c r="I34" s="14"/>
      <c r="J34" s="14"/>
      <c r="K34" s="14"/>
      <c r="L34" s="14"/>
      <c r="M34" s="14"/>
      <c r="N34" s="14"/>
      <c r="O34" s="14"/>
    </row>
    <row r="35" spans="1:19" ht="13.5" customHeight="1" x14ac:dyDescent="0.15">
      <c r="A35" s="32" t="s">
        <v>85</v>
      </c>
      <c r="B35" s="23"/>
      <c r="C35" s="23"/>
      <c r="D35" s="32" t="s">
        <v>86</v>
      </c>
      <c r="E35" s="32" t="s">
        <v>36</v>
      </c>
      <c r="F35" s="37">
        <v>222000</v>
      </c>
      <c r="G35" s="37">
        <v>248315</v>
      </c>
      <c r="H35">
        <v>3069</v>
      </c>
      <c r="J35" s="49">
        <v>0.98</v>
      </c>
      <c r="L35" s="47">
        <v>80.91</v>
      </c>
      <c r="M35" s="42">
        <v>26315</v>
      </c>
      <c r="N35" s="17"/>
      <c r="O35" s="42">
        <v>26315</v>
      </c>
      <c r="Q35" s="24"/>
    </row>
    <row r="36" spans="1:19" ht="13.5" customHeight="1" x14ac:dyDescent="0.15">
      <c r="A36" s="32" t="s">
        <v>30</v>
      </c>
      <c r="B36" s="23"/>
      <c r="C36" s="23"/>
      <c r="D36" s="32" t="s">
        <v>100</v>
      </c>
      <c r="E36" s="32" t="s">
        <v>101</v>
      </c>
      <c r="F36" s="37">
        <v>185000</v>
      </c>
      <c r="G36" s="37">
        <v>173570</v>
      </c>
      <c r="H36">
        <v>3071</v>
      </c>
      <c r="J36" s="49">
        <v>0.77</v>
      </c>
      <c r="L36" s="47">
        <v>56.52</v>
      </c>
      <c r="M36" s="42">
        <v>-11430</v>
      </c>
      <c r="N36" s="17"/>
      <c r="O36" s="42">
        <v>14885</v>
      </c>
      <c r="Q36" s="24"/>
    </row>
    <row r="37" spans="1:19" ht="13.5" customHeight="1" x14ac:dyDescent="0.15">
      <c r="A37" s="32" t="s">
        <v>39</v>
      </c>
      <c r="B37" s="23"/>
      <c r="C37" s="23"/>
      <c r="D37" s="34" t="s">
        <v>40</v>
      </c>
      <c r="E37" s="32" t="s">
        <v>36</v>
      </c>
      <c r="F37" s="37">
        <v>200000</v>
      </c>
      <c r="G37" s="37">
        <v>275480</v>
      </c>
      <c r="H37">
        <v>3664</v>
      </c>
      <c r="J37" s="49">
        <v>0.96</v>
      </c>
      <c r="L37" s="47">
        <v>75.19</v>
      </c>
      <c r="M37" s="42">
        <v>75480</v>
      </c>
      <c r="N37" s="35"/>
      <c r="O37" s="42">
        <v>90365</v>
      </c>
      <c r="P37" s="36"/>
      <c r="Q37" s="24"/>
    </row>
    <row r="38" spans="1:19" ht="12.75" customHeight="1" x14ac:dyDescent="0.15">
      <c r="A38" s="32" t="s">
        <v>37</v>
      </c>
      <c r="B38" s="23"/>
      <c r="C38" s="23"/>
      <c r="D38" s="32" t="s">
        <v>88</v>
      </c>
      <c r="E38" s="32" t="s">
        <v>36</v>
      </c>
      <c r="F38" s="37">
        <v>340000</v>
      </c>
      <c r="G38" s="37">
        <v>365039</v>
      </c>
      <c r="H38">
        <v>5069</v>
      </c>
      <c r="J38" s="49">
        <v>0.96</v>
      </c>
      <c r="L38" s="47">
        <v>72.010000000000005</v>
      </c>
      <c r="M38" s="42">
        <v>25039</v>
      </c>
      <c r="N38" s="17"/>
      <c r="O38" s="42">
        <v>115404</v>
      </c>
      <c r="Q38" s="24"/>
    </row>
    <row r="39" spans="1:19" ht="12.75" customHeight="1" x14ac:dyDescent="0.15">
      <c r="A39" s="32" t="s">
        <v>41</v>
      </c>
      <c r="B39" s="23"/>
      <c r="C39" s="23"/>
      <c r="D39" s="32" t="s">
        <v>89</v>
      </c>
      <c r="E39" s="32" t="s">
        <v>36</v>
      </c>
      <c r="F39" s="37">
        <v>340000</v>
      </c>
      <c r="G39" s="37">
        <v>365934</v>
      </c>
      <c r="H39">
        <v>4703</v>
      </c>
      <c r="J39" s="49">
        <v>0.98</v>
      </c>
      <c r="L39" s="47">
        <v>77.81</v>
      </c>
      <c r="M39" s="42">
        <v>25934</v>
      </c>
      <c r="N39" s="17"/>
      <c r="O39" s="42">
        <v>141338</v>
      </c>
      <c r="Q39" s="24"/>
    </row>
    <row r="40" spans="1:19" ht="12.75" customHeight="1" x14ac:dyDescent="0.15">
      <c r="A40" s="32" t="s">
        <v>97</v>
      </c>
      <c r="B40" s="23"/>
      <c r="C40" s="23"/>
      <c r="D40" s="32" t="s">
        <v>108</v>
      </c>
      <c r="E40" s="32" t="s">
        <v>98</v>
      </c>
      <c r="F40" s="37">
        <v>27000</v>
      </c>
      <c r="G40" s="37">
        <v>13848</v>
      </c>
      <c r="H40">
        <v>394</v>
      </c>
      <c r="J40" s="49">
        <v>0.27</v>
      </c>
      <c r="L40" s="47">
        <v>35.15</v>
      </c>
      <c r="M40" s="42">
        <v>-13152</v>
      </c>
      <c r="N40" s="17"/>
      <c r="O40" s="42">
        <v>128186</v>
      </c>
      <c r="Q40" s="24"/>
    </row>
    <row r="41" spans="1:19" ht="12.75" customHeight="1" x14ac:dyDescent="0.15">
      <c r="A41" s="32" t="s">
        <v>90</v>
      </c>
      <c r="B41" s="23"/>
      <c r="C41" s="23"/>
      <c r="D41" s="32" t="s">
        <v>91</v>
      </c>
      <c r="E41" s="32" t="s">
        <v>36</v>
      </c>
      <c r="F41" s="37">
        <v>270000</v>
      </c>
      <c r="G41" s="37">
        <v>293483</v>
      </c>
      <c r="H41">
        <v>4486</v>
      </c>
      <c r="J41" s="49">
        <v>0.95</v>
      </c>
      <c r="L41" s="47">
        <v>65.42</v>
      </c>
      <c r="M41" s="42">
        <v>23483</v>
      </c>
      <c r="N41" s="17"/>
      <c r="O41" s="42">
        <v>151669</v>
      </c>
      <c r="Q41" s="24"/>
    </row>
    <row r="42" spans="1:19" ht="12.75" customHeight="1" thickBot="1" x14ac:dyDescent="0.2">
      <c r="A42" s="32" t="s">
        <v>94</v>
      </c>
      <c r="B42" s="23"/>
      <c r="C42" s="23"/>
      <c r="D42" s="32" t="s">
        <v>95</v>
      </c>
      <c r="E42" s="32" t="s">
        <v>102</v>
      </c>
      <c r="F42" s="41">
        <v>175000</v>
      </c>
      <c r="G42" s="41">
        <v>152783</v>
      </c>
      <c r="H42">
        <v>2294</v>
      </c>
      <c r="I42" s="27"/>
      <c r="J42" s="50">
        <v>0.73</v>
      </c>
      <c r="K42" s="27"/>
      <c r="L42" s="51">
        <v>66.599999999999994</v>
      </c>
      <c r="M42" s="43">
        <v>-22217</v>
      </c>
      <c r="N42" s="17"/>
      <c r="O42" s="43">
        <v>129452</v>
      </c>
      <c r="Q42" s="24" t="s">
        <v>11</v>
      </c>
    </row>
    <row r="43" spans="1:19" ht="12.75" customHeight="1" thickBot="1" x14ac:dyDescent="0.2">
      <c r="A43" s="4" t="s">
        <v>10</v>
      </c>
      <c r="B43" s="5"/>
      <c r="C43" s="5"/>
      <c r="D43" s="5"/>
      <c r="E43" s="5"/>
      <c r="F43" s="38">
        <v>1759000</v>
      </c>
      <c r="G43" s="38">
        <v>1888452</v>
      </c>
      <c r="H43" s="29">
        <v>26750</v>
      </c>
      <c r="I43" s="28"/>
      <c r="J43" s="28"/>
      <c r="K43" s="28"/>
      <c r="L43" s="28"/>
      <c r="M43" s="46">
        <v>129452</v>
      </c>
      <c r="N43" s="18"/>
      <c r="O43" s="44">
        <v>129452</v>
      </c>
      <c r="P43" s="6"/>
      <c r="Q43" s="7"/>
    </row>
    <row r="44" spans="1:19" ht="12.75" customHeight="1" thickBot="1" x14ac:dyDescent="0.2">
      <c r="A44" s="4" t="s">
        <v>6</v>
      </c>
      <c r="B44" s="5"/>
      <c r="C44" s="5"/>
      <c r="D44" s="5"/>
      <c r="E44" s="5"/>
      <c r="F44" s="38">
        <v>2958100</v>
      </c>
      <c r="G44" s="45">
        <v>3383191</v>
      </c>
      <c r="H44" s="28">
        <v>51782</v>
      </c>
      <c r="I44" s="28"/>
      <c r="J44" s="28"/>
      <c r="K44" s="28"/>
      <c r="L44" s="28"/>
      <c r="M44" s="40">
        <v>425091</v>
      </c>
      <c r="N44" s="18"/>
      <c r="O44" s="44">
        <v>425091</v>
      </c>
      <c r="P44" s="26">
        <v>-8397</v>
      </c>
      <c r="Q44" s="30"/>
    </row>
    <row r="45" spans="1:19" ht="12.75" customHeight="1" x14ac:dyDescent="0.15">
      <c r="A45" s="12"/>
      <c r="S45" s="8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2022-06-20T16:34:15Z</cp:lastPrinted>
  <dcterms:created xsi:type="dcterms:W3CDTF">2005-10-20T22:05:14Z</dcterms:created>
  <dcterms:modified xsi:type="dcterms:W3CDTF">2025-08-21T21:16:53Z</dcterms:modified>
</cp:coreProperties>
</file>