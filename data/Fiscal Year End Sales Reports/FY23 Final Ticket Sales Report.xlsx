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"/>
    </mc:Choice>
  </mc:AlternateContent>
  <xr:revisionPtr revIDLastSave="0" documentId="8_{055B782F-2B57-6243-95E4-24D185581A25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<sst xmlns="http://schemas.openxmlformats.org/spreadsheetml/2006/main" count="144" uniqueCount="123">
  <si>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</si>
  <si>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</si>
  <si>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</si>
  <si>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</si>
  <si>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</si>
  <si>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</si>
  <si>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</si>
  <si>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</si>
  <si>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</si>
  <si>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</si>
  <si>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</si>
  <si>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</si>
  <si>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</si>
  <si>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</si>
  <si>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</si>
  <si>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</si>
  <si>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</si>
  <si>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</si>
  <si>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</si>
  <si>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</si>
  <si>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</si>
  <si>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</si>
  <si>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</si>
  <si>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</si>
  <si>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</si>
  <si>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</si>
  <si>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</si>
  <si>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</si>
  <si>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</si>
  <si>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</si>
  <si>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</si>
  <si>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</si>
  <si>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</si>
  <si>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</si>
  <si>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</si>
  <si>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</si>
  <si>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</si>
  <si>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</si>
  <si>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</si>
  <si>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</si>
  <si>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</si>
  <si>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</si>
  <si>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</si>
  <si>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</si>
  <si>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</si>
  <si>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</si>
  <si>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</si>
  <si>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</si>
  <si>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</si>
  <si>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</si>
  <si>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</si>
  <si>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</si>
  <si>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</si>
  <si>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</si>
  <si>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</si>
  <si>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</si>
  <si>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</si>
  <si>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</si>
  <si>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</si>
  <si>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</si>
  <si>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</si>
  <si>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</si>
  <si>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</si>
  <si>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</si>
  <si>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</si>
  <si>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</si>
  <si>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</si>
  <si>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</si>
  <si>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</si>
  <si>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</si>
  <si>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</si>
  <si>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</si>
  <si>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</si>
  <si>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</si>
  <si>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</si>
  <si>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</si>
  <si>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</si>
  <si>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</si>
  <si>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</si>
  <si>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</si>
  <si>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</si>
  <si>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</si>
  <si>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</si>
  <si>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</si>
  <si>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</si>
  <si>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</si>
  <si>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</si>
  <si>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</si>
  <si>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</si>
  <si>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</si>
  <si>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</si>
  <si>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</si>
  <si>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</si>
  <si>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</si>
  <si>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</si>
  <si>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</si>
  <si>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</si>
  <si>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</si>
  <si>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</si>
  <si>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</si>
  <si>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</si>
  <si>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</si>
  <si>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</si>
  <si>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</si>
  <si>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</si>
  <si>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</si>
  <si>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</si>
  <si>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</si>
  <si>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</si>
  <si>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</si>
  <si>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</si>
  <si>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</si>
  <si>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</si>
  <si>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</si>
  <si>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</si>
  <si>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</si>
  <si>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</si>
  <si>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</si>
  <si>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</si>
  <si>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>Mar. 13-15</t>
  </si>
  <si>
    <t>Wagner's Dutchman/Sibelius</t>
  </si>
  <si>
    <t>Revised: 6/26/23</t>
  </si>
  <si>
    <t xml:space="preserve">Spigelman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</si>
</sst>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J5" sqref="J5:J46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6" width="12.6640625" customWidth="1"/>
    <col min="7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0"/>
      <c r="B1" s="11"/>
      <c r="C1" s="11"/>
      <c r="E1" s="22" t="s">
        <v>43</v>
      </c>
      <c r="F1" s="22"/>
      <c r="G1" s="22"/>
      <c r="O1" s="28" t="s">
        <v>121</v>
      </c>
    </row>
    <row r="2" spans="1:17" x14ac:dyDescent="0.15">
      <c r="A2" s="11"/>
      <c r="E2" s="21" t="s">
        <v>29</v>
      </c>
    </row>
    <row r="3" spans="1:17" x14ac:dyDescent="0.15">
      <c r="E3" s="29"/>
      <c r="J3" s="44" t="s">
        <v>42</v>
      </c>
      <c r="L3" s="44" t="s">
        <v>40</v>
      </c>
      <c r="O3" s="11" t="s">
        <v>33</v>
      </c>
    </row>
    <row r="4" spans="1:17" ht="12.75" customHeight="1" x14ac:dyDescent="0.15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15">
      <c r="A5" t="s">
        <v>12</v>
      </c>
      <c r="B5" t="s">
        <v>56</v>
      </c>
      <c r="D5" t="s">
        <v>57</v>
      </c>
      <c r="E5" t="s">
        <v>27</v>
      </c>
      <c r="F5" s="34">
        <v>50000</v>
      </c>
      <c r="G5" s="36">
        <v>35818</v>
      </c>
      <c r="H5">
        <v>763</v>
      </c>
      <c r="J5" s="45">
        <v>0.61</v>
      </c>
      <c r="L5" s="43">
        <v>46.94</v>
      </c>
      <c r="M5" s="36">
        <v>-14182</v>
      </c>
      <c r="N5" s="16"/>
      <c r="O5" s="39">
        <v>-14182</v>
      </c>
      <c r="Q5" s="7"/>
    </row>
    <row r="6" spans="1:17" x14ac:dyDescent="0.15">
      <c r="A6" t="s">
        <v>13</v>
      </c>
      <c r="B6" t="s">
        <v>58</v>
      </c>
      <c r="D6" t="s">
        <v>59</v>
      </c>
      <c r="E6" t="s">
        <v>27</v>
      </c>
      <c r="F6" s="34">
        <v>43490</v>
      </c>
      <c r="G6" s="36">
        <v>37615</v>
      </c>
      <c r="H6">
        <v>823</v>
      </c>
      <c r="J6" s="45">
        <v>0.56999999999999995</v>
      </c>
      <c r="L6" s="43">
        <v>45.7</v>
      </c>
      <c r="M6" s="36">
        <v>-5875</v>
      </c>
      <c r="N6" s="16"/>
      <c r="O6" s="39">
        <v>-20057</v>
      </c>
      <c r="Q6" s="7"/>
    </row>
    <row r="7" spans="1:17" x14ac:dyDescent="0.15">
      <c r="A7" t="s">
        <v>14</v>
      </c>
      <c r="B7" t="s">
        <v>60</v>
      </c>
      <c r="D7" t="s">
        <v>61</v>
      </c>
      <c r="E7" t="s">
        <v>62</v>
      </c>
      <c r="F7" s="34">
        <v>30000</v>
      </c>
      <c r="G7" s="36">
        <v>40950</v>
      </c>
      <c r="H7">
        <v>863</v>
      </c>
      <c r="J7" s="45">
        <v>0.72</v>
      </c>
      <c r="L7" s="43">
        <v>47.45</v>
      </c>
      <c r="M7" s="36">
        <v>10950</v>
      </c>
      <c r="N7" s="16"/>
      <c r="O7" s="39">
        <v>-9107</v>
      </c>
      <c r="Q7" s="7"/>
    </row>
    <row r="8" spans="1:17" x14ac:dyDescent="0.15">
      <c r="A8" t="s">
        <v>15</v>
      </c>
      <c r="B8" t="s">
        <v>63</v>
      </c>
      <c r="D8" s="29" t="s">
        <v>64</v>
      </c>
      <c r="E8" t="s">
        <v>65</v>
      </c>
      <c r="F8" s="34">
        <v>50000</v>
      </c>
      <c r="G8" s="36">
        <v>52200</v>
      </c>
      <c r="H8">
        <v>1002</v>
      </c>
      <c r="J8" s="45">
        <v>0.62</v>
      </c>
      <c r="L8" s="43">
        <v>52.11</v>
      </c>
      <c r="M8" s="36">
        <v>2200</v>
      </c>
      <c r="N8" s="16"/>
      <c r="O8" s="39">
        <v>-6907</v>
      </c>
      <c r="Q8" s="7"/>
    </row>
    <row r="9" spans="1:17" x14ac:dyDescent="0.15">
      <c r="A9" t="s">
        <v>16</v>
      </c>
      <c r="B9" t="s">
        <v>111</v>
      </c>
      <c r="D9" t="s">
        <v>66</v>
      </c>
      <c r="E9" t="s">
        <v>67</v>
      </c>
      <c r="F9" s="34">
        <v>40000</v>
      </c>
      <c r="G9" s="36">
        <v>53837</v>
      </c>
      <c r="H9">
        <v>1189</v>
      </c>
      <c r="J9" s="45">
        <v>0.76</v>
      </c>
      <c r="L9" s="43">
        <v>45.28</v>
      </c>
      <c r="M9" s="36">
        <v>13837</v>
      </c>
      <c r="N9" s="16"/>
      <c r="O9" s="39">
        <v>6930</v>
      </c>
      <c r="Q9" s="7"/>
    </row>
    <row r="10" spans="1:17" x14ac:dyDescent="0.15">
      <c r="A10" t="s">
        <v>17</v>
      </c>
      <c r="B10" t="s">
        <v>120</v>
      </c>
      <c r="D10" t="s">
        <v>68</v>
      </c>
      <c r="E10" t="s">
        <v>69</v>
      </c>
      <c r="F10" s="34">
        <v>30000</v>
      </c>
      <c r="G10" s="36">
        <v>31601</v>
      </c>
      <c r="H10">
        <v>633</v>
      </c>
      <c r="J10" s="45">
        <v>0.53</v>
      </c>
      <c r="L10" s="43">
        <v>49.92</v>
      </c>
      <c r="M10" s="36">
        <v>1601</v>
      </c>
      <c r="N10" s="16"/>
      <c r="O10" s="39">
        <v>8531</v>
      </c>
      <c r="Q10" s="7"/>
    </row>
    <row r="11" spans="1:17" x14ac:dyDescent="0.15">
      <c r="A11" t="s">
        <v>18</v>
      </c>
      <c r="B11" t="s">
        <v>70</v>
      </c>
      <c r="D11" t="s">
        <v>71</v>
      </c>
      <c r="E11" s="29" t="s">
        <v>72</v>
      </c>
      <c r="F11" s="34">
        <v>30000</v>
      </c>
      <c r="G11" s="36">
        <v>27031</v>
      </c>
      <c r="H11">
        <v>533</v>
      </c>
      <c r="J11" s="45">
        <v>0.59</v>
      </c>
      <c r="L11" s="43">
        <v>50.71</v>
      </c>
      <c r="M11" s="36">
        <v>-2969</v>
      </c>
      <c r="N11" s="16"/>
      <c r="O11" s="39">
        <v>5562</v>
      </c>
      <c r="Q11" s="7"/>
    </row>
    <row r="12" spans="1:17" x14ac:dyDescent="0.15">
      <c r="A12" t="s">
        <v>19</v>
      </c>
      <c r="B12" t="s">
        <v>73</v>
      </c>
      <c r="D12" s="29" t="s">
        <v>74</v>
      </c>
      <c r="E12" s="29" t="s">
        <v>77</v>
      </c>
      <c r="F12" s="34">
        <v>30000</v>
      </c>
      <c r="G12" s="36">
        <v>30408</v>
      </c>
      <c r="H12">
        <v>553</v>
      </c>
      <c r="J12" s="45">
        <v>0.55000000000000004</v>
      </c>
      <c r="L12" s="43">
        <v>54.99</v>
      </c>
      <c r="M12" s="36">
        <v>408</v>
      </c>
      <c r="N12" s="14"/>
      <c r="O12" s="39">
        <v>5970</v>
      </c>
      <c r="Q12" s="7"/>
    </row>
    <row r="13" spans="1:17" x14ac:dyDescent="0.15">
      <c r="A13" t="s">
        <v>20</v>
      </c>
      <c r="B13" t="s">
        <v>75</v>
      </c>
      <c r="D13" s="29" t="s">
        <v>76</v>
      </c>
      <c r="E13" t="s">
        <v>78</v>
      </c>
      <c r="F13" s="34">
        <v>50000</v>
      </c>
      <c r="G13" s="36">
        <v>114714</v>
      </c>
      <c r="H13">
        <v>2469</v>
      </c>
      <c r="J13" s="45">
        <v>0.93</v>
      </c>
      <c r="L13" s="43">
        <v>46.45</v>
      </c>
      <c r="M13" s="36">
        <v>64714</v>
      </c>
      <c r="N13" s="16"/>
      <c r="O13" s="39">
        <v>70684</v>
      </c>
      <c r="Q13" s="7"/>
    </row>
    <row r="14" spans="1:17" x14ac:dyDescent="0.15">
      <c r="A14" t="s">
        <v>21</v>
      </c>
      <c r="B14" s="29" t="s">
        <v>116</v>
      </c>
      <c r="D14" s="29" t="s">
        <v>79</v>
      </c>
      <c r="E14" t="s">
        <v>80</v>
      </c>
      <c r="F14" s="34">
        <v>50000</v>
      </c>
      <c r="G14" s="36">
        <v>73569</v>
      </c>
      <c r="H14">
        <v>1449</v>
      </c>
      <c r="J14" s="45">
        <v>0.8</v>
      </c>
      <c r="L14" s="43">
        <v>50.77</v>
      </c>
      <c r="M14" s="36">
        <v>23569</v>
      </c>
      <c r="N14" s="16"/>
      <c r="O14" s="39">
        <v>94253</v>
      </c>
      <c r="Q14" s="7"/>
    </row>
    <row r="15" spans="1:17" x14ac:dyDescent="0.15">
      <c r="A15" t="s">
        <v>22</v>
      </c>
      <c r="B15" s="29" t="s">
        <v>82</v>
      </c>
      <c r="D15" s="29" t="s">
        <v>83</v>
      </c>
      <c r="E15" t="s">
        <v>27</v>
      </c>
      <c r="F15" s="34">
        <v>30000</v>
      </c>
      <c r="G15" s="36">
        <v>30116</v>
      </c>
      <c r="H15">
        <v>603</v>
      </c>
      <c r="J15" s="45">
        <v>0.6</v>
      </c>
      <c r="L15" s="43">
        <v>49.94</v>
      </c>
      <c r="M15" s="36">
        <v>116</v>
      </c>
      <c r="N15" s="16"/>
      <c r="O15" s="39">
        <v>94369</v>
      </c>
      <c r="Q15" s="7"/>
    </row>
    <row r="16" spans="1:17" x14ac:dyDescent="0.15">
      <c r="A16" s="21" t="s">
        <v>23</v>
      </c>
      <c r="B16" s="29" t="s">
        <v>84</v>
      </c>
      <c r="C16" s="21"/>
      <c r="D16" s="29" t="s">
        <v>85</v>
      </c>
      <c r="E16" s="29" t="s">
        <v>27</v>
      </c>
      <c r="F16" s="34">
        <v>30000</v>
      </c>
      <c r="G16" s="36">
        <v>22161</v>
      </c>
      <c r="H16">
        <v>460</v>
      </c>
      <c r="J16" s="45">
        <v>0.57999999999999996</v>
      </c>
      <c r="L16" s="43">
        <v>48.18</v>
      </c>
      <c r="M16" s="36">
        <v>-7839</v>
      </c>
      <c r="N16" s="15"/>
      <c r="O16" s="39">
        <v>86530</v>
      </c>
      <c r="Q16" s="7"/>
    </row>
    <row r="17" spans="1:17" x14ac:dyDescent="0.15">
      <c r="A17" t="s">
        <v>24</v>
      </c>
      <c r="B17" s="29" t="s">
        <v>117</v>
      </c>
      <c r="D17" s="29" t="s">
        <v>86</v>
      </c>
      <c r="E17" t="s">
        <v>27</v>
      </c>
      <c r="F17" s="34">
        <v>45000</v>
      </c>
      <c r="G17" s="36">
        <v>82114</v>
      </c>
      <c r="H17">
        <v>1493</v>
      </c>
      <c r="J17" s="45">
        <v>0.87</v>
      </c>
      <c r="L17" s="43">
        <v>55.11</v>
      </c>
      <c r="M17" s="36">
        <v>37114</v>
      </c>
      <c r="N17" s="16"/>
      <c r="O17" s="39">
        <v>123644</v>
      </c>
      <c r="Q17" s="7"/>
    </row>
    <row r="18" spans="1:17" ht="14" thickBot="1" x14ac:dyDescent="0.2">
      <c r="A18" s="21" t="s">
        <v>28</v>
      </c>
      <c r="B18" s="29" t="s">
        <v>88</v>
      </c>
      <c r="D18" s="29" t="s">
        <v>87</v>
      </c>
      <c r="E18" s="29" t="s">
        <v>81</v>
      </c>
      <c r="F18" s="38">
        <v>45000</v>
      </c>
      <c r="G18" s="49">
        <v>103298</v>
      </c>
      <c r="H18" s="24">
        <v>1876</v>
      </c>
      <c r="I18" s="24"/>
      <c r="J18" s="46">
        <v>0.9</v>
      </c>
      <c r="K18" s="24"/>
      <c r="L18" s="47">
        <v>55.06</v>
      </c>
      <c r="M18" s="40">
        <v>58298</v>
      </c>
      <c r="O18" s="39">
        <v>181942</v>
      </c>
      <c r="Q18" s="7" t="s">
        <v>11</v>
      </c>
    </row>
    <row r="19" spans="1:17" ht="14" thickBot="1" x14ac:dyDescent="0.2">
      <c r="A19" s="3" t="s">
        <v>9</v>
      </c>
      <c r="B19" s="5"/>
      <c r="C19" s="5"/>
      <c r="D19" s="5"/>
      <c r="E19" s="5"/>
      <c r="F19" s="35">
        <v>553490</v>
      </c>
      <c r="G19" s="37">
        <f>SUM(G5:G18)</f>
        <v>735432</v>
      </c>
      <c r="H19" s="25">
        <v>14709</v>
      </c>
      <c r="I19" s="25"/>
      <c r="J19" s="25"/>
      <c r="K19" s="25"/>
      <c r="L19" s="25"/>
      <c r="M19" s="41">
        <v>181942</v>
      </c>
      <c r="N19" s="18"/>
      <c r="O19" s="37">
        <v>181942</v>
      </c>
      <c r="P19" s="5"/>
      <c r="Q19" s="6"/>
    </row>
    <row r="20" spans="1:17" ht="0.75" customHeight="1" x14ac:dyDescent="0.15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15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15">
      <c r="A22" s="29" t="s">
        <v>89</v>
      </c>
      <c r="B22" s="21"/>
      <c r="C22" s="21"/>
      <c r="D22" s="30" t="s">
        <v>90</v>
      </c>
      <c r="E22" s="29" t="s">
        <v>37</v>
      </c>
      <c r="F22" s="34">
        <v>110000</v>
      </c>
      <c r="G22" s="36">
        <v>47136</v>
      </c>
      <c r="H22">
        <v>704</v>
      </c>
      <c r="J22" s="45">
        <v>0.52</v>
      </c>
      <c r="L22" s="43">
        <v>66.95</v>
      </c>
      <c r="M22" s="39">
        <v>-62864</v>
      </c>
      <c r="N22" s="15"/>
      <c r="O22" s="39">
        <v>-62864</v>
      </c>
      <c r="P22" s="21"/>
      <c r="Q22" s="7"/>
    </row>
    <row r="23" spans="1:17" x14ac:dyDescent="0.15">
      <c r="A23" s="29" t="s">
        <v>91</v>
      </c>
      <c r="D23" s="29" t="s">
        <v>92</v>
      </c>
      <c r="E23" t="s">
        <v>93</v>
      </c>
      <c r="F23" s="34">
        <v>100000</v>
      </c>
      <c r="G23" s="36">
        <v>87516</v>
      </c>
      <c r="H23">
        <v>1391</v>
      </c>
      <c r="J23" s="45">
        <v>0.65</v>
      </c>
      <c r="L23" s="43">
        <v>62.92</v>
      </c>
      <c r="M23" s="39">
        <v>-12484</v>
      </c>
      <c r="N23" s="16"/>
      <c r="O23" s="39">
        <v>-75348</v>
      </c>
      <c r="Q23" s="7"/>
    </row>
    <row r="24" spans="1:17" x14ac:dyDescent="0.15">
      <c r="A24" s="29" t="s">
        <v>94</v>
      </c>
      <c r="D24" s="29" t="s">
        <v>95</v>
      </c>
      <c r="E24" t="s">
        <v>38</v>
      </c>
      <c r="F24" s="34">
        <v>100000</v>
      </c>
      <c r="G24" s="36">
        <v>87756</v>
      </c>
      <c r="H24">
        <v>1213</v>
      </c>
      <c r="J24" s="45">
        <v>0.62</v>
      </c>
      <c r="L24" s="43">
        <v>72.349999999999994</v>
      </c>
      <c r="M24" s="39">
        <v>-12244</v>
      </c>
      <c r="N24" s="16"/>
      <c r="O24" s="39">
        <v>-87592</v>
      </c>
      <c r="Q24" s="7"/>
    </row>
    <row r="25" spans="1:17" x14ac:dyDescent="0.15">
      <c r="A25" s="29" t="s">
        <v>97</v>
      </c>
      <c r="D25" s="30" t="s">
        <v>119</v>
      </c>
      <c r="E25" t="s">
        <v>38</v>
      </c>
      <c r="F25" s="34">
        <v>250000</v>
      </c>
      <c r="G25" s="36">
        <v>293533</v>
      </c>
      <c r="H25">
        <v>3975</v>
      </c>
      <c r="J25" s="45">
        <v>0.86</v>
      </c>
      <c r="L25" s="43">
        <v>73.83</v>
      </c>
      <c r="M25" s="39">
        <v>43533</v>
      </c>
      <c r="N25" s="16"/>
      <c r="O25" s="39">
        <v>-44059</v>
      </c>
      <c r="Q25" s="7"/>
    </row>
    <row r="26" spans="1:17" ht="14" thickBot="1" x14ac:dyDescent="0.2">
      <c r="A26" s="29" t="s">
        <v>118</v>
      </c>
      <c r="D26" s="19" t="s">
        <v>96</v>
      </c>
      <c r="E26" t="s">
        <v>37</v>
      </c>
      <c r="F26" s="38">
        <v>100000</v>
      </c>
      <c r="G26" s="49">
        <v>55037</v>
      </c>
      <c r="H26">
        <v>651</v>
      </c>
      <c r="J26" s="45">
        <v>0.48</v>
      </c>
      <c r="L26" s="43">
        <v>84.54</v>
      </c>
      <c r="M26" s="40">
        <v>-44963</v>
      </c>
      <c r="N26" s="16"/>
      <c r="O26" s="39">
        <v>-88842</v>
      </c>
      <c r="Q26" s="7" t="s">
        <v>11</v>
      </c>
    </row>
    <row r="27" spans="1:17" ht="14" thickBot="1" x14ac:dyDescent="0.2">
      <c r="A27" s="3" t="s">
        <v>8</v>
      </c>
      <c r="B27" s="5"/>
      <c r="C27" s="5"/>
      <c r="D27" s="5"/>
      <c r="E27" s="5"/>
      <c r="F27" s="35">
        <f>SUM(F22:F26)</f>
        <v>660000</v>
      </c>
      <c r="G27" s="37">
        <f>SUM(G22:G26)</f>
        <v>570978</v>
      </c>
      <c r="H27" s="26">
        <v>7934</v>
      </c>
      <c r="I27" s="26"/>
      <c r="J27" s="26"/>
      <c r="K27" s="26"/>
      <c r="L27" s="26"/>
      <c r="M27" s="41">
        <v>-89022</v>
      </c>
      <c r="N27" s="18"/>
      <c r="O27" s="41">
        <v>-89022</v>
      </c>
      <c r="P27" s="5"/>
      <c r="Q27" s="6"/>
    </row>
    <row r="28" spans="1:17" ht="0.75" customHeight="1" x14ac:dyDescent="0.15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15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15">
      <c r="A30" s="29" t="s">
        <v>98</v>
      </c>
      <c r="B30" s="29"/>
      <c r="C30" s="29"/>
      <c r="D30" s="29" t="s">
        <v>99</v>
      </c>
      <c r="E30" s="29" t="s">
        <v>38</v>
      </c>
      <c r="F30" s="34">
        <v>9000</v>
      </c>
      <c r="G30" s="51">
        <v>7954</v>
      </c>
      <c r="H30">
        <v>213</v>
      </c>
      <c r="I30" s="16"/>
      <c r="J30" s="52">
        <v>0.5</v>
      </c>
      <c r="K30" s="16"/>
      <c r="L30" s="54">
        <v>37.340000000000003</v>
      </c>
      <c r="M30" s="53">
        <v>-1046</v>
      </c>
      <c r="N30" s="16"/>
      <c r="O30" s="53">
        <v>-1046</v>
      </c>
      <c r="Q30" s="7"/>
    </row>
    <row r="31" spans="1:17" x14ac:dyDescent="0.15">
      <c r="A31" t="s">
        <v>31</v>
      </c>
      <c r="D31" s="30" t="s">
        <v>108</v>
      </c>
      <c r="E31" s="29" t="s">
        <v>38</v>
      </c>
      <c r="F31" s="34">
        <v>319000</v>
      </c>
      <c r="G31" s="36">
        <v>424057</v>
      </c>
      <c r="H31">
        <v>6999</v>
      </c>
      <c r="J31" s="45">
        <v>0.9</v>
      </c>
      <c r="L31" s="43">
        <v>60.59</v>
      </c>
      <c r="M31" s="39">
        <v>105057</v>
      </c>
      <c r="N31" s="16"/>
      <c r="O31" s="39">
        <v>104011</v>
      </c>
      <c r="Q31" s="7"/>
    </row>
    <row r="32" spans="1:17" x14ac:dyDescent="0.15">
      <c r="A32" s="29" t="s">
        <v>100</v>
      </c>
      <c r="D32" s="48" t="s">
        <v>101</v>
      </c>
      <c r="E32" s="29" t="s">
        <v>38</v>
      </c>
      <c r="F32" s="34">
        <v>9000</v>
      </c>
      <c r="G32" s="36">
        <v>10881</v>
      </c>
      <c r="H32">
        <v>415</v>
      </c>
      <c r="J32" s="45">
        <v>0.93</v>
      </c>
      <c r="L32" s="43">
        <v>26.22</v>
      </c>
      <c r="M32" s="39">
        <v>1881</v>
      </c>
      <c r="N32" s="16"/>
      <c r="O32" s="39">
        <v>105892</v>
      </c>
      <c r="Q32" s="7"/>
    </row>
    <row r="33" spans="1:17" ht="14" thickBot="1" x14ac:dyDescent="0.2">
      <c r="A33" s="29" t="s">
        <v>102</v>
      </c>
      <c r="D33" s="48" t="s">
        <v>103</v>
      </c>
      <c r="E33" t="s">
        <v>38</v>
      </c>
      <c r="F33" s="34">
        <v>10000</v>
      </c>
      <c r="G33" s="36">
        <v>15652</v>
      </c>
      <c r="H33">
        <v>406</v>
      </c>
      <c r="J33" s="45">
        <v>0.71</v>
      </c>
      <c r="L33" s="43">
        <v>38.549999999999997</v>
      </c>
      <c r="M33" s="39">
        <v>5652</v>
      </c>
      <c r="N33" s="16"/>
      <c r="O33" s="39">
        <v>111697</v>
      </c>
      <c r="Q33" s="7" t="s">
        <v>11</v>
      </c>
    </row>
    <row r="34" spans="1:17" ht="14" thickBot="1" x14ac:dyDescent="0.2">
      <c r="A34" s="3" t="s">
        <v>7</v>
      </c>
      <c r="B34" s="5"/>
      <c r="C34" s="5"/>
      <c r="D34" s="5"/>
      <c r="E34" s="5"/>
      <c r="F34" s="35">
        <v>347000</v>
      </c>
      <c r="G34" s="37">
        <v>458544</v>
      </c>
      <c r="H34" s="26">
        <v>8033</v>
      </c>
      <c r="I34" s="26"/>
      <c r="J34" s="26"/>
      <c r="K34" s="26"/>
      <c r="L34" s="26"/>
      <c r="M34" s="41">
        <v>111544</v>
      </c>
      <c r="N34" s="18"/>
      <c r="O34" s="41">
        <v>111544</v>
      </c>
      <c r="P34" s="5"/>
      <c r="Q34" s="6"/>
    </row>
    <row r="35" spans="1:17" ht="13.5" customHeight="1" x14ac:dyDescent="0.15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15">
      <c r="A36" s="29" t="s">
        <v>44</v>
      </c>
      <c r="B36" s="21"/>
      <c r="C36" s="21"/>
      <c r="D36" s="29" t="s">
        <v>45</v>
      </c>
      <c r="E36" s="29" t="s">
        <v>38</v>
      </c>
      <c r="F36" s="34">
        <v>350000</v>
      </c>
      <c r="G36" s="36">
        <v>430748</v>
      </c>
      <c r="H36">
        <v>5092</v>
      </c>
      <c r="J36" s="45">
        <v>0.98</v>
      </c>
      <c r="L36" s="43">
        <v>84.59</v>
      </c>
      <c r="M36" s="39">
        <v>80748</v>
      </c>
      <c r="N36" s="16"/>
      <c r="O36" s="39">
        <v>80748</v>
      </c>
      <c r="Q36" s="7"/>
    </row>
    <row r="37" spans="1:17" ht="13.5" customHeight="1" x14ac:dyDescent="0.15">
      <c r="A37" s="29" t="s">
        <v>46</v>
      </c>
      <c r="B37" s="21"/>
      <c r="C37" s="21"/>
      <c r="D37" s="29" t="s">
        <v>47</v>
      </c>
      <c r="E37" s="29" t="s">
        <v>38</v>
      </c>
      <c r="F37" s="34">
        <v>102728</v>
      </c>
      <c r="G37" s="36">
        <v>123963</v>
      </c>
      <c r="H37">
        <v>1489</v>
      </c>
      <c r="J37" s="45">
        <v>0.96</v>
      </c>
      <c r="L37" s="43">
        <v>83.25</v>
      </c>
      <c r="M37" s="39">
        <v>21235</v>
      </c>
      <c r="N37" s="16"/>
      <c r="O37" s="39">
        <v>101983</v>
      </c>
      <c r="Q37" s="7"/>
    </row>
    <row r="38" spans="1:17" ht="13.5" customHeight="1" x14ac:dyDescent="0.15">
      <c r="A38" s="29" t="s">
        <v>48</v>
      </c>
      <c r="B38" s="21"/>
      <c r="C38" s="21"/>
      <c r="D38" s="31" t="s">
        <v>49</v>
      </c>
      <c r="E38" s="29" t="s">
        <v>38</v>
      </c>
      <c r="F38" s="34">
        <v>90450</v>
      </c>
      <c r="G38" s="36">
        <v>92381</v>
      </c>
      <c r="H38">
        <v>1124</v>
      </c>
      <c r="J38" s="45">
        <v>0.74</v>
      </c>
      <c r="L38" s="43">
        <v>82.21</v>
      </c>
      <c r="M38" s="39">
        <v>1931</v>
      </c>
      <c r="N38" s="32"/>
      <c r="O38" s="39">
        <v>103914</v>
      </c>
      <c r="P38" s="33"/>
      <c r="Q38" s="7"/>
    </row>
    <row r="39" spans="1:17" ht="13.5" customHeight="1" x14ac:dyDescent="0.15">
      <c r="A39" s="29" t="s">
        <v>104</v>
      </c>
      <c r="B39" s="21"/>
      <c r="C39" s="21"/>
      <c r="D39" s="31" t="s">
        <v>105</v>
      </c>
      <c r="E39" s="29" t="s">
        <v>38</v>
      </c>
      <c r="F39" s="34">
        <v>90450</v>
      </c>
      <c r="G39" s="36">
        <v>78299</v>
      </c>
      <c r="H39">
        <v>1129</v>
      </c>
      <c r="J39" s="45">
        <v>0.76</v>
      </c>
      <c r="L39" s="43">
        <v>69.37</v>
      </c>
      <c r="M39" s="39">
        <v>-12151</v>
      </c>
      <c r="N39" s="32"/>
      <c r="O39" s="39">
        <v>91763</v>
      </c>
      <c r="P39" s="33"/>
      <c r="Q39" s="7"/>
    </row>
    <row r="40" spans="1:17" ht="13.5" customHeight="1" x14ac:dyDescent="0.15">
      <c r="A40" s="29" t="s">
        <v>30</v>
      </c>
      <c r="B40" s="21"/>
      <c r="C40" s="21"/>
      <c r="D40" s="31" t="s">
        <v>107</v>
      </c>
      <c r="E40" s="29" t="s">
        <v>106</v>
      </c>
      <c r="F40" s="34">
        <v>180000</v>
      </c>
      <c r="G40" s="36">
        <v>234862</v>
      </c>
      <c r="H40">
        <v>4065</v>
      </c>
      <c r="J40" s="45">
        <v>0.99</v>
      </c>
      <c r="L40" s="43">
        <v>57.8</v>
      </c>
      <c r="M40" s="39">
        <v>54862</v>
      </c>
      <c r="N40" s="32"/>
      <c r="O40" s="39">
        <v>146625</v>
      </c>
      <c r="P40" s="33"/>
      <c r="Q40" s="7"/>
    </row>
    <row r="41" spans="1:17" ht="13.5" customHeight="1" x14ac:dyDescent="0.15">
      <c r="A41" s="29" t="s">
        <v>109</v>
      </c>
      <c r="B41" s="21"/>
      <c r="C41" s="21"/>
      <c r="D41" s="31" t="s">
        <v>110</v>
      </c>
      <c r="E41" s="29" t="s">
        <v>122</v>
      </c>
      <c r="F41" s="34">
        <v>350000</v>
      </c>
      <c r="G41" s="36">
        <v>431483</v>
      </c>
      <c r="H41">
        <v>5098</v>
      </c>
      <c r="J41" s="45">
        <v>0.98</v>
      </c>
      <c r="L41" s="43">
        <v>84.64</v>
      </c>
      <c r="M41" s="39">
        <v>81483</v>
      </c>
      <c r="N41" s="32"/>
      <c r="O41" s="39">
        <v>228108</v>
      </c>
      <c r="P41" s="33"/>
      <c r="Q41" s="7"/>
    </row>
    <row r="42" spans="1:17" ht="12.75" customHeight="1" x14ac:dyDescent="0.15">
      <c r="A42" s="29" t="s">
        <v>50</v>
      </c>
      <c r="B42" s="21"/>
      <c r="C42" s="21"/>
      <c r="D42" s="29" t="s">
        <v>51</v>
      </c>
      <c r="E42" s="29" t="s">
        <v>36</v>
      </c>
      <c r="F42" s="34">
        <v>320000</v>
      </c>
      <c r="G42" s="36">
        <v>221347</v>
      </c>
      <c r="H42">
        <v>3731</v>
      </c>
      <c r="J42" s="45">
        <v>0.71</v>
      </c>
      <c r="L42" s="43">
        <v>59.33</v>
      </c>
      <c r="M42" s="39">
        <v>-98653</v>
      </c>
      <c r="N42" s="16"/>
      <c r="O42" s="39">
        <v>129455</v>
      </c>
      <c r="Q42" s="7"/>
    </row>
    <row r="43" spans="1:17" ht="12.75" customHeight="1" x14ac:dyDescent="0.15">
      <c r="A43" s="29" t="s">
        <v>52</v>
      </c>
      <c r="B43" s="21"/>
      <c r="C43" s="21"/>
      <c r="D43" s="29" t="s">
        <v>53</v>
      </c>
      <c r="E43" s="29" t="s">
        <v>38</v>
      </c>
      <c r="F43" s="34">
        <v>99500</v>
      </c>
      <c r="G43" s="36">
        <v>117077</v>
      </c>
      <c r="H43">
        <v>1459</v>
      </c>
      <c r="J43" s="45">
        <v>1</v>
      </c>
      <c r="L43" s="43">
        <v>80.239999999999995</v>
      </c>
      <c r="M43" s="39">
        <v>17577</v>
      </c>
      <c r="N43" s="16"/>
      <c r="O43" s="39">
        <v>147032</v>
      </c>
      <c r="Q43" s="7"/>
    </row>
    <row r="44" spans="1:17" ht="12.75" customHeight="1" x14ac:dyDescent="0.15">
      <c r="A44" s="29" t="s">
        <v>114</v>
      </c>
      <c r="B44" s="21"/>
      <c r="C44" s="21"/>
      <c r="D44" s="31" t="s">
        <v>115</v>
      </c>
      <c r="E44" s="29" t="s">
        <v>38</v>
      </c>
      <c r="F44" s="34">
        <v>99500</v>
      </c>
      <c r="G44" s="36">
        <v>101161</v>
      </c>
      <c r="H44">
        <v>1235</v>
      </c>
      <c r="J44" s="45">
        <v>0.9</v>
      </c>
      <c r="L44" s="43">
        <v>81.91</v>
      </c>
      <c r="M44" s="39">
        <v>1661</v>
      </c>
      <c r="N44" s="16"/>
      <c r="O44" s="39">
        <v>148693</v>
      </c>
      <c r="Q44" s="7"/>
    </row>
    <row r="45" spans="1:17" ht="12.75" customHeight="1" x14ac:dyDescent="0.15">
      <c r="A45" s="29" t="s">
        <v>112</v>
      </c>
      <c r="B45" s="21"/>
      <c r="C45" s="21"/>
      <c r="D45" s="31" t="s">
        <v>113</v>
      </c>
      <c r="E45" s="29" t="s">
        <v>38</v>
      </c>
      <c r="F45" s="34">
        <v>99500</v>
      </c>
      <c r="G45" s="36">
        <v>60967</v>
      </c>
      <c r="H45">
        <v>670</v>
      </c>
      <c r="J45" s="45">
        <v>0.56999999999999995</v>
      </c>
      <c r="L45" s="43">
        <v>91</v>
      </c>
      <c r="M45" s="39">
        <v>-38533</v>
      </c>
      <c r="N45" s="16"/>
      <c r="O45" s="39">
        <v>110160</v>
      </c>
      <c r="Q45" s="7"/>
    </row>
    <row r="46" spans="1:17" ht="12.75" customHeight="1" thickBot="1" x14ac:dyDescent="0.2">
      <c r="A46" s="29" t="s">
        <v>54</v>
      </c>
      <c r="B46" s="21"/>
      <c r="C46" s="21"/>
      <c r="D46" s="29" t="s">
        <v>55</v>
      </c>
      <c r="E46" s="29" t="s">
        <v>38</v>
      </c>
      <c r="F46" s="34">
        <v>320000</v>
      </c>
      <c r="G46" s="36">
        <v>344958</v>
      </c>
      <c r="H46">
        <v>4760</v>
      </c>
      <c r="I46" s="24"/>
      <c r="J46" s="46">
        <v>0.99</v>
      </c>
      <c r="K46" s="24"/>
      <c r="L46" s="47">
        <v>72.48</v>
      </c>
      <c r="M46" s="40">
        <v>24958</v>
      </c>
      <c r="N46" s="16"/>
      <c r="O46" s="39">
        <v>135118</v>
      </c>
      <c r="Q46" s="7" t="s">
        <v>11</v>
      </c>
    </row>
    <row r="47" spans="1:17" ht="12.75" customHeight="1" thickBot="1" x14ac:dyDescent="0.2">
      <c r="A47" s="3" t="s">
        <v>10</v>
      </c>
      <c r="B47" s="4"/>
      <c r="C47" s="4"/>
      <c r="D47" s="4"/>
      <c r="E47" s="4"/>
      <c r="F47" s="35">
        <v>2102128</v>
      </c>
      <c r="G47" s="37">
        <v>2237246</v>
      </c>
      <c r="H47" s="26">
        <v>29852</v>
      </c>
      <c r="I47" s="25"/>
      <c r="J47" s="25"/>
      <c r="K47" s="25"/>
      <c r="L47" s="25"/>
      <c r="M47" s="42">
        <v>135118</v>
      </c>
      <c r="N47" s="17"/>
      <c r="O47" s="41">
        <v>135118</v>
      </c>
      <c r="P47" s="5"/>
      <c r="Q47" s="6"/>
    </row>
    <row r="48" spans="1:17" ht="12.75" customHeight="1" thickBot="1" x14ac:dyDescent="0.2">
      <c r="A48" s="3" t="s">
        <v>6</v>
      </c>
      <c r="B48" s="4"/>
      <c r="C48" s="4"/>
      <c r="D48" s="4"/>
      <c r="E48" s="4"/>
      <c r="F48" s="35">
        <v>3662618</v>
      </c>
      <c r="G48" s="50">
        <v>4002200</v>
      </c>
      <c r="H48" s="25">
        <v>60528</v>
      </c>
      <c r="I48" s="25"/>
      <c r="J48" s="25"/>
      <c r="K48" s="25"/>
      <c r="L48" s="25"/>
      <c r="M48" s="37">
        <v>339582</v>
      </c>
      <c r="N48" s="17"/>
      <c r="O48" s="41">
        <v>339582</v>
      </c>
      <c r="P48" s="23">
        <v>-8397</v>
      </c>
      <c r="Q48" s="27"/>
    </row>
    <row r="49" spans="1:19" ht="12.75" customHeight="1" x14ac:dyDescent="0.15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2025-08-21T21:00:27Z</dcterms:modified>
</cp:coreProperties>
</file>