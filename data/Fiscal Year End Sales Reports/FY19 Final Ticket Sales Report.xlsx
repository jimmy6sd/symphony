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bookViews>
    <workbookView xWindow="360" yWindow="120" windowWidth="17100" windowHeight="1212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H19" i="1" l="1"/>
  <c r="H26" i="1"/>
  <c r="H33" i="1"/>
  <c r="F33" i="1"/>
  <c r="F26" i="1"/>
</calcChain>
</file>

<file path=xl/sharedStrings.xml><?xml version="1.0" encoding="utf-8"?>
<sst xmlns="http://schemas.openxmlformats.org/spreadsheetml/2006/main" count="156" uniqueCount="126">
  <si>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</si>
  <si>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</si>
  <si>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</si>
  <si>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</si>
  <si>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</si>
  <si>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</si>
  <si>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</si>
  <si>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</si>
  <si>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</si>
  <si>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</si>
  <si>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</si>
  <si>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</si>
  <si>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</si>
  <si>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</si>
  <si>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</si>
  <si>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</si>
  <si>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</si>
  <si>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</si>
  <si>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</si>
  <si>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</si>
  <si>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</si>
  <si>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</si>
  <si>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</si>
  <si>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</si>
  <si>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</si>
  <si>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</si>
  <si>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</si>
  <si>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</si>
  <si>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</si>
  <si>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</si>
  <si>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</si>
  <si>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</si>
  <si>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CLASSICS UNCORKED SERIES</t>
  </si>
  <si>
    <t>CLASSICS UNCORKED SERIES TOTAL</t>
  </si>
  <si>
    <t>None</t>
  </si>
  <si>
    <t># SOLD</t>
  </si>
  <si>
    <t>CUMULATIVE</t>
  </si>
  <si>
    <t xml:space="preserve"> VARIANCE</t>
  </si>
  <si>
    <t>BUDGET</t>
  </si>
  <si>
    <t>Seber</t>
  </si>
  <si>
    <t>Oct. 31</t>
  </si>
  <si>
    <t>Schindler</t>
  </si>
  <si>
    <t>*Turn the Page KC concert doesn't count toward KCS budget</t>
  </si>
  <si>
    <t>Sept. 5 - 7, 9</t>
  </si>
  <si>
    <t>Beethoven Triple Concerto</t>
  </si>
  <si>
    <t>Sep. 14 - 16</t>
  </si>
  <si>
    <t>Turn the Page KC/Leslie Odom Jr.</t>
  </si>
  <si>
    <t>Sept. 22</t>
  </si>
  <si>
    <t>Ben Folds</t>
  </si>
  <si>
    <t>Sept. 25</t>
  </si>
  <si>
    <t>Andrew Bird</t>
  </si>
  <si>
    <t>Sept. 29</t>
  </si>
  <si>
    <t>Beethoven's Seventh</t>
  </si>
  <si>
    <t>Oct. 5 - 7</t>
  </si>
  <si>
    <t>Glorious Gershwin/Patti Austin</t>
  </si>
  <si>
    <t>Oct. 25 - 27</t>
  </si>
  <si>
    <t>Halloween Spooktacular</t>
  </si>
  <si>
    <t>Oct. 28</t>
  </si>
  <si>
    <t>Film/Organ:Hunchback Notre Dame</t>
  </si>
  <si>
    <t>Nov. 8</t>
  </si>
  <si>
    <t>Wynonna</t>
  </si>
  <si>
    <t>Nov. 10</t>
  </si>
  <si>
    <t>Mozart/Bach/Schubert</t>
  </si>
  <si>
    <t>Nov. 16 - 18</t>
  </si>
  <si>
    <t>The Texas Tenors</t>
  </si>
  <si>
    <t>Nov. 30</t>
  </si>
  <si>
    <t>Dec. 7 - 9</t>
  </si>
  <si>
    <t>Demirjian</t>
  </si>
  <si>
    <t>Dec. 14 - 18</t>
  </si>
  <si>
    <t>Film: It's a Wonderful Life</t>
  </si>
  <si>
    <t>Dec. 21 - 22</t>
  </si>
  <si>
    <t>Jan. 3 - 6</t>
  </si>
  <si>
    <t>Russian Romantics</t>
  </si>
  <si>
    <t>Lyle Lovett</t>
  </si>
  <si>
    <t>Jan. 18 - 20</t>
  </si>
  <si>
    <t>Enchanting/Exotic</t>
  </si>
  <si>
    <t>Jan. 25 - 27</t>
  </si>
  <si>
    <t>Film: Star Wars Episode 4</t>
  </si>
  <si>
    <t>Film: Harry Potter 4/Goblet of Fire</t>
  </si>
  <si>
    <t>Jan. 31 - Feb. 3</t>
  </si>
  <si>
    <t>Dvorak's New World</t>
  </si>
  <si>
    <t>Feb. 9 - 10</t>
  </si>
  <si>
    <t>Film: Casablanca</t>
  </si>
  <si>
    <t>Feb. 14 - 16</t>
  </si>
  <si>
    <t>Peter and the Wolf LIVE!</t>
  </si>
  <si>
    <t>Feb. 17</t>
  </si>
  <si>
    <t>Music of Michael Jackson</t>
  </si>
  <si>
    <t>Feb. 22 - 23</t>
  </si>
  <si>
    <t>Mendelssohn's Scottish</t>
  </si>
  <si>
    <t>Mar. 8 - 10</t>
  </si>
  <si>
    <t>Whitney Houston's Greatest Hits</t>
  </si>
  <si>
    <t>Mar. 23</t>
  </si>
  <si>
    <t>Mar. 28 - 31</t>
  </si>
  <si>
    <t>Pink Martini</t>
  </si>
  <si>
    <t>Apr. 5 - 7</t>
  </si>
  <si>
    <t>La Valse with Copland</t>
  </si>
  <si>
    <t>Apr. 12 - 14</t>
  </si>
  <si>
    <t>Cloudy with a Chance of Music</t>
  </si>
  <si>
    <t>Apr. 28</t>
  </si>
  <si>
    <t>Stern Conducts Mahler</t>
  </si>
  <si>
    <t>May. 17 - 19</t>
  </si>
  <si>
    <t>Mozart's Fifth Violin Concerto</t>
  </si>
  <si>
    <t>May. 31 - Jun. 2</t>
  </si>
  <si>
    <t>Jun. 13</t>
  </si>
  <si>
    <t>Symphonic Metamorphosis</t>
  </si>
  <si>
    <t>Jun. 7 - 9</t>
  </si>
  <si>
    <t>Pictures at an Exhibition</t>
  </si>
  <si>
    <t>Jun. 21 - 23</t>
  </si>
  <si>
    <t>Jan. 17</t>
  </si>
  <si>
    <t>Labadie</t>
  </si>
  <si>
    <t>Boreyko</t>
  </si>
  <si>
    <t>McAdams</t>
  </si>
  <si>
    <t>Havens</t>
  </si>
  <si>
    <t>2018-19 SINGLE TICKET REVENUE</t>
  </si>
  <si>
    <t>Bach, Bluegrass and Bourbon</t>
  </si>
  <si>
    <t>Covington</t>
  </si>
  <si>
    <t>Grammy Greats</t>
  </si>
  <si>
    <t>Secrets Revealed</t>
  </si>
  <si>
    <t>Mozart's Jupiter</t>
  </si>
  <si>
    <t>Nov. 23 - 24</t>
  </si>
  <si>
    <t>Jan. 12 &amp; 14</t>
  </si>
  <si>
    <t>Carmina Burana</t>
  </si>
  <si>
    <t>Lockington</t>
  </si>
  <si>
    <t>Carsey</t>
  </si>
  <si>
    <t>Film: Harry Potter 3/Azkaban</t>
  </si>
  <si>
    <t>Revised: 6/24/19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</si>
</sst>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/>
    <xf numFmtId="0" fontId="0" fillId="0" borderId="0" xfId="0" applyBorder="1"/>
    <xf numFmtId="0" fontId="0" fillId="0" borderId="0" xfId="0" applyFill="1" applyBorder="1"/>
    <xf numFmtId="49" fontId="0" fillId="0" borderId="0" xfId="0" applyNumberForma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Border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Fill="1" applyBorder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44" fontId="2" fillId="0" borderId="0" xfId="1" applyFont="1" applyFill="1" applyBorder="1"/>
    <xf numFmtId="44" fontId="2" fillId="0" borderId="0" xfId="1" applyFont="1"/>
    <xf numFmtId="44" fontId="0" fillId="0" borderId="0" xfId="0" applyNumberFormat="1"/>
    <xf numFmtId="16" fontId="0" fillId="0" borderId="0" xfId="0" applyNumberFormat="1" applyBorder="1"/>
    <xf numFmtId="0" fontId="6" fillId="0" borderId="0" xfId="0" applyFont="1" applyFill="1" applyBorder="1" applyAlignment="1">
      <alignment horizontal="center"/>
    </xf>
    <xf numFmtId="8" fontId="5" fillId="0" borderId="0" xfId="1" applyNumberFormat="1" applyFont="1" applyBorder="1"/>
    <xf numFmtId="8" fontId="2" fillId="2" borderId="2" xfId="1" applyNumberFormat="1" applyFont="1" applyFill="1" applyBorder="1"/>
    <xf numFmtId="8" fontId="0" fillId="0" borderId="0" xfId="1" applyNumberFormat="1" applyFont="1" applyFill="1" applyBorder="1"/>
    <xf numFmtId="8" fontId="0" fillId="0" borderId="0" xfId="1" applyNumberFormat="1" applyFont="1" applyBorder="1"/>
    <xf numFmtId="8" fontId="0" fillId="0" borderId="0" xfId="1" applyNumberFormat="1" applyFont="1"/>
    <xf numFmtId="8" fontId="5" fillId="0" borderId="0" xfId="1" applyNumberFormat="1" applyFont="1" applyFill="1" applyBorder="1"/>
    <xf numFmtId="164" fontId="2" fillId="3" borderId="2" xfId="0" applyNumberFormat="1" applyFont="1" applyFill="1" applyBorder="1"/>
    <xf numFmtId="0" fontId="2" fillId="0" borderId="0" xfId="0" applyFont="1"/>
    <xf numFmtId="0" fontId="8" fillId="0" borderId="0" xfId="0" applyFont="1"/>
    <xf numFmtId="8" fontId="0" fillId="0" borderId="0" xfId="0" applyNumberFormat="1" applyBorder="1"/>
    <xf numFmtId="0" fontId="5" fillId="0" borderId="0" xfId="0" applyFont="1" applyBorder="1"/>
    <xf numFmtId="0" fontId="5" fillId="0" borderId="0" xfId="0" applyFont="1" applyFill="1" applyBorder="1"/>
    <xf numFmtId="0" fontId="5" fillId="0" borderId="0" xfId="0" applyFont="1"/>
    <xf numFmtId="0" fontId="4" fillId="0" borderId="0" xfId="0" applyFont="1" applyBorder="1" applyAlignment="1">
      <alignment horizontal="center"/>
    </xf>
    <xf numFmtId="0" fontId="9" fillId="0" borderId="0" xfId="0" applyFont="1"/>
    <xf numFmtId="8" fontId="0" fillId="2" borderId="2" xfId="0" applyNumberFormat="1" applyFill="1" applyBorder="1"/>
    <xf numFmtId="40" fontId="2" fillId="2" borderId="2" xfId="1" applyNumberFormat="1" applyFont="1" applyFill="1" applyBorder="1"/>
    <xf numFmtId="8" fontId="2" fillId="3" borderId="2" xfId="0" applyNumberFormat="1" applyFont="1" applyFill="1" applyBorder="1"/>
    <xf numFmtId="0" fontId="0" fillId="0" borderId="4" xfId="0" applyFill="1" applyBorder="1"/>
    <xf numFmtId="3" fontId="2" fillId="3" borderId="4" xfId="0" applyNumberFormat="1" applyFont="1" applyFill="1" applyBorder="1"/>
    <xf numFmtId="0" fontId="0" fillId="0" borderId="0" xfId="0" applyFont="1" applyFill="1" applyBorder="1"/>
    <xf numFmtId="3" fontId="2" fillId="3" borderId="2" xfId="0" applyNumberFormat="1" applyFont="1" applyFill="1" applyBorder="1"/>
    <xf numFmtId="0" fontId="2" fillId="0" borderId="0" xfId="0" applyFont="1" applyBorder="1"/>
    <xf numFmtId="8" fontId="0" fillId="0" borderId="4" xfId="1" applyNumberFormat="1" applyFont="1" applyBorder="1"/>
    <xf numFmtId="8" fontId="2" fillId="3" borderId="4" xfId="0" applyNumberFormat="1" applyFont="1" applyFill="1" applyBorder="1"/>
    <xf numFmtId="9" fontId="5" fillId="2" borderId="3" xfId="0" applyNumberFormat="1" applyFont="1" applyFill="1" applyBorder="1"/>
    <xf numFmtId="44" fontId="10" fillId="0" borderId="0" xfId="1" applyFont="1" applyFill="1" applyBorder="1"/>
    <xf numFmtId="8" fontId="10" fillId="0" borderId="0" xfId="1" applyNumberFormat="1" applyFont="1" applyFill="1" applyBorder="1"/>
    <xf numFmtId="8" fontId="5" fillId="0" borderId="0" xfId="1" applyNumberFormat="1" applyFont="1" applyBorder="1" applyAlignment="1">
      <alignment horizontal="right"/>
    </xf>
    <xf numFmtId="8" fontId="5" fillId="0" borderId="0" xfId="1" applyNumberFormat="1" applyFont="1" applyFill="1" applyBorder="1" applyAlignment="1">
      <alignment horizontal="right"/>
    </xf>
    <xf numFmtId="15" fontId="4" fillId="4" borderId="0" xfId="0" applyNumberFormat="1" applyFont="1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4" borderId="0" xfId="0" applyFill="1"/>
    <xf numFmtId="0" fontId="5" fillId="4" borderId="0" xfId="0" applyFont="1" applyFill="1" applyBorder="1"/>
    <xf numFmtId="8" fontId="5" fillId="4" borderId="0" xfId="1" applyNumberFormat="1" applyFont="1" applyFill="1" applyBorder="1" applyAlignment="1">
      <alignment horizontal="right"/>
    </xf>
    <xf numFmtId="44" fontId="0" fillId="4" borderId="0" xfId="1" applyFont="1" applyFill="1" applyBorder="1"/>
    <xf numFmtId="8" fontId="0" fillId="4" borderId="0" xfId="1" applyNumberFormat="1" applyFont="1" applyFill="1" applyBorder="1"/>
    <xf numFmtId="0" fontId="0" fillId="4" borderId="0" xfId="0" applyFill="1" applyBorder="1"/>
    <xf numFmtId="0" fontId="4" fillId="4" borderId="0" xfId="0" applyFont="1" applyFill="1" applyBorder="1" applyAlignment="1">
      <alignment horizontal="center"/>
    </xf>
    <xf numFmtId="44" fontId="11" fillId="0" borderId="0" xfId="1" applyFont="1" applyBorder="1"/>
    <xf numFmtId="0" fontId="11" fillId="0" borderId="0" xfId="0" applyFont="1" applyBorder="1"/>
    <xf numFmtId="0" fontId="4" fillId="0" borderId="0" xfId="0" applyFont="1" applyFill="1" applyBorder="1" applyAlignment="1">
      <alignment horizontal="center"/>
    </xf>
    <xf numFmtId="8" fontId="0" fillId="4" borderId="4" xfId="1" applyNumberFormat="1" applyFont="1" applyFill="1" applyBorder="1"/>
    <xf numFmtId="8" fontId="0" fillId="0" borderId="0" xfId="1" applyNumberFormat="1" applyFont="1" applyBorder="1" applyAlignment="1">
      <alignment horizontal="right"/>
    </xf>
    <xf numFmtId="0" fontId="1" fillId="0" borderId="0" xfId="0" applyFont="1" applyFill="1" applyBorder="1"/>
    <xf numFmtId="0" fontId="1" fillId="4" borderId="0" xfId="0" applyFont="1" applyFill="1"/>
    <xf numFmtId="0" fontId="1" fillId="0" borderId="0" xfId="0" applyFont="1" applyBorder="1"/>
    <xf numFmtId="0" fontId="1" fillId="4" borderId="0" xfId="0" applyFont="1" applyFill="1" applyBorder="1"/>
    <xf numFmtId="15" fontId="1" fillId="0" borderId="0" xfId="0" applyNumberFormat="1" applyFont="1" applyBorder="1"/>
    <xf numFmtId="16" fontId="1" fillId="0" borderId="0" xfId="0" applyNumberFormat="1" applyFont="1" applyBorder="1"/>
    <xf numFmtId="16" fontId="1" fillId="0" borderId="0" xfId="0" applyNumberFormat="1" applyFont="1" applyFill="1" applyBorder="1"/>
    <xf numFmtId="0" fontId="6" fillId="0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8" fontId="5" fillId="0" borderId="4" xfId="1" applyNumberFormat="1" applyFont="1" applyBorder="1"/>
    <xf numFmtId="8" fontId="2" fillId="3" borderId="4" xfId="1" applyNumberFormat="1" applyFont="1" applyFill="1" applyBorder="1"/>
    <xf numFmtId="8" fontId="5" fillId="0" borderId="0" xfId="0" applyNumberFormat="1" applyFont="1" applyBorder="1"/>
    <xf numFmtId="0" fontId="3" fillId="0" borderId="0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showGridLines="0" tabSelected="1" topLeftCell="A16" workbookViewId="0">
      <selection activeCell="P42" sqref="P42"/>
    </sheetView>
  </sheetViews>
  <sheetFormatPr defaultRowHeight="12.75" x14ac:dyDescent="0.2"/>
  <cols>
    <col min="1" max="1" width="5.5703125" customWidth="1"/>
    <col min="3" max="3" width="17.140625" customWidth="1"/>
    <col min="4" max="4" width="18.7109375" customWidth="1"/>
    <col min="5" max="5" width="14" customWidth="1"/>
    <col min="6" max="6" width="14.140625" customWidth="1"/>
    <col min="7" max="7" width="2.7109375" customWidth="1"/>
    <col min="8" max="8" width="13.140625" customWidth="1"/>
    <col min="9" max="9" width="7.5703125" customWidth="1"/>
    <col min="10" max="10" width="13.85546875" customWidth="1"/>
    <col min="11" max="11" width="1.28515625" customWidth="1"/>
    <col min="12" max="12" width="12.7109375" customWidth="1"/>
    <col min="13" max="13" width="1.42578125" customWidth="1"/>
    <col min="16" max="16" width="12.28515625" bestFit="1" customWidth="1"/>
  </cols>
  <sheetData>
    <row r="1" spans="1:15" ht="15.75" x14ac:dyDescent="0.25">
      <c r="A1" s="35"/>
      <c r="B1" s="34"/>
      <c r="C1" s="34"/>
      <c r="E1" s="41" t="s">
        <v>113</v>
      </c>
      <c r="F1" s="41"/>
      <c r="G1" s="41"/>
      <c r="H1" s="41"/>
      <c r="L1" s="57" t="s">
        <v>125</v>
      </c>
    </row>
    <row r="2" spans="1:15" x14ac:dyDescent="0.2">
      <c r="A2" s="34"/>
      <c r="E2" s="39" t="s">
        <v>29</v>
      </c>
    </row>
    <row r="3" spans="1:15" x14ac:dyDescent="0.2">
      <c r="E3" s="73" t="s">
        <v>42</v>
      </c>
      <c r="F3" s="60"/>
      <c r="G3" s="60"/>
      <c r="H3" s="60"/>
      <c r="I3" s="60"/>
      <c r="L3" s="49" t="s">
        <v>36</v>
      </c>
    </row>
    <row r="4" spans="1:15" ht="12.75" customHeight="1" x14ac:dyDescent="0.2">
      <c r="A4" s="1" t="s">
        <v>0</v>
      </c>
      <c r="D4" s="5" t="s">
        <v>25</v>
      </c>
      <c r="E4" s="5" t="s">
        <v>26</v>
      </c>
      <c r="F4" s="12" t="s">
        <v>38</v>
      </c>
      <c r="H4" s="13" t="s">
        <v>4</v>
      </c>
      <c r="I4" s="1" t="s">
        <v>35</v>
      </c>
      <c r="J4" s="13" t="s">
        <v>5</v>
      </c>
      <c r="L4" s="11" t="s">
        <v>37</v>
      </c>
    </row>
    <row r="5" spans="1:15" s="2" customFormat="1" x14ac:dyDescent="0.2">
      <c r="A5" s="2" t="s">
        <v>12</v>
      </c>
      <c r="B5" s="2" t="s">
        <v>44</v>
      </c>
      <c r="D5" s="2" t="s">
        <v>45</v>
      </c>
      <c r="E5" s="2" t="s">
        <v>27</v>
      </c>
      <c r="F5" s="27">
        <v>38000</v>
      </c>
      <c r="G5" s="19"/>
      <c r="H5" s="29">
        <v>31339</v>
      </c>
      <c r="I5" s="2">
        <v>860</v>
      </c>
      <c r="J5" s="36">
        <v>-6661</v>
      </c>
      <c r="K5" s="19"/>
      <c r="L5" s="30">
        <v>-6661</v>
      </c>
      <c r="N5" s="26"/>
    </row>
    <row r="6" spans="1:15" x14ac:dyDescent="0.2">
      <c r="A6" s="2" t="s">
        <v>13</v>
      </c>
      <c r="B6" s="2" t="s">
        <v>52</v>
      </c>
      <c r="C6" s="2"/>
      <c r="D6" s="2" t="s">
        <v>53</v>
      </c>
      <c r="E6" s="3" t="s">
        <v>27</v>
      </c>
      <c r="F6" s="27">
        <v>40000</v>
      </c>
      <c r="G6" s="19"/>
      <c r="H6" s="29">
        <v>50597</v>
      </c>
      <c r="I6" s="2">
        <v>1093</v>
      </c>
      <c r="J6" s="36">
        <v>10597</v>
      </c>
      <c r="K6" s="19"/>
      <c r="L6" s="30">
        <v>3936</v>
      </c>
      <c r="M6" s="2"/>
      <c r="N6" s="26"/>
    </row>
    <row r="7" spans="1:15" x14ac:dyDescent="0.2">
      <c r="A7" s="2" t="s">
        <v>14</v>
      </c>
      <c r="B7" s="2" t="s">
        <v>62</v>
      </c>
      <c r="C7" s="2"/>
      <c r="D7" s="3" t="s">
        <v>63</v>
      </c>
      <c r="E7" s="3" t="s">
        <v>27</v>
      </c>
      <c r="F7" s="27">
        <v>38000</v>
      </c>
      <c r="G7" s="19"/>
      <c r="H7" s="29">
        <v>51628.5</v>
      </c>
      <c r="I7" s="2">
        <v>1098</v>
      </c>
      <c r="J7" s="30">
        <v>13628.5</v>
      </c>
      <c r="K7" s="19"/>
      <c r="L7" s="30">
        <v>17564.5</v>
      </c>
      <c r="M7" s="2"/>
      <c r="N7" s="26"/>
    </row>
    <row r="8" spans="1:15" x14ac:dyDescent="0.2">
      <c r="A8" s="2" t="s">
        <v>15</v>
      </c>
      <c r="B8" s="2" t="s">
        <v>118</v>
      </c>
      <c r="C8" s="2"/>
      <c r="D8" s="74" t="s">
        <v>119</v>
      </c>
      <c r="E8" s="2" t="s">
        <v>109</v>
      </c>
      <c r="F8" s="27">
        <v>34000</v>
      </c>
      <c r="G8" s="19"/>
      <c r="H8" s="29">
        <v>34697.5</v>
      </c>
      <c r="I8" s="3">
        <v>714</v>
      </c>
      <c r="J8" s="30">
        <v>697.5</v>
      </c>
      <c r="K8" s="19"/>
      <c r="L8" s="30">
        <v>18262</v>
      </c>
      <c r="M8" s="2"/>
      <c r="N8" s="26"/>
    </row>
    <row r="9" spans="1:15" x14ac:dyDescent="0.2">
      <c r="A9" s="2" t="s">
        <v>16</v>
      </c>
      <c r="B9" s="3" t="s">
        <v>72</v>
      </c>
      <c r="C9" s="2"/>
      <c r="D9" s="3" t="s">
        <v>120</v>
      </c>
      <c r="E9" s="3" t="s">
        <v>110</v>
      </c>
      <c r="F9" s="27">
        <v>30000</v>
      </c>
      <c r="G9" s="19"/>
      <c r="H9" s="29">
        <v>30803.5</v>
      </c>
      <c r="I9" s="3">
        <v>596</v>
      </c>
      <c r="J9" s="30">
        <v>803.5</v>
      </c>
      <c r="K9" s="19"/>
      <c r="L9" s="30">
        <v>19065.5</v>
      </c>
      <c r="M9" s="2"/>
      <c r="N9" s="26"/>
    </row>
    <row r="10" spans="1:15" x14ac:dyDescent="0.2">
      <c r="A10" s="2" t="s">
        <v>17</v>
      </c>
      <c r="B10" s="3" t="s">
        <v>75</v>
      </c>
      <c r="C10" s="2"/>
      <c r="D10" s="3" t="s">
        <v>76</v>
      </c>
      <c r="E10" s="3" t="s">
        <v>27</v>
      </c>
      <c r="F10" s="27">
        <v>38000</v>
      </c>
      <c r="G10" s="19"/>
      <c r="H10" s="29">
        <v>39693.5</v>
      </c>
      <c r="I10" s="3">
        <v>864</v>
      </c>
      <c r="J10" s="30">
        <v>1693.5</v>
      </c>
      <c r="K10" s="19"/>
      <c r="L10" s="30">
        <v>20759</v>
      </c>
      <c r="M10" s="2"/>
      <c r="N10" s="26"/>
      <c r="O10" s="2"/>
    </row>
    <row r="11" spans="1:15" x14ac:dyDescent="0.2">
      <c r="A11" s="2" t="s">
        <v>18</v>
      </c>
      <c r="B11" s="3" t="s">
        <v>80</v>
      </c>
      <c r="C11" s="2"/>
      <c r="D11" s="3" t="s">
        <v>81</v>
      </c>
      <c r="E11" s="38" t="s">
        <v>27</v>
      </c>
      <c r="F11" s="27">
        <v>42000</v>
      </c>
      <c r="G11" s="19"/>
      <c r="H11" s="29">
        <v>57058.75</v>
      </c>
      <c r="I11" s="3">
        <v>1225</v>
      </c>
      <c r="J11" s="30">
        <v>15058.75</v>
      </c>
      <c r="K11" s="19"/>
      <c r="L11" s="30">
        <v>35817.75</v>
      </c>
      <c r="M11" s="2"/>
      <c r="N11" s="26"/>
    </row>
    <row r="12" spans="1:15" x14ac:dyDescent="0.2">
      <c r="A12" s="3" t="s">
        <v>19</v>
      </c>
      <c r="B12" s="72" t="s">
        <v>88</v>
      </c>
      <c r="C12" s="3"/>
      <c r="D12" s="72" t="s">
        <v>89</v>
      </c>
      <c r="E12" s="72" t="s">
        <v>122</v>
      </c>
      <c r="F12" s="27">
        <v>38000</v>
      </c>
      <c r="G12" s="17"/>
      <c r="H12" s="29">
        <v>36990.75</v>
      </c>
      <c r="I12" s="3">
        <v>703</v>
      </c>
      <c r="J12" s="29">
        <v>-1009.25</v>
      </c>
      <c r="K12" s="17"/>
      <c r="L12" s="29">
        <v>34808.5</v>
      </c>
      <c r="M12" s="3"/>
      <c r="N12" s="26"/>
    </row>
    <row r="13" spans="1:15" x14ac:dyDescent="0.2">
      <c r="A13" s="2" t="s">
        <v>20</v>
      </c>
      <c r="B13" s="72" t="s">
        <v>121</v>
      </c>
      <c r="C13" s="2"/>
      <c r="D13" s="72" t="s">
        <v>92</v>
      </c>
      <c r="E13" s="3" t="s">
        <v>111</v>
      </c>
      <c r="F13" s="27">
        <v>72000</v>
      </c>
      <c r="G13" s="19"/>
      <c r="H13" s="29">
        <v>113789.5</v>
      </c>
      <c r="I13" s="3">
        <v>2157</v>
      </c>
      <c r="J13" s="30">
        <v>41789.5</v>
      </c>
      <c r="K13" s="19"/>
      <c r="L13" s="30">
        <v>76598</v>
      </c>
      <c r="M13" s="2"/>
      <c r="N13" s="26"/>
    </row>
    <row r="14" spans="1:15" s="2" customFormat="1" x14ac:dyDescent="0.2">
      <c r="A14" s="2" t="s">
        <v>21</v>
      </c>
      <c r="B14" s="72" t="s">
        <v>95</v>
      </c>
      <c r="D14" s="72" t="s">
        <v>96</v>
      </c>
      <c r="E14" s="3" t="s">
        <v>27</v>
      </c>
      <c r="F14" s="27">
        <v>39000</v>
      </c>
      <c r="G14" s="19"/>
      <c r="H14" s="29">
        <v>49272</v>
      </c>
      <c r="I14" s="3">
        <v>1066</v>
      </c>
      <c r="J14" s="30">
        <v>10272</v>
      </c>
      <c r="K14" s="19"/>
      <c r="L14" s="30">
        <v>86870</v>
      </c>
      <c r="N14" s="26"/>
    </row>
    <row r="15" spans="1:15" x14ac:dyDescent="0.2">
      <c r="A15" s="2" t="s">
        <v>22</v>
      </c>
      <c r="B15" s="72" t="s">
        <v>99</v>
      </c>
      <c r="C15" s="2"/>
      <c r="D15" s="72" t="s">
        <v>100</v>
      </c>
      <c r="E15" s="3" t="s">
        <v>27</v>
      </c>
      <c r="F15" s="27">
        <v>38000</v>
      </c>
      <c r="G15" s="19"/>
      <c r="H15" s="29">
        <v>53513</v>
      </c>
      <c r="I15" s="3">
        <v>952</v>
      </c>
      <c r="J15" s="30">
        <v>15513</v>
      </c>
      <c r="K15" s="19"/>
      <c r="L15" s="30">
        <v>102383</v>
      </c>
      <c r="M15" s="2"/>
      <c r="N15" s="26"/>
    </row>
    <row r="16" spans="1:15" s="2" customFormat="1" x14ac:dyDescent="0.2">
      <c r="A16" s="37" t="s">
        <v>23</v>
      </c>
      <c r="B16" s="72" t="s">
        <v>101</v>
      </c>
      <c r="C16" s="37"/>
      <c r="D16" s="72" t="s">
        <v>102</v>
      </c>
      <c r="E16" s="72" t="s">
        <v>27</v>
      </c>
      <c r="F16" s="27">
        <v>38000</v>
      </c>
      <c r="G16" s="18"/>
      <c r="H16" s="32">
        <v>34948.75</v>
      </c>
      <c r="I16" s="47">
        <v>659</v>
      </c>
      <c r="J16" s="83">
        <v>-3051.25</v>
      </c>
      <c r="K16" s="18"/>
      <c r="L16" s="83">
        <v>99331.75</v>
      </c>
      <c r="N16" s="26"/>
    </row>
    <row r="17" spans="1:21" x14ac:dyDescent="0.2">
      <c r="A17" s="2" t="s">
        <v>24</v>
      </c>
      <c r="B17" s="72" t="s">
        <v>104</v>
      </c>
      <c r="C17" s="2"/>
      <c r="D17" s="72" t="s">
        <v>105</v>
      </c>
      <c r="E17" s="3" t="s">
        <v>27</v>
      </c>
      <c r="F17" s="27">
        <v>38000</v>
      </c>
      <c r="G17" s="19"/>
      <c r="H17" s="29">
        <v>35351</v>
      </c>
      <c r="I17" s="47">
        <v>590</v>
      </c>
      <c r="J17" s="30">
        <v>-2649</v>
      </c>
      <c r="K17" s="19"/>
      <c r="L17" s="30">
        <v>96682.75</v>
      </c>
      <c r="M17" s="2"/>
      <c r="N17" s="26"/>
    </row>
    <row r="18" spans="1:21" ht="13.5" thickBot="1" x14ac:dyDescent="0.25">
      <c r="A18" s="39" t="s">
        <v>28</v>
      </c>
      <c r="B18" s="72" t="s">
        <v>106</v>
      </c>
      <c r="D18" s="72" t="s">
        <v>107</v>
      </c>
      <c r="E18" s="38" t="s">
        <v>27</v>
      </c>
      <c r="F18" s="27">
        <v>42000</v>
      </c>
      <c r="G18" s="16"/>
      <c r="H18" s="29">
        <v>61086.75</v>
      </c>
      <c r="I18" s="45">
        <v>1174</v>
      </c>
      <c r="J18" s="50">
        <v>19086.75</v>
      </c>
      <c r="K18" s="16"/>
      <c r="L18" s="30">
        <v>115769.5</v>
      </c>
      <c r="N18" s="79" t="s">
        <v>11</v>
      </c>
    </row>
    <row r="19" spans="1:21" ht="13.5" thickBot="1" x14ac:dyDescent="0.25">
      <c r="A19" s="6" t="s">
        <v>9</v>
      </c>
      <c r="B19" s="8"/>
      <c r="C19" s="8"/>
      <c r="D19" s="8"/>
      <c r="E19" s="8"/>
      <c r="F19" s="28">
        <v>565000</v>
      </c>
      <c r="G19" s="21"/>
      <c r="H19" s="28">
        <f>SUM(H5:H18)</f>
        <v>680769.5</v>
      </c>
      <c r="I19" s="46">
        <v>13751</v>
      </c>
      <c r="J19" s="51">
        <v>115769.5</v>
      </c>
      <c r="K19" s="21"/>
      <c r="L19" s="28">
        <v>115769.5</v>
      </c>
      <c r="M19" s="8"/>
      <c r="N19" s="9"/>
    </row>
    <row r="20" spans="1:21" ht="0.75" customHeight="1" x14ac:dyDescent="0.2">
      <c r="F20" s="15"/>
      <c r="G20" s="16"/>
      <c r="H20" s="17"/>
      <c r="I20" s="16"/>
      <c r="J20" s="16"/>
      <c r="K20" s="16"/>
      <c r="L20" s="16"/>
    </row>
    <row r="21" spans="1:21" x14ac:dyDescent="0.2">
      <c r="A21" s="1" t="s">
        <v>1</v>
      </c>
      <c r="F21" s="15"/>
      <c r="G21" s="16"/>
      <c r="H21" s="17"/>
      <c r="I21" s="16"/>
      <c r="J21" s="16"/>
      <c r="K21" s="16"/>
      <c r="L21" s="16"/>
    </row>
    <row r="22" spans="1:21" s="2" customFormat="1" x14ac:dyDescent="0.2">
      <c r="A22" s="74" t="s">
        <v>54</v>
      </c>
      <c r="B22" s="37"/>
      <c r="C22" s="37"/>
      <c r="D22" s="77" t="s">
        <v>55</v>
      </c>
      <c r="E22" s="37" t="s">
        <v>39</v>
      </c>
      <c r="F22" s="27">
        <v>110000</v>
      </c>
      <c r="G22" s="18"/>
      <c r="H22" s="32">
        <v>94114</v>
      </c>
      <c r="I22" s="2">
        <v>1478</v>
      </c>
      <c r="J22" s="27">
        <v>-15886</v>
      </c>
      <c r="K22" s="18"/>
      <c r="L22" s="27">
        <v>-15886</v>
      </c>
      <c r="M22" s="37"/>
      <c r="N22" s="40"/>
    </row>
    <row r="23" spans="1:21" x14ac:dyDescent="0.2">
      <c r="A23" s="74" t="s">
        <v>73</v>
      </c>
      <c r="B23" s="2"/>
      <c r="C23" s="2"/>
      <c r="D23" s="77" t="s">
        <v>74</v>
      </c>
      <c r="E23" s="2" t="s">
        <v>39</v>
      </c>
      <c r="F23" s="27">
        <v>120000</v>
      </c>
      <c r="G23" s="19"/>
      <c r="H23" s="29">
        <v>139245.75</v>
      </c>
      <c r="I23" s="2">
        <v>2129</v>
      </c>
      <c r="J23" s="30">
        <v>19245.75</v>
      </c>
      <c r="K23" s="19"/>
      <c r="L23" s="30">
        <v>3359.75</v>
      </c>
      <c r="M23" s="2"/>
      <c r="N23" s="40"/>
      <c r="P23" s="24"/>
    </row>
    <row r="24" spans="1:21" x14ac:dyDescent="0.2">
      <c r="A24" s="74" t="s">
        <v>82</v>
      </c>
      <c r="B24" s="2"/>
      <c r="C24" s="2"/>
      <c r="D24" s="74" t="s">
        <v>83</v>
      </c>
      <c r="E24" s="2" t="s">
        <v>39</v>
      </c>
      <c r="F24" s="27">
        <v>90000</v>
      </c>
      <c r="G24" s="19"/>
      <c r="H24" s="29">
        <v>118746.5</v>
      </c>
      <c r="I24" s="2">
        <v>1562</v>
      </c>
      <c r="J24" s="30">
        <v>28746.5</v>
      </c>
      <c r="K24" s="19"/>
      <c r="L24" s="30">
        <v>32106.25</v>
      </c>
      <c r="M24" s="2"/>
      <c r="N24" s="40"/>
    </row>
    <row r="25" spans="1:21" ht="13.5" thickBot="1" x14ac:dyDescent="0.25">
      <c r="A25" s="72" t="s">
        <v>93</v>
      </c>
      <c r="B25" s="2"/>
      <c r="C25" s="2"/>
      <c r="D25" s="25" t="s">
        <v>94</v>
      </c>
      <c r="E25" s="3" t="s">
        <v>39</v>
      </c>
      <c r="F25" s="27">
        <v>100000</v>
      </c>
      <c r="G25" s="19"/>
      <c r="H25" s="29">
        <v>121424.75</v>
      </c>
      <c r="I25" s="3">
        <v>1742</v>
      </c>
      <c r="J25" s="71">
        <v>21424.75</v>
      </c>
      <c r="K25" s="19"/>
      <c r="L25" s="30">
        <v>53531</v>
      </c>
      <c r="M25" s="2"/>
      <c r="N25" s="40" t="s">
        <v>11</v>
      </c>
      <c r="O25" s="2"/>
      <c r="P25" s="2"/>
    </row>
    <row r="26" spans="1:21" ht="13.5" thickBot="1" x14ac:dyDescent="0.25">
      <c r="A26" s="6" t="s">
        <v>8</v>
      </c>
      <c r="B26" s="8"/>
      <c r="C26" s="8"/>
      <c r="D26" s="8"/>
      <c r="E26" s="8"/>
      <c r="F26" s="20">
        <f>SUM(F22:F25)</f>
        <v>420000</v>
      </c>
      <c r="G26" s="21"/>
      <c r="H26" s="28">
        <f>SUM(H22:H25)</f>
        <v>473531</v>
      </c>
      <c r="I26" s="48">
        <v>6911</v>
      </c>
      <c r="J26" s="28">
        <v>53531</v>
      </c>
      <c r="K26" s="21"/>
      <c r="L26" s="28">
        <v>53531</v>
      </c>
      <c r="M26" s="8"/>
      <c r="N26" s="9"/>
    </row>
    <row r="27" spans="1:21" ht="0.75" customHeight="1" x14ac:dyDescent="0.2">
      <c r="F27" s="15"/>
      <c r="G27" s="16"/>
      <c r="H27" s="17"/>
      <c r="I27" s="16"/>
      <c r="J27" s="16"/>
      <c r="K27" s="16"/>
      <c r="L27" s="16"/>
    </row>
    <row r="28" spans="1:21" x14ac:dyDescent="0.2">
      <c r="A28" s="1" t="s">
        <v>2</v>
      </c>
      <c r="F28" s="15"/>
      <c r="G28" s="16"/>
      <c r="H28" s="17"/>
      <c r="I28" s="16"/>
      <c r="J28" s="16"/>
      <c r="K28" s="16"/>
      <c r="L28" s="16"/>
    </row>
    <row r="29" spans="1:21" s="2" customFormat="1" x14ac:dyDescent="0.2">
      <c r="A29" s="74" t="s">
        <v>56</v>
      </c>
      <c r="B29" s="37"/>
      <c r="C29" s="37"/>
      <c r="D29" s="77" t="s">
        <v>57</v>
      </c>
      <c r="E29" s="37" t="s">
        <v>39</v>
      </c>
      <c r="F29" s="27">
        <v>7000</v>
      </c>
      <c r="G29" s="18"/>
      <c r="H29" s="32">
        <v>10248.200000000001</v>
      </c>
      <c r="I29" s="2">
        <v>364</v>
      </c>
      <c r="J29" s="27">
        <v>3248.2</v>
      </c>
      <c r="K29" s="18"/>
      <c r="L29" s="27">
        <v>3248.2</v>
      </c>
      <c r="M29" s="37"/>
      <c r="N29" s="40"/>
      <c r="U29" s="59"/>
    </row>
    <row r="30" spans="1:21" x14ac:dyDescent="0.2">
      <c r="A30" s="2" t="s">
        <v>31</v>
      </c>
      <c r="B30" s="2"/>
      <c r="C30" s="2"/>
      <c r="D30" s="74" t="s">
        <v>68</v>
      </c>
      <c r="E30" s="2" t="s">
        <v>39</v>
      </c>
      <c r="F30" s="27">
        <v>380000</v>
      </c>
      <c r="G30" s="19"/>
      <c r="H30" s="29">
        <v>346816.25</v>
      </c>
      <c r="I30" s="2">
        <v>6877</v>
      </c>
      <c r="J30" s="30">
        <v>-33183.75</v>
      </c>
      <c r="K30" s="19"/>
      <c r="L30" s="30">
        <v>-29935.55</v>
      </c>
      <c r="M30" s="2"/>
      <c r="N30" s="40"/>
    </row>
    <row r="31" spans="1:21" x14ac:dyDescent="0.2">
      <c r="A31" s="3" t="s">
        <v>84</v>
      </c>
      <c r="B31" s="2"/>
      <c r="C31" s="2"/>
      <c r="D31" s="77" t="s">
        <v>85</v>
      </c>
      <c r="E31" s="2" t="s">
        <v>39</v>
      </c>
      <c r="F31" s="27">
        <v>8000</v>
      </c>
      <c r="G31" s="19"/>
      <c r="H31" s="29">
        <v>12263.25</v>
      </c>
      <c r="I31" s="2">
        <v>389</v>
      </c>
      <c r="J31" s="30">
        <v>4263.25</v>
      </c>
      <c r="K31" s="19"/>
      <c r="L31" s="30">
        <v>-25672.3</v>
      </c>
      <c r="M31" s="2"/>
      <c r="N31" s="40"/>
    </row>
    <row r="32" spans="1:21" ht="13.5" thickBot="1" x14ac:dyDescent="0.25">
      <c r="A32" t="s">
        <v>97</v>
      </c>
      <c r="D32" s="4" t="s">
        <v>98</v>
      </c>
      <c r="E32" t="s">
        <v>39</v>
      </c>
      <c r="F32" s="27">
        <v>6000</v>
      </c>
      <c r="G32" s="16"/>
      <c r="H32" s="29">
        <v>8708.5</v>
      </c>
      <c r="I32" s="3">
        <v>247</v>
      </c>
      <c r="J32" s="31">
        <v>2708.5</v>
      </c>
      <c r="K32" s="16"/>
      <c r="L32" s="30">
        <v>-22963.8</v>
      </c>
      <c r="N32" s="80" t="s">
        <v>11</v>
      </c>
    </row>
    <row r="33" spans="1:18" ht="13.5" thickBot="1" x14ac:dyDescent="0.25">
      <c r="A33" s="6" t="s">
        <v>7</v>
      </c>
      <c r="B33" s="8"/>
      <c r="C33" s="8"/>
      <c r="D33" s="8"/>
      <c r="E33" s="8"/>
      <c r="F33" s="20">
        <f>SUM(F29:F32)</f>
        <v>401000</v>
      </c>
      <c r="G33" s="21"/>
      <c r="H33" s="28">
        <f>SUM(H29:H32)</f>
        <v>378036.2</v>
      </c>
      <c r="I33" s="48">
        <v>7877</v>
      </c>
      <c r="J33" s="44">
        <v>-22963.8</v>
      </c>
      <c r="K33" s="21"/>
      <c r="L33" s="28">
        <v>-22963.8</v>
      </c>
      <c r="M33" s="8"/>
      <c r="N33" s="9"/>
    </row>
    <row r="34" spans="1:18" ht="14.25" customHeight="1" x14ac:dyDescent="0.2">
      <c r="A34" s="1" t="s">
        <v>32</v>
      </c>
      <c r="B34" s="1"/>
      <c r="C34" s="1"/>
      <c r="F34" s="15"/>
      <c r="G34" s="16"/>
      <c r="H34" s="22"/>
      <c r="I34" s="16"/>
      <c r="J34" s="16"/>
      <c r="K34" s="16"/>
      <c r="L34" s="23"/>
    </row>
    <row r="35" spans="1:18" ht="13.5" customHeight="1" x14ac:dyDescent="0.2">
      <c r="A35" s="74" t="s">
        <v>114</v>
      </c>
      <c r="B35" s="49"/>
      <c r="C35" s="49"/>
      <c r="D35" s="74" t="s">
        <v>59</v>
      </c>
      <c r="E35" s="37" t="s">
        <v>39</v>
      </c>
      <c r="F35" s="27">
        <v>25000</v>
      </c>
      <c r="G35" s="18"/>
      <c r="H35" s="32">
        <v>29780.5</v>
      </c>
      <c r="I35" s="38">
        <v>1064</v>
      </c>
      <c r="J35" s="27">
        <v>4780.5</v>
      </c>
      <c r="K35" s="18"/>
      <c r="L35" s="27">
        <v>4780.5</v>
      </c>
      <c r="M35" s="37"/>
      <c r="N35" s="40"/>
      <c r="R35" s="58"/>
    </row>
    <row r="36" spans="1:18" ht="13.5" customHeight="1" x14ac:dyDescent="0.2">
      <c r="A36" s="72" t="s">
        <v>116</v>
      </c>
      <c r="B36" s="84"/>
      <c r="C36" s="84"/>
      <c r="D36" s="74" t="s">
        <v>108</v>
      </c>
      <c r="E36" s="37" t="s">
        <v>39</v>
      </c>
      <c r="F36" s="27">
        <v>25000</v>
      </c>
      <c r="G36" s="19"/>
      <c r="H36" s="32">
        <v>20905</v>
      </c>
      <c r="I36" s="38">
        <v>696</v>
      </c>
      <c r="J36" s="30">
        <v>-4095</v>
      </c>
      <c r="K36" s="19"/>
      <c r="L36" s="27">
        <v>685.5</v>
      </c>
      <c r="M36" s="2"/>
      <c r="N36" s="40"/>
    </row>
    <row r="37" spans="1:18" ht="13.5" customHeight="1" thickBot="1" x14ac:dyDescent="0.25">
      <c r="A37" s="72" t="s">
        <v>117</v>
      </c>
      <c r="B37" s="2"/>
      <c r="C37" s="2"/>
      <c r="D37" s="74" t="s">
        <v>103</v>
      </c>
      <c r="E37" s="37" t="s">
        <v>39</v>
      </c>
      <c r="F37" s="27">
        <v>25000</v>
      </c>
      <c r="G37" s="19"/>
      <c r="H37" s="32">
        <v>24051.25</v>
      </c>
      <c r="I37" s="45">
        <v>659</v>
      </c>
      <c r="J37" s="30">
        <v>-948.75</v>
      </c>
      <c r="K37" s="19"/>
      <c r="L37" s="81">
        <v>-263.25</v>
      </c>
      <c r="M37" s="2"/>
      <c r="N37" s="40" t="s">
        <v>11</v>
      </c>
    </row>
    <row r="38" spans="1:18" ht="12.75" customHeight="1" thickBot="1" x14ac:dyDescent="0.25">
      <c r="A38" s="6" t="s">
        <v>33</v>
      </c>
      <c r="B38" s="8"/>
      <c r="C38" s="8"/>
      <c r="D38" s="8"/>
      <c r="E38" s="8"/>
      <c r="F38" s="44">
        <v>75000</v>
      </c>
      <c r="G38" s="21"/>
      <c r="H38" s="28">
        <v>74736.75</v>
      </c>
      <c r="I38" s="46">
        <v>2419</v>
      </c>
      <c r="J38" s="28">
        <v>-263.25</v>
      </c>
      <c r="K38" s="21"/>
      <c r="L38" s="82">
        <v>-263.25</v>
      </c>
      <c r="M38" s="8"/>
      <c r="N38" s="9"/>
    </row>
    <row r="39" spans="1:18" ht="13.5" customHeight="1" x14ac:dyDescent="0.2">
      <c r="A39" s="1" t="s">
        <v>3</v>
      </c>
      <c r="F39" s="15"/>
      <c r="G39" s="16"/>
      <c r="H39" s="17"/>
      <c r="I39" s="16"/>
      <c r="J39" s="16"/>
      <c r="K39" s="16"/>
      <c r="L39" s="16"/>
    </row>
    <row r="40" spans="1:18" ht="13.5" customHeight="1" x14ac:dyDescent="0.2">
      <c r="A40" s="74" t="s">
        <v>124</v>
      </c>
      <c r="B40" s="37"/>
      <c r="C40" s="37"/>
      <c r="D40" s="74" t="s">
        <v>43</v>
      </c>
      <c r="E40" s="74" t="s">
        <v>41</v>
      </c>
      <c r="F40" s="55">
        <v>340000</v>
      </c>
      <c r="G40" s="19"/>
      <c r="H40" s="29">
        <v>330676</v>
      </c>
      <c r="I40" s="2">
        <v>4861</v>
      </c>
      <c r="J40" s="30">
        <v>-9324</v>
      </c>
      <c r="K40" s="19"/>
      <c r="L40" s="30">
        <v>-9324</v>
      </c>
      <c r="M40" s="2"/>
      <c r="N40" s="69"/>
    </row>
    <row r="41" spans="1:18" ht="13.5" customHeight="1" x14ac:dyDescent="0.2">
      <c r="A41" s="72" t="s">
        <v>48</v>
      </c>
      <c r="B41" s="37"/>
      <c r="C41" s="37"/>
      <c r="D41" s="76" t="s">
        <v>49</v>
      </c>
      <c r="E41" s="74" t="s">
        <v>39</v>
      </c>
      <c r="F41" s="55">
        <v>225000</v>
      </c>
      <c r="G41" s="18"/>
      <c r="H41" s="32">
        <v>248314</v>
      </c>
      <c r="I41" s="37">
        <v>2997</v>
      </c>
      <c r="J41" s="27">
        <v>23314</v>
      </c>
      <c r="K41" s="67"/>
      <c r="L41" s="27">
        <v>13990</v>
      </c>
      <c r="M41" s="68"/>
      <c r="N41" s="69"/>
    </row>
    <row r="42" spans="1:18" ht="12.75" customHeight="1" x14ac:dyDescent="0.2">
      <c r="A42" s="72" t="s">
        <v>50</v>
      </c>
      <c r="B42" s="37"/>
      <c r="C42" s="37"/>
      <c r="D42" s="74" t="s">
        <v>51</v>
      </c>
      <c r="E42" s="74" t="s">
        <v>39</v>
      </c>
      <c r="F42" s="55">
        <v>75000</v>
      </c>
      <c r="G42" s="19"/>
      <c r="H42" s="29">
        <v>76805.5</v>
      </c>
      <c r="I42" s="72">
        <v>1511</v>
      </c>
      <c r="J42" s="30">
        <v>1805.5</v>
      </c>
      <c r="K42" s="19"/>
      <c r="L42" s="30">
        <v>15795.5</v>
      </c>
      <c r="M42" s="2"/>
      <c r="N42" s="69"/>
    </row>
    <row r="43" spans="1:18" ht="12.75" customHeight="1" x14ac:dyDescent="0.2">
      <c r="A43" s="72" t="s">
        <v>58</v>
      </c>
      <c r="B43" s="37"/>
      <c r="C43" s="37"/>
      <c r="D43" s="74" t="s">
        <v>40</v>
      </c>
      <c r="E43" s="74" t="s">
        <v>34</v>
      </c>
      <c r="F43" s="55">
        <v>42000</v>
      </c>
      <c r="G43" s="19"/>
      <c r="H43" s="29">
        <v>36289</v>
      </c>
      <c r="I43" s="72">
        <v>827</v>
      </c>
      <c r="J43" s="30">
        <v>-5711</v>
      </c>
      <c r="K43" s="19"/>
      <c r="L43" s="30">
        <v>10084.5</v>
      </c>
      <c r="M43" s="2"/>
      <c r="N43" s="69"/>
    </row>
    <row r="44" spans="1:18" ht="12.75" customHeight="1" x14ac:dyDescent="0.2">
      <c r="A44" s="72" t="s">
        <v>60</v>
      </c>
      <c r="B44" s="37"/>
      <c r="C44" s="37"/>
      <c r="D44" s="72" t="s">
        <v>61</v>
      </c>
      <c r="E44" s="72" t="s">
        <v>39</v>
      </c>
      <c r="F44" s="55">
        <v>90000</v>
      </c>
      <c r="G44" s="19"/>
      <c r="H44" s="29">
        <v>99380.5</v>
      </c>
      <c r="I44" s="72">
        <v>1279</v>
      </c>
      <c r="J44" s="30">
        <v>9380.5</v>
      </c>
      <c r="K44" s="19"/>
      <c r="L44" s="30">
        <v>19465</v>
      </c>
      <c r="M44" s="2"/>
      <c r="N44" s="69"/>
    </row>
    <row r="45" spans="1:18" ht="12.75" customHeight="1" x14ac:dyDescent="0.2">
      <c r="A45" s="72" t="s">
        <v>64</v>
      </c>
      <c r="B45" s="37"/>
      <c r="C45" s="37"/>
      <c r="D45" s="72" t="s">
        <v>65</v>
      </c>
      <c r="E45" s="72" t="s">
        <v>115</v>
      </c>
      <c r="F45" s="55">
        <v>80000</v>
      </c>
      <c r="G45" s="19"/>
      <c r="H45" s="29">
        <v>90760.5</v>
      </c>
      <c r="I45" s="72">
        <v>1538</v>
      </c>
      <c r="J45" s="30">
        <v>10760.5</v>
      </c>
      <c r="K45" s="19"/>
      <c r="L45" s="30">
        <v>30225.5</v>
      </c>
      <c r="M45" s="2"/>
      <c r="N45" s="69"/>
    </row>
    <row r="46" spans="1:18" ht="12.75" customHeight="1" x14ac:dyDescent="0.2">
      <c r="A46" s="38" t="s">
        <v>30</v>
      </c>
      <c r="B46" s="37"/>
      <c r="C46" s="37"/>
      <c r="D46" s="72" t="s">
        <v>66</v>
      </c>
      <c r="E46" s="72" t="s">
        <v>67</v>
      </c>
      <c r="F46" s="55">
        <v>190000</v>
      </c>
      <c r="G46" s="19"/>
      <c r="H46" s="29">
        <v>199828.75</v>
      </c>
      <c r="I46" s="72">
        <v>4122</v>
      </c>
      <c r="J46" s="30">
        <v>9828.75</v>
      </c>
      <c r="K46" s="19"/>
      <c r="L46" s="30">
        <v>40054.25</v>
      </c>
      <c r="M46" s="2"/>
      <c r="N46" s="69"/>
    </row>
    <row r="47" spans="1:18" ht="12.75" customHeight="1" x14ac:dyDescent="0.2">
      <c r="A47" s="72" t="s">
        <v>69</v>
      </c>
      <c r="B47" s="37"/>
      <c r="C47" s="37"/>
      <c r="D47" s="74" t="s">
        <v>70</v>
      </c>
      <c r="E47" s="72" t="s">
        <v>39</v>
      </c>
      <c r="F47" s="55">
        <v>150000</v>
      </c>
      <c r="G47" s="19"/>
      <c r="H47" s="29">
        <v>172455.8</v>
      </c>
      <c r="I47" s="72">
        <v>2495</v>
      </c>
      <c r="J47" s="30">
        <v>22455.8</v>
      </c>
      <c r="K47" s="19"/>
      <c r="L47" s="30">
        <v>62510.05</v>
      </c>
      <c r="M47" s="2"/>
      <c r="N47" s="69"/>
    </row>
    <row r="48" spans="1:18" ht="12.75" customHeight="1" x14ac:dyDescent="0.2">
      <c r="A48" s="72" t="s">
        <v>78</v>
      </c>
      <c r="B48" s="37"/>
      <c r="C48" s="37"/>
      <c r="D48" s="72" t="s">
        <v>71</v>
      </c>
      <c r="E48" s="72" t="s">
        <v>41</v>
      </c>
      <c r="F48" s="55">
        <v>340000</v>
      </c>
      <c r="G48" s="19"/>
      <c r="H48" s="29">
        <v>365799</v>
      </c>
      <c r="I48" s="72">
        <v>5279</v>
      </c>
      <c r="J48" s="30">
        <v>25799</v>
      </c>
      <c r="K48" s="19"/>
      <c r="L48" s="30">
        <v>88309.05</v>
      </c>
      <c r="M48" s="2"/>
      <c r="N48" s="69"/>
    </row>
    <row r="49" spans="1:16" ht="12.75" customHeight="1" x14ac:dyDescent="0.2">
      <c r="A49" s="72" t="s">
        <v>77</v>
      </c>
      <c r="B49" s="37"/>
      <c r="C49" s="37"/>
      <c r="D49" s="72" t="s">
        <v>79</v>
      </c>
      <c r="E49" s="72" t="s">
        <v>39</v>
      </c>
      <c r="F49" s="55">
        <v>340000</v>
      </c>
      <c r="G49" s="19"/>
      <c r="H49" s="29">
        <v>346769.5</v>
      </c>
      <c r="I49" s="72">
        <v>5244</v>
      </c>
      <c r="J49" s="30">
        <v>6769.5</v>
      </c>
      <c r="K49" s="19"/>
      <c r="L49" s="30">
        <v>95078.55</v>
      </c>
      <c r="M49" s="2"/>
      <c r="N49" s="69"/>
    </row>
    <row r="50" spans="1:16" ht="12.75" customHeight="1" x14ac:dyDescent="0.2">
      <c r="A50" s="72" t="s">
        <v>86</v>
      </c>
      <c r="B50" s="37"/>
      <c r="C50" s="37"/>
      <c r="D50" s="72" t="s">
        <v>87</v>
      </c>
      <c r="E50" s="72" t="s">
        <v>112</v>
      </c>
      <c r="F50" s="55">
        <v>160000</v>
      </c>
      <c r="G50" s="19"/>
      <c r="H50" s="29">
        <v>195599</v>
      </c>
      <c r="I50" s="72">
        <v>2735</v>
      </c>
      <c r="J50" s="30">
        <v>35599</v>
      </c>
      <c r="K50" s="19"/>
      <c r="L50" s="30">
        <v>130677.55</v>
      </c>
      <c r="M50" s="2"/>
      <c r="N50" s="69"/>
    </row>
    <row r="51" spans="1:16" ht="12.75" customHeight="1" x14ac:dyDescent="0.2">
      <c r="A51" s="72" t="s">
        <v>90</v>
      </c>
      <c r="B51" s="3"/>
      <c r="C51" s="3"/>
      <c r="D51" s="78" t="s">
        <v>91</v>
      </c>
      <c r="E51" s="3" t="s">
        <v>123</v>
      </c>
      <c r="F51" s="56">
        <v>85000</v>
      </c>
      <c r="G51" s="53"/>
      <c r="H51" s="54">
        <v>95259.5</v>
      </c>
      <c r="I51" s="72">
        <v>1203</v>
      </c>
      <c r="J51" s="54">
        <v>10259.5</v>
      </c>
      <c r="K51" s="53"/>
      <c r="L51" s="54">
        <v>140937.04999999999</v>
      </c>
      <c r="M51" s="3"/>
      <c r="N51" s="40"/>
    </row>
    <row r="52" spans="1:16" ht="12.75" customHeight="1" thickBot="1" x14ac:dyDescent="0.25">
      <c r="A52" s="75" t="s">
        <v>46</v>
      </c>
      <c r="B52" s="61"/>
      <c r="C52" s="61"/>
      <c r="D52" s="75" t="s">
        <v>47</v>
      </c>
      <c r="E52" s="61" t="s">
        <v>39</v>
      </c>
      <c r="F52" s="62">
        <v>113370</v>
      </c>
      <c r="G52" s="63"/>
      <c r="H52" s="64">
        <v>113370</v>
      </c>
      <c r="I52" s="65">
        <v>1600</v>
      </c>
      <c r="J52" s="70"/>
      <c r="K52" s="63"/>
      <c r="L52" s="64"/>
      <c r="M52" s="65"/>
      <c r="N52" s="66" t="s">
        <v>11</v>
      </c>
    </row>
    <row r="53" spans="1:16" ht="12.75" customHeight="1" thickBot="1" x14ac:dyDescent="0.25">
      <c r="A53" s="6" t="s">
        <v>10</v>
      </c>
      <c r="B53" s="7"/>
      <c r="C53" s="7"/>
      <c r="D53" s="7"/>
      <c r="E53" s="7"/>
      <c r="F53" s="28">
        <v>2117000</v>
      </c>
      <c r="G53" s="21"/>
      <c r="H53" s="28">
        <v>2257937.0499999998</v>
      </c>
      <c r="I53" s="48">
        <v>35691</v>
      </c>
      <c r="J53" s="51">
        <v>140937.04999999999</v>
      </c>
      <c r="K53" s="20"/>
      <c r="L53" s="28">
        <v>140937.04999999999</v>
      </c>
      <c r="M53" s="8"/>
      <c r="N53" s="9"/>
    </row>
    <row r="54" spans="1:16" ht="12.75" customHeight="1" thickBot="1" x14ac:dyDescent="0.25">
      <c r="A54" s="6" t="s">
        <v>6</v>
      </c>
      <c r="B54" s="7"/>
      <c r="C54" s="7"/>
      <c r="D54" s="7"/>
      <c r="E54" s="7"/>
      <c r="F54" s="33">
        <v>3578000</v>
      </c>
      <c r="G54" s="21"/>
      <c r="H54" s="43">
        <v>3865010.5</v>
      </c>
      <c r="I54" s="46">
        <v>66649</v>
      </c>
      <c r="J54" s="44">
        <v>287010.5</v>
      </c>
      <c r="K54" s="20"/>
      <c r="L54" s="28">
        <v>287010.5</v>
      </c>
      <c r="M54" s="42">
        <v>-8397</v>
      </c>
      <c r="N54" s="52"/>
    </row>
    <row r="55" spans="1:16" ht="12.75" customHeight="1" x14ac:dyDescent="0.2">
      <c r="A55" s="14"/>
      <c r="P55" s="10"/>
    </row>
  </sheetData>
  <phoneticPr fontId="4" type="noConversion"/>
  <pageMargins left="0" right="0" top="0.25" bottom="0.25" header="0.5" footer="0.5"/>
  <pageSetup scale="85" orientation="landscape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2018-11-15T16:48:34Z</cp:lastPrinted>
  <dcterms:created xsi:type="dcterms:W3CDTF">2005-10-20T22:05:14Z</dcterms:created>
  <dcterms:modified xsi:type="dcterms:W3CDTF">2019-06-25T15:35:22Z</dcterms:modified>
</cp:coreProperties>
</file>