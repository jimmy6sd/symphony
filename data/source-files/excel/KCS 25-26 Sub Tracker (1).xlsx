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kocal/Documents/KC 2025/25-26 Subs/"/>
    </mc:Choice>
  </mc:AlternateContent>
  <xr:revisionPtr revIDLastSave="0" documentId="13_ncr:1_{33F2F1A5-BB0B-0E4E-99A7-1023F846BDB0}" xr6:coauthVersionLast="47" xr6:coauthVersionMax="47" xr10:uidLastSave="{00000000-0000-0000-0000-000000000000}"/>
  <bookViews>
    <workbookView xWindow="380" yWindow="500" windowWidth="28040" windowHeight="16180" activeTab="1" xr2:uid="{5498EDD1-662C-EA4B-9AC1-CD7C630E020F}"/>
  </bookViews>
  <sheets>
    <sheet name="Sheet1" sheetId="1" r:id="rId1"/>
    <sheet name="CL Data" sheetId="3" r:id="rId2"/>
    <sheet name="CL Graph" sheetId="6" r:id="rId3"/>
    <sheet name="Pops" sheetId="4" r:id="rId4"/>
    <sheet name="Pops Graph" sheetId="7" r:id="rId5"/>
    <sheet name="Total" sheetId="5" r:id="rId6"/>
    <sheet name="Sheet2" sheetId="8" r:id="rId7"/>
    <sheet name="Sheet3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H23" i="4" s="1"/>
  <c r="F23" i="4"/>
  <c r="G53" i="3"/>
  <c r="H53" i="3" s="1"/>
  <c r="F53" i="3"/>
  <c r="G24" i="4" l="1"/>
  <c r="H24" i="4" s="1"/>
  <c r="F24" i="4"/>
  <c r="G54" i="3"/>
  <c r="H54" i="3" s="1"/>
  <c r="F54" i="3"/>
  <c r="G25" i="4"/>
  <c r="H25" i="4" s="1"/>
  <c r="F25" i="4"/>
  <c r="G55" i="3"/>
  <c r="H55" i="3" s="1"/>
  <c r="F55" i="3"/>
  <c r="G56" i="3"/>
  <c r="H56" i="3" s="1"/>
  <c r="F56" i="3"/>
  <c r="G26" i="4"/>
  <c r="H26" i="4" s="1"/>
  <c r="F26" i="4"/>
  <c r="G27" i="4"/>
  <c r="H27" i="4" s="1"/>
  <c r="F27" i="4"/>
  <c r="G57" i="3"/>
  <c r="H57" i="3" s="1"/>
  <c r="F57" i="3"/>
  <c r="C37" i="1" l="1"/>
  <c r="A37" i="1"/>
  <c r="P27" i="1"/>
  <c r="Q27" i="1" s="1"/>
  <c r="O27" i="1"/>
  <c r="J27" i="1"/>
  <c r="P9" i="1"/>
  <c r="Q9" i="1" s="1"/>
  <c r="O9" i="1"/>
  <c r="J9" i="1"/>
  <c r="G27" i="1"/>
  <c r="H27" i="1" s="1"/>
  <c r="F27" i="1"/>
  <c r="G28" i="4"/>
  <c r="H28" i="4" s="1"/>
  <c r="F28" i="4"/>
  <c r="G9" i="1"/>
  <c r="F9" i="1"/>
  <c r="G58" i="3"/>
  <c r="H58" i="3" s="1"/>
  <c r="F58" i="3"/>
  <c r="C19" i="1" l="1"/>
  <c r="G28" i="1" l="1"/>
  <c r="F28" i="1"/>
  <c r="G29" i="4"/>
  <c r="H29" i="4" s="1"/>
  <c r="F29" i="4"/>
  <c r="J29" i="1"/>
  <c r="J30" i="1" s="1"/>
  <c r="J31" i="1" s="1"/>
  <c r="J32" i="1" s="1"/>
  <c r="P28" i="1"/>
  <c r="O28" i="1"/>
  <c r="P10" i="1"/>
  <c r="O10" i="1"/>
  <c r="G10" i="1"/>
  <c r="H9" i="1" s="1"/>
  <c r="F10" i="1"/>
  <c r="G59" i="3"/>
  <c r="H59" i="3" s="1"/>
  <c r="F59" i="3"/>
  <c r="P30" i="1" l="1"/>
  <c r="O30" i="1"/>
  <c r="P29" i="1"/>
  <c r="Q28" i="1" s="1"/>
  <c r="O29" i="1"/>
  <c r="G29" i="1"/>
  <c r="H28" i="1" s="1"/>
  <c r="F29" i="1"/>
  <c r="P12" i="1"/>
  <c r="O12" i="1"/>
  <c r="P11" i="1"/>
  <c r="Q10" i="1" s="1"/>
  <c r="O11" i="1"/>
  <c r="G11" i="1"/>
  <c r="H10" i="1" s="1"/>
  <c r="F11" i="1"/>
  <c r="G30" i="4"/>
  <c r="H30" i="4" s="1"/>
  <c r="F30" i="4"/>
  <c r="G60" i="3"/>
  <c r="H60" i="3" s="1"/>
  <c r="F60" i="3"/>
  <c r="Q29" i="1" l="1"/>
  <c r="Q11" i="1"/>
  <c r="G30" i="1" l="1"/>
  <c r="H29" i="1" s="1"/>
  <c r="F30" i="1"/>
  <c r="G31" i="4"/>
  <c r="H31" i="4" s="1"/>
  <c r="F31" i="4"/>
  <c r="G12" i="1"/>
  <c r="H11" i="1" s="1"/>
  <c r="F12" i="1"/>
  <c r="G61" i="3"/>
  <c r="H61" i="3" s="1"/>
  <c r="F61" i="3"/>
  <c r="F13" i="9" l="1"/>
  <c r="G13" i="9"/>
  <c r="D13" i="9"/>
  <c r="B13" i="9"/>
  <c r="B12" i="9"/>
  <c r="B11" i="9"/>
  <c r="D11" i="9" s="1"/>
  <c r="F11" i="9" s="1"/>
  <c r="D12" i="9"/>
  <c r="F12" i="9" s="1"/>
  <c r="F10" i="9"/>
  <c r="D10" i="9"/>
  <c r="G10" i="9"/>
  <c r="G11" i="9"/>
  <c r="G12" i="9"/>
  <c r="B10" i="9"/>
  <c r="G9" i="9"/>
  <c r="F9" i="9"/>
  <c r="D9" i="9"/>
  <c r="P31" i="1"/>
  <c r="Q30" i="1" s="1"/>
  <c r="O31" i="1"/>
  <c r="G32" i="4"/>
  <c r="H32" i="4" s="1"/>
  <c r="F32" i="4"/>
  <c r="G31" i="1"/>
  <c r="H30" i="1" s="1"/>
  <c r="F31" i="1"/>
  <c r="P13" i="1"/>
  <c r="Q12" i="1" s="1"/>
  <c r="O13" i="1"/>
  <c r="J13" i="1"/>
  <c r="J12" i="1" s="1"/>
  <c r="J11" i="1" s="1"/>
  <c r="J10" i="1" s="1"/>
  <c r="G62" i="3"/>
  <c r="H62" i="3" s="1"/>
  <c r="F62" i="3"/>
  <c r="G13" i="1"/>
  <c r="F13" i="1"/>
  <c r="H12" i="1" l="1"/>
  <c r="J15" i="8"/>
  <c r="J16" i="8"/>
  <c r="J17" i="8"/>
  <c r="J18" i="8"/>
  <c r="J19" i="8"/>
  <c r="J14" i="8"/>
  <c r="I15" i="8"/>
  <c r="I16" i="8"/>
  <c r="I17" i="8"/>
  <c r="I18" i="8"/>
  <c r="I19" i="8"/>
  <c r="I14" i="8"/>
  <c r="H15" i="8"/>
  <c r="H16" i="8"/>
  <c r="H17" i="8"/>
  <c r="H18" i="8"/>
  <c r="H19" i="8"/>
  <c r="H14" i="8"/>
  <c r="J5" i="8"/>
  <c r="J6" i="8"/>
  <c r="J7" i="8"/>
  <c r="J8" i="8"/>
  <c r="J9" i="8"/>
  <c r="J4" i="8"/>
  <c r="I9" i="8"/>
  <c r="I8" i="8"/>
  <c r="I7" i="8"/>
  <c r="I6" i="8"/>
  <c r="I5" i="8"/>
  <c r="H5" i="8"/>
  <c r="H6" i="8"/>
  <c r="H7" i="8"/>
  <c r="H8" i="8"/>
  <c r="H9" i="8"/>
  <c r="H4" i="8"/>
  <c r="I4" i="8"/>
  <c r="F15" i="8"/>
  <c r="F16" i="8"/>
  <c r="F17" i="8"/>
  <c r="F18" i="8"/>
  <c r="F19" i="8"/>
  <c r="F14" i="8"/>
  <c r="F5" i="8"/>
  <c r="F6" i="8"/>
  <c r="F7" i="8"/>
  <c r="F8" i="8"/>
  <c r="F9" i="8"/>
  <c r="F4" i="8"/>
  <c r="D3" i="8"/>
  <c r="D13" i="8"/>
  <c r="D14" i="8"/>
  <c r="D4" i="8"/>
  <c r="D5" i="8"/>
  <c r="D15" i="8"/>
  <c r="D6" i="8"/>
  <c r="D16" i="8"/>
  <c r="D19" i="8"/>
  <c r="D9" i="8"/>
  <c r="D18" i="8"/>
  <c r="D17" i="8"/>
  <c r="D8" i="8"/>
  <c r="D7" i="8"/>
  <c r="P32" i="1" l="1"/>
  <c r="O32" i="1"/>
  <c r="G32" i="1"/>
  <c r="F32" i="1"/>
  <c r="P14" i="1"/>
  <c r="O14" i="1"/>
  <c r="G14" i="1"/>
  <c r="H13" i="1" s="1"/>
  <c r="F14" i="1"/>
  <c r="G33" i="4"/>
  <c r="H33" i="4" s="1"/>
  <c r="F33" i="4"/>
  <c r="G63" i="3"/>
  <c r="H63" i="3" s="1"/>
  <c r="F63" i="3"/>
  <c r="G34" i="4"/>
  <c r="H34" i="4" s="1"/>
  <c r="F34" i="4"/>
  <c r="G64" i="3"/>
  <c r="H64" i="3" s="1"/>
  <c r="F64" i="3"/>
  <c r="Q32" i="1" l="1"/>
  <c r="Q31" i="1"/>
  <c r="H32" i="1"/>
  <c r="H31" i="1"/>
  <c r="Q14" i="1"/>
  <c r="Q13" i="1"/>
  <c r="H14" i="1"/>
  <c r="G35" i="4"/>
  <c r="H35" i="4" s="1"/>
  <c r="F35" i="4"/>
  <c r="G65" i="3"/>
  <c r="H65" i="3" s="1"/>
  <c r="F65" i="3"/>
  <c r="G36" i="4"/>
  <c r="H36" i="4" s="1"/>
  <c r="F36" i="4"/>
  <c r="G66" i="3" l="1"/>
  <c r="H66" i="3" s="1"/>
  <c r="F66" i="3"/>
  <c r="G37" i="4"/>
  <c r="H37" i="4" s="1"/>
  <c r="F37" i="4"/>
  <c r="G67" i="3"/>
  <c r="H67" i="3" s="1"/>
  <c r="F67" i="3"/>
  <c r="G68" i="3" l="1"/>
  <c r="H68" i="3" s="1"/>
  <c r="F68" i="3"/>
  <c r="G38" i="4"/>
  <c r="H38" i="4" s="1"/>
  <c r="F38" i="4"/>
  <c r="G39" i="4"/>
  <c r="H39" i="4" s="1"/>
  <c r="F39" i="4"/>
  <c r="H69" i="3"/>
  <c r="G69" i="3"/>
  <c r="F69" i="3"/>
  <c r="Y54" i="7" l="1"/>
  <c r="Z54" i="7" s="1"/>
  <c r="X54" i="7"/>
  <c r="Y53" i="7"/>
  <c r="Z53" i="7" s="1"/>
  <c r="X53" i="7"/>
  <c r="S53" i="7"/>
  <c r="S52" i="7" s="1"/>
  <c r="S51" i="7" s="1"/>
  <c r="S50" i="7" s="1"/>
  <c r="S49" i="7" s="1"/>
  <c r="S48" i="7" s="1"/>
  <c r="S47" i="7" s="1"/>
  <c r="S46" i="7" s="1"/>
  <c r="S45" i="7" s="1"/>
  <c r="S44" i="7" s="1"/>
  <c r="S43" i="7" s="1"/>
  <c r="S42" i="7" s="1"/>
  <c r="S41" i="7" s="1"/>
  <c r="S40" i="7" s="1"/>
  <c r="S39" i="7" s="1"/>
  <c r="S38" i="7" s="1"/>
  <c r="S37" i="7" s="1"/>
  <c r="S36" i="7" s="1"/>
  <c r="S35" i="7" s="1"/>
  <c r="S34" i="7" s="1"/>
  <c r="S33" i="7" s="1"/>
  <c r="S32" i="7" s="1"/>
  <c r="S31" i="7" s="1"/>
  <c r="S30" i="7" s="1"/>
  <c r="S29" i="7" s="1"/>
  <c r="S28" i="7" s="1"/>
  <c r="S27" i="7" s="1"/>
  <c r="S26" i="7" s="1"/>
  <c r="S25" i="7" s="1"/>
  <c r="S24" i="7" s="1"/>
  <c r="S23" i="7" s="1"/>
  <c r="S22" i="7" s="1"/>
  <c r="S21" i="7" s="1"/>
  <c r="S20" i="7" s="1"/>
  <c r="S19" i="7" s="1"/>
  <c r="S18" i="7" s="1"/>
  <c r="S17" i="7" s="1"/>
  <c r="S16" i="7" s="1"/>
  <c r="S15" i="7" s="1"/>
  <c r="S14" i="7" s="1"/>
  <c r="S13" i="7" s="1"/>
  <c r="S12" i="7" s="1"/>
  <c r="S11" i="7" s="1"/>
  <c r="S10" i="7" s="1"/>
  <c r="S9" i="7" s="1"/>
  <c r="S8" i="7" s="1"/>
  <c r="S7" i="7" s="1"/>
  <c r="S6" i="7" s="1"/>
  <c r="S5" i="7" s="1"/>
  <c r="S4" i="7" s="1"/>
  <c r="S3" i="7" s="1"/>
  <c r="S2" i="7" s="1"/>
  <c r="S1" i="7" s="1"/>
  <c r="Y52" i="7"/>
  <c r="Z52" i="7" s="1"/>
  <c r="X52" i="7"/>
  <c r="Y51" i="7"/>
  <c r="X51" i="7"/>
  <c r="Y50" i="7"/>
  <c r="Z50" i="7" s="1"/>
  <c r="X50" i="7"/>
  <c r="P50" i="7"/>
  <c r="Q50" i="7" s="1"/>
  <c r="O50" i="7"/>
  <c r="H50" i="7"/>
  <c r="G50" i="7"/>
  <c r="F50" i="7"/>
  <c r="Y49" i="7"/>
  <c r="Z49" i="7" s="1"/>
  <c r="X49" i="7"/>
  <c r="P49" i="7"/>
  <c r="Q49" i="7" s="1"/>
  <c r="O49" i="7"/>
  <c r="G49" i="7"/>
  <c r="H49" i="7" s="1"/>
  <c r="F49" i="7"/>
  <c r="Y48" i="7"/>
  <c r="Z48" i="7" s="1"/>
  <c r="X48" i="7"/>
  <c r="P48" i="7"/>
  <c r="O48" i="7"/>
  <c r="G48" i="7"/>
  <c r="H48" i="7" s="1"/>
  <c r="F48" i="7"/>
  <c r="Y47" i="7"/>
  <c r="X47" i="7"/>
  <c r="P47" i="7"/>
  <c r="Q47" i="7" s="1"/>
  <c r="O47" i="7"/>
  <c r="G47" i="7"/>
  <c r="F47" i="7"/>
  <c r="A47" i="7"/>
  <c r="A48" i="7" s="1"/>
  <c r="A49" i="7" s="1"/>
  <c r="A50" i="7" s="1"/>
  <c r="Y46" i="7"/>
  <c r="Z46" i="7" s="1"/>
  <c r="X46" i="7"/>
  <c r="P46" i="7"/>
  <c r="Q46" i="7" s="1"/>
  <c r="O46" i="7"/>
  <c r="G46" i="7"/>
  <c r="H46" i="7" s="1"/>
  <c r="F46" i="7"/>
  <c r="Y45" i="7"/>
  <c r="Z45" i="7" s="1"/>
  <c r="X45" i="7"/>
  <c r="P45" i="7"/>
  <c r="Q45" i="7" s="1"/>
  <c r="O45" i="7"/>
  <c r="G45" i="7"/>
  <c r="H45" i="7" s="1"/>
  <c r="F45" i="7"/>
  <c r="Y44" i="7"/>
  <c r="X44" i="7"/>
  <c r="P44" i="7"/>
  <c r="O44" i="7"/>
  <c r="J44" i="7"/>
  <c r="J45" i="7" s="1"/>
  <c r="J46" i="7" s="1"/>
  <c r="J47" i="7" s="1"/>
  <c r="J48" i="7" s="1"/>
  <c r="J49" i="7" s="1"/>
  <c r="J50" i="7" s="1"/>
  <c r="G44" i="7"/>
  <c r="F44" i="7"/>
  <c r="Y43" i="7"/>
  <c r="Z43" i="7" s="1"/>
  <c r="X43" i="7"/>
  <c r="P43" i="7"/>
  <c r="O43" i="7"/>
  <c r="G43" i="7"/>
  <c r="H43" i="7" s="1"/>
  <c r="F43" i="7"/>
  <c r="Z42" i="7"/>
  <c r="Y42" i="7"/>
  <c r="X42" i="7"/>
  <c r="P42" i="7"/>
  <c r="Q41" i="7" s="1"/>
  <c r="O42" i="7"/>
  <c r="J42" i="7"/>
  <c r="G42" i="7"/>
  <c r="H42" i="7" s="1"/>
  <c r="F42" i="7"/>
  <c r="A42" i="7"/>
  <c r="Y41" i="7"/>
  <c r="X41" i="7"/>
  <c r="P41" i="7"/>
  <c r="O41" i="7"/>
  <c r="J41" i="7"/>
  <c r="J40" i="7" s="1"/>
  <c r="J39" i="7" s="1"/>
  <c r="J38" i="7" s="1"/>
  <c r="J37" i="7" s="1"/>
  <c r="J36" i="7" s="1"/>
  <c r="J35" i="7" s="1"/>
  <c r="J34" i="7" s="1"/>
  <c r="J33" i="7" s="1"/>
  <c r="J32" i="7" s="1"/>
  <c r="J31" i="7" s="1"/>
  <c r="J30" i="7" s="1"/>
  <c r="J29" i="7" s="1"/>
  <c r="J28" i="7" s="1"/>
  <c r="J27" i="7" s="1"/>
  <c r="J26" i="7" s="1"/>
  <c r="J25" i="7" s="1"/>
  <c r="J24" i="7" s="1"/>
  <c r="J23" i="7" s="1"/>
  <c r="J22" i="7" s="1"/>
  <c r="J21" i="7" s="1"/>
  <c r="J20" i="7" s="1"/>
  <c r="J19" i="7" s="1"/>
  <c r="J18" i="7" s="1"/>
  <c r="J17" i="7" s="1"/>
  <c r="J16" i="7" s="1"/>
  <c r="J15" i="7" s="1"/>
  <c r="J14" i="7" s="1"/>
  <c r="J13" i="7" s="1"/>
  <c r="J12" i="7" s="1"/>
  <c r="J11" i="7" s="1"/>
  <c r="G41" i="7"/>
  <c r="H41" i="7" s="1"/>
  <c r="F41" i="7"/>
  <c r="Y40" i="7"/>
  <c r="Z40" i="7" s="1"/>
  <c r="X40" i="7"/>
  <c r="P40" i="7"/>
  <c r="O40" i="7"/>
  <c r="G40" i="7"/>
  <c r="F40" i="7"/>
  <c r="Y39" i="7"/>
  <c r="Z39" i="7" s="1"/>
  <c r="X39" i="7"/>
  <c r="P39" i="7"/>
  <c r="O39" i="7"/>
  <c r="Y38" i="7"/>
  <c r="X38" i="7"/>
  <c r="P38" i="7"/>
  <c r="Q38" i="7" s="1"/>
  <c r="O38" i="7"/>
  <c r="Y37" i="7"/>
  <c r="Z37" i="7" s="1"/>
  <c r="X37" i="7"/>
  <c r="P37" i="7"/>
  <c r="O37" i="7"/>
  <c r="Y36" i="7"/>
  <c r="X36" i="7"/>
  <c r="P36" i="7"/>
  <c r="Q36" i="7" s="1"/>
  <c r="O36" i="7"/>
  <c r="Y35" i="7"/>
  <c r="Z35" i="7" s="1"/>
  <c r="X35" i="7"/>
  <c r="P35" i="7"/>
  <c r="O35" i="7"/>
  <c r="Y34" i="7"/>
  <c r="X34" i="7"/>
  <c r="P34" i="7"/>
  <c r="Q34" i="7" s="1"/>
  <c r="O34" i="7"/>
  <c r="Y33" i="7"/>
  <c r="Z33" i="7" s="1"/>
  <c r="X33" i="7"/>
  <c r="P33" i="7"/>
  <c r="O33" i="7"/>
  <c r="Y32" i="7"/>
  <c r="X32" i="7"/>
  <c r="P32" i="7"/>
  <c r="Q32" i="7" s="1"/>
  <c r="O32" i="7"/>
  <c r="Y31" i="7"/>
  <c r="Z31" i="7" s="1"/>
  <c r="X31" i="7"/>
  <c r="P31" i="7"/>
  <c r="O31" i="7"/>
  <c r="Y30" i="7"/>
  <c r="X30" i="7"/>
  <c r="P30" i="7"/>
  <c r="Q30" i="7" s="1"/>
  <c r="O30" i="7"/>
  <c r="Y29" i="7"/>
  <c r="Z29" i="7" s="1"/>
  <c r="X29" i="7"/>
  <c r="P29" i="7"/>
  <c r="O29" i="7"/>
  <c r="Y28" i="7"/>
  <c r="X28" i="7"/>
  <c r="P28" i="7"/>
  <c r="Q28" i="7" s="1"/>
  <c r="O28" i="7"/>
  <c r="Y27" i="7"/>
  <c r="Z27" i="7" s="1"/>
  <c r="X27" i="7"/>
  <c r="P27" i="7"/>
  <c r="O27" i="7"/>
  <c r="Y26" i="7"/>
  <c r="X26" i="7"/>
  <c r="P26" i="7"/>
  <c r="Q26" i="7" s="1"/>
  <c r="O26" i="7"/>
  <c r="Y25" i="7"/>
  <c r="Z25" i="7" s="1"/>
  <c r="X25" i="7"/>
  <c r="P25" i="7"/>
  <c r="O25" i="7"/>
  <c r="Y24" i="7"/>
  <c r="X24" i="7"/>
  <c r="P24" i="7"/>
  <c r="Q24" i="7" s="1"/>
  <c r="O24" i="7"/>
  <c r="Y23" i="7"/>
  <c r="Z23" i="7" s="1"/>
  <c r="X23" i="7"/>
  <c r="P23" i="7"/>
  <c r="O23" i="7"/>
  <c r="Y22" i="7"/>
  <c r="X22" i="7"/>
  <c r="P22" i="7"/>
  <c r="Q22" i="7" s="1"/>
  <c r="O22" i="7"/>
  <c r="Y21" i="7"/>
  <c r="Z21" i="7" s="1"/>
  <c r="X21" i="7"/>
  <c r="P21" i="7"/>
  <c r="O21" i="7"/>
  <c r="Y20" i="7"/>
  <c r="X20" i="7"/>
  <c r="P20" i="7"/>
  <c r="Q20" i="7" s="1"/>
  <c r="O20" i="7"/>
  <c r="Y19" i="7"/>
  <c r="Z19" i="7" s="1"/>
  <c r="X19" i="7"/>
  <c r="P19" i="7"/>
  <c r="O19" i="7"/>
  <c r="Y18" i="7"/>
  <c r="X18" i="7"/>
  <c r="P18" i="7"/>
  <c r="Q18" i="7" s="1"/>
  <c r="O18" i="7"/>
  <c r="Y17" i="7"/>
  <c r="Z17" i="7" s="1"/>
  <c r="X17" i="7"/>
  <c r="P17" i="7"/>
  <c r="O17" i="7"/>
  <c r="Y16" i="7"/>
  <c r="X16" i="7"/>
  <c r="P16" i="7"/>
  <c r="Q16" i="7" s="1"/>
  <c r="O16" i="7"/>
  <c r="Y15" i="7"/>
  <c r="Z15" i="7" s="1"/>
  <c r="X15" i="7"/>
  <c r="P15" i="7"/>
  <c r="O15" i="7"/>
  <c r="Y14" i="7"/>
  <c r="X14" i="7"/>
  <c r="P14" i="7"/>
  <c r="Q14" i="7" s="1"/>
  <c r="O14" i="7"/>
  <c r="Y13" i="7"/>
  <c r="Z13" i="7" s="1"/>
  <c r="X13" i="7"/>
  <c r="P13" i="7"/>
  <c r="O13" i="7"/>
  <c r="Y12" i="7"/>
  <c r="X12" i="7"/>
  <c r="P12" i="7"/>
  <c r="Q12" i="7" s="1"/>
  <c r="O12" i="7"/>
  <c r="Y11" i="7"/>
  <c r="Z11" i="7" s="1"/>
  <c r="X11" i="7"/>
  <c r="P11" i="7"/>
  <c r="O11" i="7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11" i="4"/>
  <c r="H41" i="4"/>
  <c r="H42" i="4"/>
  <c r="H43" i="4"/>
  <c r="H44" i="4"/>
  <c r="H45" i="4"/>
  <c r="H46" i="4"/>
  <c r="H47" i="4"/>
  <c r="H48" i="4"/>
  <c r="H49" i="4"/>
  <c r="H50" i="4"/>
  <c r="H40" i="4"/>
  <c r="Z42" i="3"/>
  <c r="Z49" i="3"/>
  <c r="Z50" i="3"/>
  <c r="Z57" i="3"/>
  <c r="Z58" i="3"/>
  <c r="Z65" i="3"/>
  <c r="Z66" i="3"/>
  <c r="Z80" i="3"/>
  <c r="Z82" i="3"/>
  <c r="Q42" i="3"/>
  <c r="Q46" i="3"/>
  <c r="Q50" i="3"/>
  <c r="Q54" i="3"/>
  <c r="Q58" i="3"/>
  <c r="Q62" i="3"/>
  <c r="Q66" i="3"/>
  <c r="Q70" i="3"/>
  <c r="Q77" i="3"/>
  <c r="H72" i="3"/>
  <c r="H75" i="3"/>
  <c r="Z84" i="6"/>
  <c r="Y84" i="6"/>
  <c r="Z83" i="6"/>
  <c r="Y83" i="6"/>
  <c r="T83" i="6"/>
  <c r="T82" i="6" s="1"/>
  <c r="T81" i="6" s="1"/>
  <c r="T80" i="6" s="1"/>
  <c r="T79" i="6" s="1"/>
  <c r="T78" i="6" s="1"/>
  <c r="T77" i="6" s="1"/>
  <c r="T76" i="6" s="1"/>
  <c r="T75" i="6" s="1"/>
  <c r="T74" i="6" s="1"/>
  <c r="T73" i="6" s="1"/>
  <c r="T72" i="6" s="1"/>
  <c r="T71" i="6" s="1"/>
  <c r="T70" i="6" s="1"/>
  <c r="T69" i="6" s="1"/>
  <c r="T68" i="6" s="1"/>
  <c r="T67" i="6" s="1"/>
  <c r="T66" i="6" s="1"/>
  <c r="T65" i="6" s="1"/>
  <c r="T64" i="6" s="1"/>
  <c r="T63" i="6" s="1"/>
  <c r="T62" i="6" s="1"/>
  <c r="T61" i="6" s="1"/>
  <c r="T60" i="6" s="1"/>
  <c r="T59" i="6" s="1"/>
  <c r="T58" i="6" s="1"/>
  <c r="T57" i="6" s="1"/>
  <c r="T56" i="6" s="1"/>
  <c r="T55" i="6" s="1"/>
  <c r="T54" i="6" s="1"/>
  <c r="T53" i="6" s="1"/>
  <c r="T52" i="6" s="1"/>
  <c r="T51" i="6" s="1"/>
  <c r="T50" i="6" s="1"/>
  <c r="T49" i="6" s="1"/>
  <c r="T48" i="6" s="1"/>
  <c r="T47" i="6" s="1"/>
  <c r="T46" i="6" s="1"/>
  <c r="T45" i="6" s="1"/>
  <c r="T44" i="6" s="1"/>
  <c r="T43" i="6" s="1"/>
  <c r="T42" i="6" s="1"/>
  <c r="T41" i="6" s="1"/>
  <c r="T40" i="6" s="1"/>
  <c r="T39" i="6" s="1"/>
  <c r="T38" i="6" s="1"/>
  <c r="T37" i="6" s="1"/>
  <c r="T36" i="6" s="1"/>
  <c r="T35" i="6" s="1"/>
  <c r="T34" i="6" s="1"/>
  <c r="T33" i="6" s="1"/>
  <c r="T32" i="6" s="1"/>
  <c r="T31" i="6" s="1"/>
  <c r="Z82" i="6"/>
  <c r="Y82" i="6"/>
  <c r="Z81" i="6"/>
  <c r="AA81" i="6" s="1"/>
  <c r="Y81" i="6"/>
  <c r="Z80" i="6"/>
  <c r="Y80" i="6"/>
  <c r="P80" i="6"/>
  <c r="O80" i="6"/>
  <c r="G80" i="6"/>
  <c r="F80" i="6"/>
  <c r="Z79" i="6"/>
  <c r="Y79" i="6"/>
  <c r="P79" i="6"/>
  <c r="O79" i="6"/>
  <c r="G79" i="6"/>
  <c r="F79" i="6"/>
  <c r="Z78" i="6"/>
  <c r="Y78" i="6"/>
  <c r="P78" i="6"/>
  <c r="O78" i="6"/>
  <c r="G78" i="6"/>
  <c r="F78" i="6"/>
  <c r="Z77" i="6"/>
  <c r="Y77" i="6"/>
  <c r="P77" i="6"/>
  <c r="O77" i="6"/>
  <c r="G77" i="6"/>
  <c r="F77" i="6"/>
  <c r="A77" i="6"/>
  <c r="A78" i="6" s="1"/>
  <c r="A79" i="6" s="1"/>
  <c r="A80" i="6" s="1"/>
  <c r="Z76" i="6"/>
  <c r="Y76" i="6"/>
  <c r="P76" i="6"/>
  <c r="O76" i="6"/>
  <c r="G76" i="6"/>
  <c r="F76" i="6"/>
  <c r="Z75" i="6"/>
  <c r="Y75" i="6"/>
  <c r="P75" i="6"/>
  <c r="O75" i="6"/>
  <c r="G75" i="6"/>
  <c r="F75" i="6"/>
  <c r="Z74" i="6"/>
  <c r="Y74" i="6"/>
  <c r="P74" i="6"/>
  <c r="O74" i="6"/>
  <c r="J74" i="6"/>
  <c r="J75" i="6" s="1"/>
  <c r="J76" i="6" s="1"/>
  <c r="J77" i="6" s="1"/>
  <c r="J78" i="6" s="1"/>
  <c r="J79" i="6" s="1"/>
  <c r="J80" i="6" s="1"/>
  <c r="G74" i="6"/>
  <c r="F74" i="6"/>
  <c r="Z73" i="6"/>
  <c r="AA73" i="6" s="1"/>
  <c r="Y73" i="6"/>
  <c r="P73" i="6"/>
  <c r="O73" i="6"/>
  <c r="G73" i="6"/>
  <c r="F73" i="6"/>
  <c r="Z72" i="6"/>
  <c r="Y72" i="6"/>
  <c r="P72" i="6"/>
  <c r="O72" i="6"/>
  <c r="J72" i="6"/>
  <c r="J71" i="6" s="1"/>
  <c r="J70" i="6" s="1"/>
  <c r="J69" i="6" s="1"/>
  <c r="J68" i="6" s="1"/>
  <c r="J67" i="6" s="1"/>
  <c r="J66" i="6" s="1"/>
  <c r="J65" i="6" s="1"/>
  <c r="J64" i="6" s="1"/>
  <c r="J63" i="6" s="1"/>
  <c r="J62" i="6" s="1"/>
  <c r="J61" i="6" s="1"/>
  <c r="J60" i="6" s="1"/>
  <c r="J59" i="6" s="1"/>
  <c r="J58" i="6" s="1"/>
  <c r="J57" i="6" s="1"/>
  <c r="J56" i="6" s="1"/>
  <c r="J55" i="6" s="1"/>
  <c r="J54" i="6" s="1"/>
  <c r="J53" i="6" s="1"/>
  <c r="J52" i="6" s="1"/>
  <c r="J51" i="6" s="1"/>
  <c r="J50" i="6" s="1"/>
  <c r="J49" i="6" s="1"/>
  <c r="J48" i="6" s="1"/>
  <c r="J47" i="6" s="1"/>
  <c r="J46" i="6" s="1"/>
  <c r="J45" i="6" s="1"/>
  <c r="J44" i="6" s="1"/>
  <c r="J43" i="6" s="1"/>
  <c r="J42" i="6" s="1"/>
  <c r="J41" i="6" s="1"/>
  <c r="G72" i="6"/>
  <c r="F72" i="6"/>
  <c r="A72" i="6"/>
  <c r="Z71" i="6"/>
  <c r="AA71" i="6" s="1"/>
  <c r="Y71" i="6"/>
  <c r="P71" i="6"/>
  <c r="Q71" i="6" s="1"/>
  <c r="O71" i="6"/>
  <c r="G71" i="6"/>
  <c r="F71" i="6"/>
  <c r="Z70" i="6"/>
  <c r="Y70" i="6"/>
  <c r="P70" i="6"/>
  <c r="Q70" i="6" s="1"/>
  <c r="O70" i="6"/>
  <c r="G70" i="6"/>
  <c r="F70" i="6"/>
  <c r="Z69" i="6"/>
  <c r="Y69" i="6"/>
  <c r="P69" i="6"/>
  <c r="O69" i="6"/>
  <c r="Z68" i="6"/>
  <c r="Y68" i="6"/>
  <c r="P68" i="6"/>
  <c r="O68" i="6"/>
  <c r="Z67" i="6"/>
  <c r="Y67" i="6"/>
  <c r="P67" i="6"/>
  <c r="O67" i="6"/>
  <c r="Z66" i="6"/>
  <c r="Y66" i="6"/>
  <c r="P66" i="6"/>
  <c r="O66" i="6"/>
  <c r="Z65" i="6"/>
  <c r="Y65" i="6"/>
  <c r="P65" i="6"/>
  <c r="O65" i="6"/>
  <c r="Z64" i="6"/>
  <c r="Y64" i="6"/>
  <c r="P64" i="6"/>
  <c r="O64" i="6"/>
  <c r="Z63" i="6"/>
  <c r="Y63" i="6"/>
  <c r="P63" i="6"/>
  <c r="O63" i="6"/>
  <c r="Z62" i="6"/>
  <c r="Y62" i="6"/>
  <c r="P62" i="6"/>
  <c r="O62" i="6"/>
  <c r="Z61" i="6"/>
  <c r="AA61" i="6" s="1"/>
  <c r="Y61" i="6"/>
  <c r="P61" i="6"/>
  <c r="O61" i="6"/>
  <c r="Z60" i="6"/>
  <c r="Y60" i="6"/>
  <c r="P60" i="6"/>
  <c r="O60" i="6"/>
  <c r="Z59" i="6"/>
  <c r="AA59" i="6" s="1"/>
  <c r="Y59" i="6"/>
  <c r="P59" i="6"/>
  <c r="O59" i="6"/>
  <c r="Z58" i="6"/>
  <c r="Y58" i="6"/>
  <c r="P58" i="6"/>
  <c r="O58" i="6"/>
  <c r="Z57" i="6"/>
  <c r="AA57" i="6" s="1"/>
  <c r="Y57" i="6"/>
  <c r="P57" i="6"/>
  <c r="O57" i="6"/>
  <c r="Z56" i="6"/>
  <c r="Y56" i="6"/>
  <c r="P56" i="6"/>
  <c r="O56" i="6"/>
  <c r="Z55" i="6"/>
  <c r="AA55" i="6" s="1"/>
  <c r="Y55" i="6"/>
  <c r="P55" i="6"/>
  <c r="O55" i="6"/>
  <c r="Z54" i="6"/>
  <c r="Y54" i="6"/>
  <c r="P54" i="6"/>
  <c r="O54" i="6"/>
  <c r="Z53" i="6"/>
  <c r="AA53" i="6" s="1"/>
  <c r="Y53" i="6"/>
  <c r="P53" i="6"/>
  <c r="O53" i="6"/>
  <c r="Z52" i="6"/>
  <c r="Y52" i="6"/>
  <c r="P52" i="6"/>
  <c r="O52" i="6"/>
  <c r="Z51" i="6"/>
  <c r="AA51" i="6" s="1"/>
  <c r="Y51" i="6"/>
  <c r="P51" i="6"/>
  <c r="O51" i="6"/>
  <c r="Z50" i="6"/>
  <c r="Y50" i="6"/>
  <c r="P50" i="6"/>
  <c r="O50" i="6"/>
  <c r="Z49" i="6"/>
  <c r="AA49" i="6" s="1"/>
  <c r="Y49" i="6"/>
  <c r="P49" i="6"/>
  <c r="O49" i="6"/>
  <c r="Z48" i="6"/>
  <c r="Y48" i="6"/>
  <c r="P48" i="6"/>
  <c r="O48" i="6"/>
  <c r="Z47" i="6"/>
  <c r="AA47" i="6" s="1"/>
  <c r="Y47" i="6"/>
  <c r="P47" i="6"/>
  <c r="O47" i="6"/>
  <c r="Z46" i="6"/>
  <c r="Y46" i="6"/>
  <c r="P46" i="6"/>
  <c r="O46" i="6"/>
  <c r="Z45" i="6"/>
  <c r="AA45" i="6" s="1"/>
  <c r="Y45" i="6"/>
  <c r="P45" i="6"/>
  <c r="O45" i="6"/>
  <c r="Z44" i="6"/>
  <c r="Y44" i="6"/>
  <c r="P44" i="6"/>
  <c r="O44" i="6"/>
  <c r="Z43" i="6"/>
  <c r="AA43" i="6" s="1"/>
  <c r="Y43" i="6"/>
  <c r="P43" i="6"/>
  <c r="O43" i="6"/>
  <c r="Z42" i="6"/>
  <c r="Y42" i="6"/>
  <c r="P42" i="6"/>
  <c r="O42" i="6"/>
  <c r="Z41" i="6"/>
  <c r="AA41" i="6" s="1"/>
  <c r="Y41" i="6"/>
  <c r="P41" i="6"/>
  <c r="O41" i="6"/>
  <c r="P50" i="4"/>
  <c r="O50" i="4"/>
  <c r="P80" i="3"/>
  <c r="Q80" i="3" s="1"/>
  <c r="O80" i="3"/>
  <c r="P49" i="4"/>
  <c r="O49" i="4"/>
  <c r="P79" i="3"/>
  <c r="Q79" i="3" s="1"/>
  <c r="O79" i="3"/>
  <c r="P48" i="4"/>
  <c r="O48" i="4"/>
  <c r="P78" i="3"/>
  <c r="O78" i="3"/>
  <c r="P47" i="4"/>
  <c r="O47" i="4"/>
  <c r="J48" i="4"/>
  <c r="J49" i="4" s="1"/>
  <c r="J50" i="4" s="1"/>
  <c r="J47" i="4"/>
  <c r="P77" i="3"/>
  <c r="O77" i="3"/>
  <c r="O41" i="3"/>
  <c r="P41" i="3"/>
  <c r="Q41" i="3" s="1"/>
  <c r="O42" i="3"/>
  <c r="P42" i="3"/>
  <c r="O43" i="3"/>
  <c r="P43" i="3"/>
  <c r="O44" i="3"/>
  <c r="P44" i="3"/>
  <c r="Q43" i="3" s="1"/>
  <c r="O45" i="3"/>
  <c r="P45" i="3"/>
  <c r="Q45" i="3" s="1"/>
  <c r="O46" i="3"/>
  <c r="P46" i="3"/>
  <c r="O47" i="3"/>
  <c r="P47" i="3"/>
  <c r="Q47" i="3" s="1"/>
  <c r="O48" i="3"/>
  <c r="P48" i="3"/>
  <c r="Q48" i="3" s="1"/>
  <c r="O49" i="3"/>
  <c r="P49" i="3"/>
  <c r="Q49" i="3" s="1"/>
  <c r="O50" i="3"/>
  <c r="P50" i="3"/>
  <c r="O51" i="3"/>
  <c r="P51" i="3"/>
  <c r="O52" i="3"/>
  <c r="P52" i="3"/>
  <c r="Q51" i="3" s="1"/>
  <c r="O53" i="3"/>
  <c r="P53" i="3"/>
  <c r="Q53" i="3" s="1"/>
  <c r="O54" i="3"/>
  <c r="P54" i="3"/>
  <c r="O55" i="3"/>
  <c r="P55" i="3"/>
  <c r="Q55" i="3" s="1"/>
  <c r="O56" i="3"/>
  <c r="P56" i="3"/>
  <c r="Q56" i="3" s="1"/>
  <c r="O57" i="3"/>
  <c r="P57" i="3"/>
  <c r="Q57" i="3" s="1"/>
  <c r="O58" i="3"/>
  <c r="P58" i="3"/>
  <c r="O59" i="3"/>
  <c r="P59" i="3"/>
  <c r="O60" i="3"/>
  <c r="P60" i="3"/>
  <c r="Q59" i="3" s="1"/>
  <c r="O61" i="3"/>
  <c r="P61" i="3"/>
  <c r="Q60" i="3" s="1"/>
  <c r="O62" i="3"/>
  <c r="P62" i="3"/>
  <c r="O63" i="3"/>
  <c r="P63" i="3"/>
  <c r="Q63" i="3" s="1"/>
  <c r="O64" i="3"/>
  <c r="P64" i="3"/>
  <c r="Q64" i="3" s="1"/>
  <c r="O65" i="3"/>
  <c r="P65" i="3"/>
  <c r="Q65" i="3" s="1"/>
  <c r="O66" i="3"/>
  <c r="P66" i="3"/>
  <c r="O67" i="3"/>
  <c r="P67" i="3"/>
  <c r="O68" i="3"/>
  <c r="P68" i="3"/>
  <c r="Q67" i="3" s="1"/>
  <c r="O69" i="3"/>
  <c r="P69" i="3"/>
  <c r="Q69" i="3" s="1"/>
  <c r="O70" i="3"/>
  <c r="P70" i="3"/>
  <c r="O71" i="3"/>
  <c r="P71" i="3"/>
  <c r="Q71" i="3" s="1"/>
  <c r="J72" i="3"/>
  <c r="J71" i="3" s="1"/>
  <c r="J70" i="3" s="1"/>
  <c r="J69" i="3" s="1"/>
  <c r="J68" i="3" s="1"/>
  <c r="J67" i="3" s="1"/>
  <c r="J66" i="3" s="1"/>
  <c r="J65" i="3" s="1"/>
  <c r="J64" i="3" s="1"/>
  <c r="J63" i="3" s="1"/>
  <c r="J62" i="3" s="1"/>
  <c r="J61" i="3" s="1"/>
  <c r="J60" i="3" s="1"/>
  <c r="J59" i="3" s="1"/>
  <c r="J58" i="3" s="1"/>
  <c r="J57" i="3" s="1"/>
  <c r="J56" i="3" s="1"/>
  <c r="J55" i="3" s="1"/>
  <c r="J54" i="3" s="1"/>
  <c r="J53" i="3" s="1"/>
  <c r="J52" i="3" s="1"/>
  <c r="J51" i="3" s="1"/>
  <c r="J50" i="3" s="1"/>
  <c r="J49" i="3" s="1"/>
  <c r="J48" i="3" s="1"/>
  <c r="J47" i="3" s="1"/>
  <c r="J46" i="3" s="1"/>
  <c r="J45" i="3" s="1"/>
  <c r="J44" i="3" s="1"/>
  <c r="J43" i="3" s="1"/>
  <c r="J42" i="3" s="1"/>
  <c r="J41" i="3" s="1"/>
  <c r="O72" i="3"/>
  <c r="P72" i="3"/>
  <c r="Q72" i="3" s="1"/>
  <c r="O73" i="3"/>
  <c r="P73" i="3"/>
  <c r="Q73" i="3" s="1"/>
  <c r="J74" i="3"/>
  <c r="O74" i="3"/>
  <c r="P74" i="3"/>
  <c r="J75" i="3"/>
  <c r="J76" i="3" s="1"/>
  <c r="J77" i="3" s="1"/>
  <c r="J78" i="3" s="1"/>
  <c r="J79" i="3" s="1"/>
  <c r="J80" i="3" s="1"/>
  <c r="O75" i="3"/>
  <c r="P75" i="3"/>
  <c r="Q74" i="3" s="1"/>
  <c r="O76" i="3"/>
  <c r="P76" i="3"/>
  <c r="Q76" i="3" s="1"/>
  <c r="P46" i="4"/>
  <c r="O46" i="4"/>
  <c r="P45" i="4"/>
  <c r="O45" i="4"/>
  <c r="P44" i="4"/>
  <c r="O44" i="4"/>
  <c r="J44" i="4"/>
  <c r="J45" i="4" s="1"/>
  <c r="J46" i="4" s="1"/>
  <c r="P43" i="4"/>
  <c r="O43" i="4"/>
  <c r="P42" i="4"/>
  <c r="O42" i="4"/>
  <c r="J42" i="4"/>
  <c r="P41" i="4"/>
  <c r="O41" i="4"/>
  <c r="J41" i="4"/>
  <c r="J40" i="4" s="1"/>
  <c r="J39" i="4" s="1"/>
  <c r="J38" i="4" s="1"/>
  <c r="J37" i="4" s="1"/>
  <c r="J36" i="4" s="1"/>
  <c r="J35" i="4" s="1"/>
  <c r="J34" i="4" s="1"/>
  <c r="J33" i="4" s="1"/>
  <c r="J32" i="4" s="1"/>
  <c r="J31" i="4" s="1"/>
  <c r="J30" i="4" s="1"/>
  <c r="J29" i="4" s="1"/>
  <c r="J28" i="4" s="1"/>
  <c r="J27" i="4" s="1"/>
  <c r="J26" i="4" s="1"/>
  <c r="J25" i="4" s="1"/>
  <c r="J24" i="4" s="1"/>
  <c r="J23" i="4" s="1"/>
  <c r="J22" i="4" s="1"/>
  <c r="J21" i="4" s="1"/>
  <c r="J20" i="4" s="1"/>
  <c r="J19" i="4" s="1"/>
  <c r="J18" i="4" s="1"/>
  <c r="J17" i="4" s="1"/>
  <c r="J16" i="4" s="1"/>
  <c r="J15" i="4" s="1"/>
  <c r="J14" i="4" s="1"/>
  <c r="J13" i="4" s="1"/>
  <c r="J12" i="4" s="1"/>
  <c r="J11" i="4" s="1"/>
  <c r="P40" i="4"/>
  <c r="O40" i="4"/>
  <c r="P39" i="4"/>
  <c r="O39" i="4"/>
  <c r="P38" i="4"/>
  <c r="O38" i="4"/>
  <c r="P37" i="4"/>
  <c r="O37" i="4"/>
  <c r="P36" i="4"/>
  <c r="O36" i="4"/>
  <c r="P35" i="4"/>
  <c r="O35" i="4"/>
  <c r="P34" i="4"/>
  <c r="O34" i="4"/>
  <c r="P33" i="4"/>
  <c r="O33" i="4"/>
  <c r="P32" i="4"/>
  <c r="O32" i="4"/>
  <c r="P31" i="4"/>
  <c r="O31" i="4"/>
  <c r="P30" i="4"/>
  <c r="O30" i="4"/>
  <c r="P29" i="4"/>
  <c r="O29" i="4"/>
  <c r="P28" i="4"/>
  <c r="O28" i="4"/>
  <c r="P27" i="4"/>
  <c r="O27" i="4"/>
  <c r="P26" i="4"/>
  <c r="O26" i="4"/>
  <c r="P25" i="4"/>
  <c r="O25" i="4"/>
  <c r="P24" i="4"/>
  <c r="O24" i="4"/>
  <c r="P23" i="4"/>
  <c r="O23" i="4"/>
  <c r="P22" i="4"/>
  <c r="O22" i="4"/>
  <c r="P21" i="4"/>
  <c r="O21" i="4"/>
  <c r="P20" i="4"/>
  <c r="O20" i="4"/>
  <c r="P19" i="4"/>
  <c r="O19" i="4"/>
  <c r="P18" i="4"/>
  <c r="O18" i="4"/>
  <c r="P17" i="4"/>
  <c r="O17" i="4"/>
  <c r="P16" i="4"/>
  <c r="O16" i="4"/>
  <c r="P15" i="4"/>
  <c r="O15" i="4"/>
  <c r="P14" i="4"/>
  <c r="O14" i="4"/>
  <c r="P13" i="4"/>
  <c r="O13" i="4"/>
  <c r="P12" i="4"/>
  <c r="O12" i="4"/>
  <c r="P11" i="4"/>
  <c r="O11" i="4"/>
  <c r="Y54" i="4"/>
  <c r="X54" i="4"/>
  <c r="Y53" i="4"/>
  <c r="X53" i="4"/>
  <c r="S53" i="4"/>
  <c r="S52" i="4" s="1"/>
  <c r="S51" i="4" s="1"/>
  <c r="S50" i="4" s="1"/>
  <c r="S49" i="4" s="1"/>
  <c r="S48" i="4" s="1"/>
  <c r="S47" i="4" s="1"/>
  <c r="S46" i="4" s="1"/>
  <c r="S45" i="4" s="1"/>
  <c r="S44" i="4" s="1"/>
  <c r="S43" i="4" s="1"/>
  <c r="S42" i="4" s="1"/>
  <c r="S41" i="4" s="1"/>
  <c r="S40" i="4" s="1"/>
  <c r="S39" i="4" s="1"/>
  <c r="S38" i="4" s="1"/>
  <c r="S37" i="4" s="1"/>
  <c r="S36" i="4" s="1"/>
  <c r="S35" i="4" s="1"/>
  <c r="S34" i="4" s="1"/>
  <c r="S33" i="4" s="1"/>
  <c r="S32" i="4" s="1"/>
  <c r="S31" i="4" s="1"/>
  <c r="S30" i="4" s="1"/>
  <c r="S29" i="4" s="1"/>
  <c r="S28" i="4" s="1"/>
  <c r="S27" i="4" s="1"/>
  <c r="S26" i="4" s="1"/>
  <c r="S25" i="4" s="1"/>
  <c r="S24" i="4" s="1"/>
  <c r="S23" i="4" s="1"/>
  <c r="S22" i="4" s="1"/>
  <c r="S21" i="4" s="1"/>
  <c r="S20" i="4" s="1"/>
  <c r="S19" i="4" s="1"/>
  <c r="S18" i="4" s="1"/>
  <c r="S17" i="4" s="1"/>
  <c r="S16" i="4" s="1"/>
  <c r="S15" i="4" s="1"/>
  <c r="S14" i="4" s="1"/>
  <c r="S13" i="4" s="1"/>
  <c r="S12" i="4" s="1"/>
  <c r="S11" i="4" s="1"/>
  <c r="S10" i="4" s="1"/>
  <c r="S9" i="4" s="1"/>
  <c r="S8" i="4" s="1"/>
  <c r="S7" i="4" s="1"/>
  <c r="S6" i="4" s="1"/>
  <c r="S5" i="4" s="1"/>
  <c r="S4" i="4" s="1"/>
  <c r="S3" i="4" s="1"/>
  <c r="S2" i="4" s="1"/>
  <c r="S1" i="4" s="1"/>
  <c r="Y52" i="4"/>
  <c r="X52" i="4"/>
  <c r="Y51" i="4"/>
  <c r="X51" i="4"/>
  <c r="Y50" i="4"/>
  <c r="X50" i="4"/>
  <c r="Y49" i="4"/>
  <c r="X49" i="4"/>
  <c r="Y48" i="4"/>
  <c r="X48" i="4"/>
  <c r="Y47" i="4"/>
  <c r="X47" i="4"/>
  <c r="Y46" i="4"/>
  <c r="X46" i="4"/>
  <c r="Y45" i="4"/>
  <c r="X45" i="4"/>
  <c r="Y44" i="4"/>
  <c r="X44" i="4"/>
  <c r="Y43" i="4"/>
  <c r="X43" i="4"/>
  <c r="Y42" i="4"/>
  <c r="X42" i="4"/>
  <c r="Y41" i="4"/>
  <c r="X41" i="4"/>
  <c r="Y40" i="4"/>
  <c r="X40" i="4"/>
  <c r="Y39" i="4"/>
  <c r="X39" i="4"/>
  <c r="Y38" i="4"/>
  <c r="X38" i="4"/>
  <c r="Y37" i="4"/>
  <c r="X37" i="4"/>
  <c r="Y36" i="4"/>
  <c r="X36" i="4"/>
  <c r="Y35" i="4"/>
  <c r="X35" i="4"/>
  <c r="Y34" i="4"/>
  <c r="X34" i="4"/>
  <c r="Y33" i="4"/>
  <c r="X33" i="4"/>
  <c r="Y32" i="4"/>
  <c r="X32" i="4"/>
  <c r="Y31" i="4"/>
  <c r="X31" i="4"/>
  <c r="Y30" i="4"/>
  <c r="X30" i="4"/>
  <c r="Y29" i="4"/>
  <c r="X29" i="4"/>
  <c r="Y28" i="4"/>
  <c r="X28" i="4"/>
  <c r="Y27" i="4"/>
  <c r="X27" i="4"/>
  <c r="Y26" i="4"/>
  <c r="X26" i="4"/>
  <c r="Y25" i="4"/>
  <c r="X25" i="4"/>
  <c r="Y24" i="4"/>
  <c r="X24" i="4"/>
  <c r="Y23" i="4"/>
  <c r="X23" i="4"/>
  <c r="Y22" i="4"/>
  <c r="X22" i="4"/>
  <c r="Y21" i="4"/>
  <c r="X21" i="4"/>
  <c r="Y20" i="4"/>
  <c r="X20" i="4"/>
  <c r="Y19" i="4"/>
  <c r="X19" i="4"/>
  <c r="Y18" i="4"/>
  <c r="X18" i="4"/>
  <c r="Y17" i="4"/>
  <c r="X17" i="4"/>
  <c r="Y16" i="4"/>
  <c r="X16" i="4"/>
  <c r="Y15" i="4"/>
  <c r="X15" i="4"/>
  <c r="Y14" i="4"/>
  <c r="X14" i="4"/>
  <c r="Y13" i="4"/>
  <c r="X13" i="4"/>
  <c r="Y12" i="4"/>
  <c r="X12" i="4"/>
  <c r="Y11" i="4"/>
  <c r="X11" i="4"/>
  <c r="G50" i="4"/>
  <c r="F50" i="4"/>
  <c r="G49" i="4"/>
  <c r="F49" i="4"/>
  <c r="G48" i="4"/>
  <c r="F48" i="4"/>
  <c r="G47" i="4"/>
  <c r="F47" i="4"/>
  <c r="A47" i="4"/>
  <c r="A48" i="4" s="1"/>
  <c r="A49" i="4" s="1"/>
  <c r="A50" i="4" s="1"/>
  <c r="G46" i="4"/>
  <c r="F46" i="4"/>
  <c r="G45" i="4"/>
  <c r="F45" i="4"/>
  <c r="G44" i="4"/>
  <c r="F44" i="4"/>
  <c r="G43" i="4"/>
  <c r="F43" i="4"/>
  <c r="G42" i="4"/>
  <c r="F42" i="4"/>
  <c r="A42" i="4"/>
  <c r="G41" i="4"/>
  <c r="F41" i="4"/>
  <c r="G40" i="4"/>
  <c r="F40" i="4"/>
  <c r="G80" i="3"/>
  <c r="H80" i="3" s="1"/>
  <c r="F80" i="3"/>
  <c r="G79" i="3"/>
  <c r="H79" i="3" s="1"/>
  <c r="F79" i="3"/>
  <c r="G78" i="3"/>
  <c r="H78" i="3" s="1"/>
  <c r="F78" i="3"/>
  <c r="X75" i="3"/>
  <c r="X73" i="3"/>
  <c r="X72" i="3"/>
  <c r="X71" i="3"/>
  <c r="X70" i="3"/>
  <c r="G77" i="3"/>
  <c r="H77" i="3" s="1"/>
  <c r="F77" i="3"/>
  <c r="A77" i="3"/>
  <c r="A78" i="3" s="1"/>
  <c r="A79" i="3" s="1"/>
  <c r="A80" i="3" s="1"/>
  <c r="G76" i="3"/>
  <c r="H76" i="3" s="1"/>
  <c r="F76" i="3"/>
  <c r="G75" i="3"/>
  <c r="F75" i="3"/>
  <c r="G74" i="3"/>
  <c r="H74" i="3" s="1"/>
  <c r="F74" i="3"/>
  <c r="G73" i="3"/>
  <c r="F73" i="3"/>
  <c r="G72" i="3"/>
  <c r="F72" i="3"/>
  <c r="A72" i="3"/>
  <c r="G71" i="3"/>
  <c r="H71" i="3" s="1"/>
  <c r="F71" i="3"/>
  <c r="G70" i="3"/>
  <c r="H70" i="3" s="1"/>
  <c r="F70" i="3"/>
  <c r="Y41" i="3"/>
  <c r="Z41" i="3" s="1"/>
  <c r="X41" i="3"/>
  <c r="Y42" i="3"/>
  <c r="X42" i="3"/>
  <c r="Y43" i="3"/>
  <c r="Z43" i="3" s="1"/>
  <c r="X43" i="3"/>
  <c r="Y44" i="3"/>
  <c r="Z44" i="3" s="1"/>
  <c r="X44" i="3"/>
  <c r="Y45" i="3"/>
  <c r="Z45" i="3" s="1"/>
  <c r="X45" i="3"/>
  <c r="Y46" i="3"/>
  <c r="Z46" i="3" s="1"/>
  <c r="X46" i="3"/>
  <c r="Y47" i="3"/>
  <c r="Z47" i="3" s="1"/>
  <c r="X47" i="3"/>
  <c r="Y48" i="3"/>
  <c r="Z48" i="3" s="1"/>
  <c r="X48" i="3"/>
  <c r="Y49" i="3"/>
  <c r="X49" i="3"/>
  <c r="Y50" i="3"/>
  <c r="X50" i="3"/>
  <c r="Y51" i="3"/>
  <c r="Z51" i="3" s="1"/>
  <c r="X51" i="3"/>
  <c r="Y52" i="3"/>
  <c r="Z52" i="3" s="1"/>
  <c r="X52" i="3"/>
  <c r="Y53" i="3"/>
  <c r="Z53" i="3" s="1"/>
  <c r="X53" i="3"/>
  <c r="Y54" i="3"/>
  <c r="Z54" i="3" s="1"/>
  <c r="X54" i="3"/>
  <c r="Y55" i="3"/>
  <c r="Z55" i="3" s="1"/>
  <c r="X55" i="3"/>
  <c r="Y56" i="3"/>
  <c r="Z56" i="3" s="1"/>
  <c r="X56" i="3"/>
  <c r="Y57" i="3"/>
  <c r="X57" i="3"/>
  <c r="Y58" i="3"/>
  <c r="X58" i="3"/>
  <c r="Y59" i="3"/>
  <c r="Z59" i="3" s="1"/>
  <c r="X59" i="3"/>
  <c r="Y60" i="3"/>
  <c r="Z60" i="3" s="1"/>
  <c r="X60" i="3"/>
  <c r="Y61" i="3"/>
  <c r="Z61" i="3" s="1"/>
  <c r="X61" i="3"/>
  <c r="Y62" i="3"/>
  <c r="Z62" i="3" s="1"/>
  <c r="X62" i="3"/>
  <c r="Y63" i="3"/>
  <c r="Z63" i="3" s="1"/>
  <c r="X63" i="3"/>
  <c r="Y64" i="3"/>
  <c r="Z64" i="3" s="1"/>
  <c r="X64" i="3"/>
  <c r="Y65" i="3"/>
  <c r="X65" i="3"/>
  <c r="Y66" i="3"/>
  <c r="X66" i="3"/>
  <c r="Y67" i="3"/>
  <c r="Z67" i="3" s="1"/>
  <c r="X67" i="3"/>
  <c r="Y68" i="3"/>
  <c r="Z68" i="3" s="1"/>
  <c r="X68" i="3"/>
  <c r="Y69" i="3"/>
  <c r="Z69" i="3" s="1"/>
  <c r="X69" i="3"/>
  <c r="Y70" i="3"/>
  <c r="Z70" i="3" s="1"/>
  <c r="Y71" i="3"/>
  <c r="Z71" i="3" s="1"/>
  <c r="Y72" i="3"/>
  <c r="Z72" i="3" s="1"/>
  <c r="Y73" i="3"/>
  <c r="Z73" i="3" s="1"/>
  <c r="Y74" i="3"/>
  <c r="Z74" i="3" s="1"/>
  <c r="X74" i="3"/>
  <c r="Y75" i="3"/>
  <c r="Z75" i="3" s="1"/>
  <c r="Y76" i="3"/>
  <c r="Z76" i="3" s="1"/>
  <c r="X76" i="3"/>
  <c r="Y77" i="3"/>
  <c r="Z77" i="3" s="1"/>
  <c r="X77" i="3"/>
  <c r="Y78" i="3"/>
  <c r="Z78" i="3" s="1"/>
  <c r="X78" i="3"/>
  <c r="Y79" i="3"/>
  <c r="Z79" i="3" s="1"/>
  <c r="X79" i="3"/>
  <c r="Y80" i="3"/>
  <c r="X80" i="3"/>
  <c r="Y81" i="3"/>
  <c r="X81" i="3"/>
  <c r="Y82" i="3"/>
  <c r="Z81" i="3" s="1"/>
  <c r="X82" i="3"/>
  <c r="Y83" i="3"/>
  <c r="Z83" i="3" s="1"/>
  <c r="X83" i="3"/>
  <c r="S83" i="3"/>
  <c r="S82" i="3" s="1"/>
  <c r="S81" i="3" s="1"/>
  <c r="S80" i="3" s="1"/>
  <c r="S79" i="3" s="1"/>
  <c r="S78" i="3" s="1"/>
  <c r="S77" i="3" s="1"/>
  <c r="S76" i="3" s="1"/>
  <c r="S75" i="3" s="1"/>
  <c r="S74" i="3" s="1"/>
  <c r="S73" i="3" s="1"/>
  <c r="S72" i="3" s="1"/>
  <c r="S71" i="3" s="1"/>
  <c r="S70" i="3" s="1"/>
  <c r="Y84" i="3"/>
  <c r="Z84" i="3" s="1"/>
  <c r="X84" i="3"/>
  <c r="P20" i="1"/>
  <c r="D48" i="1" s="1"/>
  <c r="O20" i="1"/>
  <c r="S21" i="1" s="1"/>
  <c r="P2" i="1"/>
  <c r="D47" i="1" s="1"/>
  <c r="O2" i="1"/>
  <c r="S3" i="1" s="1"/>
  <c r="D49" i="1" l="1"/>
  <c r="D52" i="1" s="1"/>
  <c r="Q44" i="7"/>
  <c r="H47" i="7"/>
  <c r="Q48" i="7"/>
  <c r="Z14" i="7"/>
  <c r="Z18" i="7"/>
  <c r="Z24" i="7"/>
  <c r="Z28" i="7"/>
  <c r="Z30" i="7"/>
  <c r="Z32" i="7"/>
  <c r="Z34" i="7"/>
  <c r="Z36" i="7"/>
  <c r="Z38" i="7"/>
  <c r="Q40" i="7"/>
  <c r="Q43" i="7"/>
  <c r="H40" i="7"/>
  <c r="Z20" i="7"/>
  <c r="Z41" i="7"/>
  <c r="Z44" i="7"/>
  <c r="Z47" i="7"/>
  <c r="H44" i="7"/>
  <c r="Z12" i="7"/>
  <c r="Z16" i="7"/>
  <c r="Z22" i="7"/>
  <c r="Z26" i="7"/>
  <c r="Q11" i="7"/>
  <c r="Q13" i="7"/>
  <c r="Q15" i="7"/>
  <c r="Q17" i="7"/>
  <c r="Q19" i="7"/>
  <c r="Q21" i="7"/>
  <c r="Q23" i="7"/>
  <c r="Q25" i="7"/>
  <c r="Q27" i="7"/>
  <c r="Q29" i="7"/>
  <c r="Q31" i="7"/>
  <c r="Q33" i="7"/>
  <c r="Q35" i="7"/>
  <c r="Q37" i="7"/>
  <c r="Q39" i="7"/>
  <c r="Z51" i="7"/>
  <c r="Q42" i="7"/>
  <c r="Q61" i="3"/>
  <c r="H73" i="3"/>
  <c r="Q52" i="3"/>
  <c r="Q44" i="3"/>
  <c r="Q75" i="3"/>
  <c r="Q78" i="3"/>
  <c r="Q68" i="3"/>
  <c r="Q74" i="6"/>
  <c r="AA63" i="6"/>
  <c r="AA65" i="6"/>
  <c r="AA67" i="6"/>
  <c r="AA82" i="6"/>
  <c r="AA79" i="6"/>
  <c r="AA72" i="6"/>
  <c r="H74" i="6"/>
  <c r="Q41" i="6"/>
  <c r="Q43" i="6"/>
  <c r="Q45" i="6"/>
  <c r="Q47" i="6"/>
  <c r="Q49" i="6"/>
  <c r="Q51" i="6"/>
  <c r="Q53" i="6"/>
  <c r="Q55" i="6"/>
  <c r="Q57" i="6"/>
  <c r="Q59" i="6"/>
  <c r="Q61" i="6"/>
  <c r="Q63" i="6"/>
  <c r="Q65" i="6"/>
  <c r="Q67" i="6"/>
  <c r="Q69" i="6"/>
  <c r="AA83" i="6"/>
  <c r="H73" i="6"/>
  <c r="H76" i="6"/>
  <c r="AA70" i="6"/>
  <c r="Q75" i="6"/>
  <c r="H72" i="6"/>
  <c r="Q48" i="6"/>
  <c r="Q54" i="6"/>
  <c r="Q62" i="6"/>
  <c r="H70" i="6"/>
  <c r="Q73" i="6"/>
  <c r="H75" i="6"/>
  <c r="Q44" i="6"/>
  <c r="Q52" i="6"/>
  <c r="Q56" i="6"/>
  <c r="Q60" i="6"/>
  <c r="Q64" i="6"/>
  <c r="Q66" i="6"/>
  <c r="Q72" i="6"/>
  <c r="AA75" i="6"/>
  <c r="Q42" i="6"/>
  <c r="Q46" i="6"/>
  <c r="Q50" i="6"/>
  <c r="Q58" i="6"/>
  <c r="Q68" i="6"/>
  <c r="AA69" i="6"/>
  <c r="AA78" i="6"/>
  <c r="AA77" i="6"/>
  <c r="AA76" i="6"/>
  <c r="AA42" i="6"/>
  <c r="AA44" i="6"/>
  <c r="AA46" i="6"/>
  <c r="AA48" i="6"/>
  <c r="AA50" i="6"/>
  <c r="AA52" i="6"/>
  <c r="AA54" i="6"/>
  <c r="AA56" i="6"/>
  <c r="AA58" i="6"/>
  <c r="AA60" i="6"/>
  <c r="AA62" i="6"/>
  <c r="AA64" i="6"/>
  <c r="AA66" i="6"/>
  <c r="AA68" i="6"/>
  <c r="AA80" i="6"/>
  <c r="AA74" i="6"/>
  <c r="H71" i="6"/>
  <c r="S69" i="3"/>
  <c r="S68" i="3" s="1"/>
  <c r="S67" i="3" s="1"/>
  <c r="S66" i="3" s="1"/>
  <c r="S65" i="3" s="1"/>
  <c r="S64" i="3" s="1"/>
  <c r="S63" i="3" s="1"/>
  <c r="S62" i="3" s="1"/>
  <c r="S61" i="3" s="1"/>
  <c r="S60" i="3" s="1"/>
  <c r="S59" i="3" s="1"/>
  <c r="S58" i="3" s="1"/>
  <c r="S57" i="3" s="1"/>
  <c r="S56" i="3" s="1"/>
  <c r="S55" i="3" s="1"/>
  <c r="S54" i="3" s="1"/>
  <c r="S53" i="3" s="1"/>
  <c r="S52" i="3" s="1"/>
  <c r="S51" i="3" s="1"/>
  <c r="S50" i="3" s="1"/>
  <c r="S49" i="3" s="1"/>
  <c r="S48" i="3" s="1"/>
  <c r="S47" i="3" s="1"/>
  <c r="S46" i="3" s="1"/>
  <c r="S45" i="3" s="1"/>
  <c r="S44" i="3" s="1"/>
  <c r="S43" i="3" s="1"/>
  <c r="S42" i="3" s="1"/>
  <c r="S41" i="3" s="1"/>
  <c r="S40" i="3" s="1"/>
  <c r="S39" i="3" s="1"/>
  <c r="S38" i="3" s="1"/>
  <c r="S37" i="3" s="1"/>
  <c r="S36" i="3" s="1"/>
  <c r="S35" i="3" s="1"/>
  <c r="S34" i="3" s="1"/>
  <c r="S33" i="3" s="1"/>
  <c r="S32" i="3" s="1"/>
  <c r="S31" i="3" s="1"/>
  <c r="P21" i="1"/>
  <c r="C48" i="1" s="1"/>
  <c r="O21" i="1"/>
  <c r="S25" i="1" s="1"/>
  <c r="P3" i="1"/>
  <c r="C47" i="1" s="1"/>
  <c r="O3" i="1"/>
  <c r="S7" i="1" s="1"/>
  <c r="D53" i="1" l="1"/>
  <c r="C49" i="1"/>
  <c r="C52" i="1" s="1"/>
  <c r="D54" i="1"/>
  <c r="P25" i="1"/>
  <c r="B48" i="1" s="1"/>
  <c r="O25" i="1"/>
  <c r="P7" i="1"/>
  <c r="B47" i="1" s="1"/>
  <c r="O7" i="1"/>
  <c r="A19" i="1" s="1"/>
  <c r="C54" i="1" l="1"/>
  <c r="B49" i="1"/>
  <c r="B52" i="1" s="1"/>
  <c r="C53" i="1"/>
  <c r="B54" i="1" l="1"/>
  <c r="B53" i="1"/>
</calcChain>
</file>

<file path=xl/sharedStrings.xml><?xml version="1.0" encoding="utf-8"?>
<sst xmlns="http://schemas.openxmlformats.org/spreadsheetml/2006/main" count="138" uniqueCount="48">
  <si>
    <t>KANSAS CITY SYMPHONY</t>
  </si>
  <si>
    <t>2025-26 Subscriptions</t>
  </si>
  <si>
    <t>2025-26</t>
  </si>
  <si>
    <t>Classical</t>
  </si>
  <si>
    <t>New Units</t>
  </si>
  <si>
    <t>New Revenue</t>
  </si>
  <si>
    <t>Renewal Units</t>
  </si>
  <si>
    <t>Renewal Revenue</t>
  </si>
  <si>
    <t>Total Units</t>
  </si>
  <si>
    <t>Total Revenue</t>
  </si>
  <si>
    <t>24-25</t>
  </si>
  <si>
    <t>Change</t>
  </si>
  <si>
    <t>Pops</t>
  </si>
  <si>
    <t>Final</t>
  </si>
  <si>
    <t>Renewal Rate</t>
  </si>
  <si>
    <t>Revenue</t>
  </si>
  <si>
    <t>23-24 Final</t>
  </si>
  <si>
    <t>22-23 Final</t>
  </si>
  <si>
    <t>Renewal</t>
  </si>
  <si>
    <t>CL</t>
  </si>
  <si>
    <t>25-26 CL</t>
  </si>
  <si>
    <t>Mionday</t>
  </si>
  <si>
    <t>Units</t>
  </si>
  <si>
    <t>New</t>
  </si>
  <si>
    <t>Total</t>
  </si>
  <si>
    <t>Reveune</t>
  </si>
  <si>
    <t>2024-25</t>
  </si>
  <si>
    <t>2023-24</t>
  </si>
  <si>
    <t>CYO</t>
  </si>
  <si>
    <t>23-24</t>
  </si>
  <si>
    <t>22-23</t>
  </si>
  <si>
    <t>PO</t>
  </si>
  <si>
    <t>To Goal</t>
  </si>
  <si>
    <t>Renew</t>
  </si>
  <si>
    <t>Retention</t>
  </si>
  <si>
    <t>POPS</t>
  </si>
  <si>
    <t>21-22</t>
  </si>
  <si>
    <t>20-21</t>
  </si>
  <si>
    <t>19-20</t>
  </si>
  <si>
    <t>18-19</t>
  </si>
  <si>
    <t>25-26</t>
  </si>
  <si>
    <t>Lost</t>
  </si>
  <si>
    <t>Added</t>
  </si>
  <si>
    <t>Net</t>
  </si>
  <si>
    <t>Prior</t>
  </si>
  <si>
    <t>Current</t>
  </si>
  <si>
    <t>Renewed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</si>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</sst>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2" applyNumberFormat="1" applyFont="1"/>
    <xf numFmtId="165" fontId="0" fillId="0" borderId="0" xfId="1" applyNumberFormat="1" applyFont="1"/>
    <xf numFmtId="0" fontId="2" fillId="0" borderId="0" xfId="0" applyFont="1"/>
    <xf numFmtId="164" fontId="2" fillId="0" borderId="0" xfId="2" applyNumberFormat="1" applyFont="1"/>
    <xf numFmtId="164" fontId="2" fillId="0" borderId="0" xfId="0" applyNumberFormat="1" applyFont="1"/>
    <xf numFmtId="164" fontId="0" fillId="0" borderId="0" xfId="0" applyNumberFormat="1"/>
    <xf numFmtId="9" fontId="0" fillId="0" borderId="0" xfId="3" applyFont="1"/>
    <xf numFmtId="165" fontId="0" fillId="0" borderId="0" xfId="1" applyNumberFormat="1" applyFont="1" applyFill="1"/>
    <xf numFmtId="164" fontId="0" fillId="0" borderId="0" xfId="2" applyNumberFormat="1" applyFont="1" applyFill="1"/>
    <xf numFmtId="164" fontId="2" fillId="0" borderId="0" xfId="2" applyNumberFormat="1" applyFont="1" applyFill="1"/>
    <xf numFmtId="165" fontId="0" fillId="0" borderId="0" xfId="0" applyNumberFormat="1"/>
    <xf numFmtId="43" fontId="0" fillId="0" borderId="0" xfId="0" applyNumberFormat="1"/>
    <xf numFmtId="16" fontId="0" fillId="0" borderId="0" xfId="0" applyNumberFormat="1"/>
    <xf numFmtId="165" fontId="0" fillId="0" borderId="0" xfId="3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3" fillId="0" borderId="0" xfId="0" applyFont="1"/>
    <xf numFmtId="165" fontId="3" fillId="0" borderId="0" xfId="1" applyNumberFormat="1" applyFon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 Graph'!$B$128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'CL Graph'!$B$129:$B$168</c:f>
              <c:numCache>
                <c:formatCode>General</c:formatCode>
                <c:ptCount val="40"/>
                <c:pt idx="29" formatCode="_(* #,##0_);_(* \(#,##0\);_(* &quot;-&quot;??_);_(@_)">
                  <c:v>122</c:v>
                </c:pt>
                <c:pt idx="30" formatCode="_(* #,##0_);_(* \(#,##0\);_(* &quot;-&quot;??_);_(@_)">
                  <c:v>121</c:v>
                </c:pt>
                <c:pt idx="31" formatCode="_(* #,##0_);_(* \(#,##0\);_(* &quot;-&quot;??_);_(@_)">
                  <c:v>112</c:v>
                </c:pt>
                <c:pt idx="32" formatCode="_(* #,##0_);_(* \(#,##0\);_(* &quot;-&quot;??_);_(@_)">
                  <c:v>76</c:v>
                </c:pt>
                <c:pt idx="33" formatCode="_(* #,##0_);_(* \(#,##0\);_(* &quot;-&quot;??_);_(@_)">
                  <c:v>50</c:v>
                </c:pt>
                <c:pt idx="34" formatCode="_(* #,##0_);_(* \(#,##0\);_(* &quot;-&quot;??_);_(@_)">
                  <c:v>39</c:v>
                </c:pt>
                <c:pt idx="35" formatCode="_(* #,##0_);_(* \(#,##0\);_(* &quot;-&quot;??_);_(@_)">
                  <c:v>30</c:v>
                </c:pt>
                <c:pt idx="36" formatCode="_(* #,##0_);_(* \(#,##0\);_(* &quot;-&quot;??_);_(@_)">
                  <c:v>23</c:v>
                </c:pt>
                <c:pt idx="37" formatCode="_(* #,##0_);_(* \(#,##0\);_(* &quot;-&quot;??_);_(@_)">
                  <c:v>18</c:v>
                </c:pt>
                <c:pt idx="38" formatCode="_(* #,##0_);_(* \(#,##0\);_(* &quot;-&quot;??_);_(@_)">
                  <c:v>8</c:v>
                </c:pt>
                <c:pt idx="39" formatCode="_(* #,##0_);_(* \(#,##0\);_(* &quot;-&quot;??_);_(@_)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0-1A40-8759-6506CD1CE68B}"/>
            </c:ext>
          </c:extLst>
        </c:ser>
        <c:ser>
          <c:idx val="1"/>
          <c:order val="1"/>
          <c:tx>
            <c:strRef>
              <c:f>'CL Graph'!$C$128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'CL Graph'!$C$129:$C$168</c:f>
              <c:numCache>
                <c:formatCode>_(* #,##0_);_(* \(#,##0\);_(* "-"??_);_(@_)</c:formatCode>
                <c:ptCount val="40"/>
                <c:pt idx="1">
                  <c:v>174</c:v>
                </c:pt>
                <c:pt idx="2">
                  <c:v>174</c:v>
                </c:pt>
                <c:pt idx="3">
                  <c:v>172</c:v>
                </c:pt>
                <c:pt idx="4">
                  <c:v>170</c:v>
                </c:pt>
                <c:pt idx="5">
                  <c:v>170</c:v>
                </c:pt>
                <c:pt idx="6">
                  <c:v>169</c:v>
                </c:pt>
                <c:pt idx="7">
                  <c:v>169</c:v>
                </c:pt>
                <c:pt idx="8">
                  <c:v>169</c:v>
                </c:pt>
                <c:pt idx="9">
                  <c:v>169</c:v>
                </c:pt>
                <c:pt idx="10">
                  <c:v>165</c:v>
                </c:pt>
                <c:pt idx="11">
                  <c:v>163</c:v>
                </c:pt>
                <c:pt idx="12">
                  <c:v>163</c:v>
                </c:pt>
                <c:pt idx="13">
                  <c:v>154</c:v>
                </c:pt>
                <c:pt idx="14">
                  <c:v>152</c:v>
                </c:pt>
                <c:pt idx="15">
                  <c:v>145</c:v>
                </c:pt>
                <c:pt idx="16">
                  <c:v>141</c:v>
                </c:pt>
                <c:pt idx="17">
                  <c:v>135</c:v>
                </c:pt>
                <c:pt idx="18">
                  <c:v>128</c:v>
                </c:pt>
                <c:pt idx="19">
                  <c:v>125</c:v>
                </c:pt>
                <c:pt idx="20">
                  <c:v>119</c:v>
                </c:pt>
                <c:pt idx="21">
                  <c:v>118</c:v>
                </c:pt>
                <c:pt idx="22">
                  <c:v>118</c:v>
                </c:pt>
                <c:pt idx="23">
                  <c:v>113</c:v>
                </c:pt>
                <c:pt idx="24">
                  <c:v>107</c:v>
                </c:pt>
                <c:pt idx="25">
                  <c:v>103</c:v>
                </c:pt>
                <c:pt idx="26">
                  <c:v>95</c:v>
                </c:pt>
                <c:pt idx="27">
                  <c:v>94</c:v>
                </c:pt>
                <c:pt idx="28">
                  <c:v>91</c:v>
                </c:pt>
                <c:pt idx="29">
                  <c:v>85</c:v>
                </c:pt>
                <c:pt idx="30">
                  <c:v>70</c:v>
                </c:pt>
                <c:pt idx="31">
                  <c:v>47</c:v>
                </c:pt>
                <c:pt idx="32">
                  <c:v>45</c:v>
                </c:pt>
                <c:pt idx="33">
                  <c:v>36</c:v>
                </c:pt>
                <c:pt idx="34">
                  <c:v>32</c:v>
                </c:pt>
                <c:pt idx="35">
                  <c:v>27</c:v>
                </c:pt>
                <c:pt idx="36">
                  <c:v>16</c:v>
                </c:pt>
                <c:pt idx="37">
                  <c:v>13</c:v>
                </c:pt>
                <c:pt idx="38">
                  <c:v>8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0-1A40-8759-6506CD1CE68B}"/>
            </c:ext>
          </c:extLst>
        </c:ser>
        <c:ser>
          <c:idx val="2"/>
          <c:order val="2"/>
          <c:tx>
            <c:strRef>
              <c:f>'CL Graph'!$D$128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'CL Graph'!$D$129:$D$168</c:f>
              <c:numCache>
                <c:formatCode>_(* #,##0_);_(* \(#,##0\);_(* "-"??_);_(@_)</c:formatCode>
                <c:ptCount val="40"/>
                <c:pt idx="0">
                  <c:v>428</c:v>
                </c:pt>
                <c:pt idx="1">
                  <c:v>421</c:v>
                </c:pt>
                <c:pt idx="2">
                  <c:v>412</c:v>
                </c:pt>
                <c:pt idx="3">
                  <c:v>408</c:v>
                </c:pt>
                <c:pt idx="4">
                  <c:v>404</c:v>
                </c:pt>
                <c:pt idx="5">
                  <c:v>396</c:v>
                </c:pt>
                <c:pt idx="6">
                  <c:v>396</c:v>
                </c:pt>
                <c:pt idx="7">
                  <c:v>393</c:v>
                </c:pt>
                <c:pt idx="8">
                  <c:v>387</c:v>
                </c:pt>
                <c:pt idx="9">
                  <c:v>385</c:v>
                </c:pt>
                <c:pt idx="10">
                  <c:v>383</c:v>
                </c:pt>
                <c:pt idx="11">
                  <c:v>383</c:v>
                </c:pt>
                <c:pt idx="12">
                  <c:v>370</c:v>
                </c:pt>
                <c:pt idx="13">
                  <c:v>370</c:v>
                </c:pt>
                <c:pt idx="14">
                  <c:v>366</c:v>
                </c:pt>
                <c:pt idx="15">
                  <c:v>358</c:v>
                </c:pt>
                <c:pt idx="16">
                  <c:v>356</c:v>
                </c:pt>
                <c:pt idx="17">
                  <c:v>353</c:v>
                </c:pt>
                <c:pt idx="18">
                  <c:v>347</c:v>
                </c:pt>
                <c:pt idx="19">
                  <c:v>339</c:v>
                </c:pt>
                <c:pt idx="20">
                  <c:v>336</c:v>
                </c:pt>
                <c:pt idx="21">
                  <c:v>321</c:v>
                </c:pt>
                <c:pt idx="22">
                  <c:v>320</c:v>
                </c:pt>
                <c:pt idx="23">
                  <c:v>307</c:v>
                </c:pt>
                <c:pt idx="24">
                  <c:v>300</c:v>
                </c:pt>
                <c:pt idx="25">
                  <c:v>293</c:v>
                </c:pt>
                <c:pt idx="26">
                  <c:v>292</c:v>
                </c:pt>
                <c:pt idx="27">
                  <c:v>286</c:v>
                </c:pt>
                <c:pt idx="28">
                  <c:v>278</c:v>
                </c:pt>
                <c:pt idx="29">
                  <c:v>254</c:v>
                </c:pt>
                <c:pt idx="30">
                  <c:v>243</c:v>
                </c:pt>
                <c:pt idx="31">
                  <c:v>233</c:v>
                </c:pt>
                <c:pt idx="32">
                  <c:v>217</c:v>
                </c:pt>
                <c:pt idx="33">
                  <c:v>201</c:v>
                </c:pt>
                <c:pt idx="34">
                  <c:v>187</c:v>
                </c:pt>
                <c:pt idx="35">
                  <c:v>169</c:v>
                </c:pt>
                <c:pt idx="36">
                  <c:v>150</c:v>
                </c:pt>
                <c:pt idx="37">
                  <c:v>129</c:v>
                </c:pt>
                <c:pt idx="38">
                  <c:v>97</c:v>
                </c:pt>
                <c:pt idx="3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0-1A40-8759-6506CD1C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810336"/>
        <c:axId val="1869590592"/>
      </c:lineChart>
      <c:catAx>
        <c:axId val="1891810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90592"/>
        <c:crosses val="autoZero"/>
        <c:auto val="1"/>
        <c:lblAlgn val="ctr"/>
        <c:lblOffset val="100"/>
        <c:noMultiLvlLbl val="0"/>
      </c:catAx>
      <c:valAx>
        <c:axId val="18695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8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'Pops Graph'!$B$74</c:f>
              <c:strCache>
                <c:ptCount val="1"/>
                <c:pt idx="0">
                  <c:v> 2025-26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'Pops Graph'!$B$75:$B$114</c:f>
              <c:numCache>
                <c:formatCode>General</c:formatCode>
                <c:ptCount val="40"/>
                <c:pt idx="29" formatCode="_(* #,##0_);_(* \(#,##0\);_(* &quot;-&quot;??_);_(@_)">
                  <c:v>165</c:v>
                </c:pt>
                <c:pt idx="30" formatCode="_(* #,##0_);_(* \(#,##0\);_(* &quot;-&quot;??_);_(@_)">
                  <c:v>157</c:v>
                </c:pt>
                <c:pt idx="31" formatCode="_(* #,##0_);_(* \(#,##0\);_(* &quot;-&quot;??_);_(@_)">
                  <c:v>118</c:v>
                </c:pt>
                <c:pt idx="32" formatCode="_(* #,##0_);_(* \(#,##0\);_(* &quot;-&quot;??_);_(@_)">
                  <c:v>60</c:v>
                </c:pt>
                <c:pt idx="33" formatCode="_(* #,##0_);_(* \(#,##0\);_(* &quot;-&quot;??_);_(@_)">
                  <c:v>54</c:v>
                </c:pt>
                <c:pt idx="34" formatCode="_(* #,##0_);_(* \(#,##0\);_(* &quot;-&quot;??_);_(@_)">
                  <c:v>44</c:v>
                </c:pt>
                <c:pt idx="35" formatCode="_(* #,##0_);_(* \(#,##0\);_(* &quot;-&quot;??_);_(@_)">
                  <c:v>38</c:v>
                </c:pt>
                <c:pt idx="36" formatCode="_(* #,##0_);_(* \(#,##0\);_(* &quot;-&quot;??_);_(@_)">
                  <c:v>24</c:v>
                </c:pt>
                <c:pt idx="37" formatCode="_(* #,##0_);_(* \(#,##0\);_(* &quot;-&quot;??_);_(@_)">
                  <c:v>19</c:v>
                </c:pt>
                <c:pt idx="38" formatCode="_(* #,##0_);_(* \(#,##0\);_(* &quot;-&quot;??_);_(@_)">
                  <c:v>15</c:v>
                </c:pt>
                <c:pt idx="39" formatCode="_(* #,##0_);_(* \(#,##0\);_(* &quot;-&quot;??_);_(@_)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3-3648-A0B8-32388AA5FF25}"/>
            </c:ext>
          </c:extLst>
        </c:ser>
        <c:ser>
          <c:idx val="1"/>
          <c:order val="1"/>
          <c:tx>
            <c:strRef>
              <c:f>'Pops Graph'!$C$74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'Pops Graph'!$C$75:$C$114</c:f>
              <c:numCache>
                <c:formatCode>_(* #,##0_);_(* \(#,##0\);_(* "-"??_);_(@_)</c:formatCode>
                <c:ptCount val="40"/>
                <c:pt idx="0">
                  <c:v>225</c:v>
                </c:pt>
                <c:pt idx="1">
                  <c:v>223</c:v>
                </c:pt>
                <c:pt idx="2">
                  <c:v>223</c:v>
                </c:pt>
                <c:pt idx="3">
                  <c:v>223</c:v>
                </c:pt>
                <c:pt idx="4">
                  <c:v>223</c:v>
                </c:pt>
                <c:pt idx="5">
                  <c:v>221</c:v>
                </c:pt>
                <c:pt idx="6">
                  <c:v>220</c:v>
                </c:pt>
                <c:pt idx="7">
                  <c:v>220</c:v>
                </c:pt>
                <c:pt idx="8">
                  <c:v>218</c:v>
                </c:pt>
                <c:pt idx="9">
                  <c:v>218</c:v>
                </c:pt>
                <c:pt idx="10">
                  <c:v>217</c:v>
                </c:pt>
                <c:pt idx="11">
                  <c:v>217</c:v>
                </c:pt>
                <c:pt idx="12">
                  <c:v>217</c:v>
                </c:pt>
                <c:pt idx="13">
                  <c:v>215</c:v>
                </c:pt>
                <c:pt idx="14">
                  <c:v>215</c:v>
                </c:pt>
                <c:pt idx="15">
                  <c:v>212</c:v>
                </c:pt>
                <c:pt idx="16">
                  <c:v>212</c:v>
                </c:pt>
                <c:pt idx="17">
                  <c:v>208</c:v>
                </c:pt>
                <c:pt idx="18">
                  <c:v>206</c:v>
                </c:pt>
                <c:pt idx="19">
                  <c:v>204</c:v>
                </c:pt>
                <c:pt idx="20">
                  <c:v>202</c:v>
                </c:pt>
                <c:pt idx="21">
                  <c:v>200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187</c:v>
                </c:pt>
                <c:pt idx="26">
                  <c:v>172</c:v>
                </c:pt>
                <c:pt idx="27">
                  <c:v>160</c:v>
                </c:pt>
                <c:pt idx="28">
                  <c:v>127</c:v>
                </c:pt>
                <c:pt idx="29">
                  <c:v>113</c:v>
                </c:pt>
                <c:pt idx="30">
                  <c:v>98</c:v>
                </c:pt>
                <c:pt idx="31">
                  <c:v>86</c:v>
                </c:pt>
                <c:pt idx="32">
                  <c:v>86</c:v>
                </c:pt>
                <c:pt idx="33">
                  <c:v>66</c:v>
                </c:pt>
                <c:pt idx="34">
                  <c:v>54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3-3648-A0B8-32388AA5FF25}"/>
            </c:ext>
          </c:extLst>
        </c:ser>
        <c:ser>
          <c:idx val="2"/>
          <c:order val="2"/>
          <c:tx>
            <c:strRef>
              <c:f>'Pops Graph'!$D$74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'Pops Graph'!$D$75:$D$114</c:f>
              <c:numCache>
                <c:formatCode>_(* #,##0_);_(* \(#,##0\);_(* "-"??_);_(@_)</c:formatCode>
                <c:ptCount val="40"/>
                <c:pt idx="0">
                  <c:v>331</c:v>
                </c:pt>
                <c:pt idx="1">
                  <c:v>331</c:v>
                </c:pt>
                <c:pt idx="2">
                  <c:v>329</c:v>
                </c:pt>
                <c:pt idx="3">
                  <c:v>325</c:v>
                </c:pt>
                <c:pt idx="4">
                  <c:v>325</c:v>
                </c:pt>
                <c:pt idx="5">
                  <c:v>323</c:v>
                </c:pt>
                <c:pt idx="6">
                  <c:v>321</c:v>
                </c:pt>
                <c:pt idx="7">
                  <c:v>317</c:v>
                </c:pt>
                <c:pt idx="8">
                  <c:v>313</c:v>
                </c:pt>
                <c:pt idx="9">
                  <c:v>313</c:v>
                </c:pt>
                <c:pt idx="10">
                  <c:v>313</c:v>
                </c:pt>
                <c:pt idx="11">
                  <c:v>313</c:v>
                </c:pt>
                <c:pt idx="12">
                  <c:v>308</c:v>
                </c:pt>
                <c:pt idx="13">
                  <c:v>303</c:v>
                </c:pt>
                <c:pt idx="14">
                  <c:v>303</c:v>
                </c:pt>
                <c:pt idx="15">
                  <c:v>301</c:v>
                </c:pt>
                <c:pt idx="16">
                  <c:v>299</c:v>
                </c:pt>
                <c:pt idx="17">
                  <c:v>295</c:v>
                </c:pt>
                <c:pt idx="18">
                  <c:v>291</c:v>
                </c:pt>
                <c:pt idx="19">
                  <c:v>284</c:v>
                </c:pt>
                <c:pt idx="20">
                  <c:v>276</c:v>
                </c:pt>
                <c:pt idx="21">
                  <c:v>272</c:v>
                </c:pt>
                <c:pt idx="22">
                  <c:v>268</c:v>
                </c:pt>
                <c:pt idx="23">
                  <c:v>268</c:v>
                </c:pt>
                <c:pt idx="24">
                  <c:v>266</c:v>
                </c:pt>
                <c:pt idx="25">
                  <c:v>264</c:v>
                </c:pt>
                <c:pt idx="26">
                  <c:v>252</c:v>
                </c:pt>
                <c:pt idx="27">
                  <c:v>250</c:v>
                </c:pt>
                <c:pt idx="28">
                  <c:v>243</c:v>
                </c:pt>
                <c:pt idx="29">
                  <c:v>231</c:v>
                </c:pt>
                <c:pt idx="30">
                  <c:v>213</c:v>
                </c:pt>
                <c:pt idx="31">
                  <c:v>203</c:v>
                </c:pt>
                <c:pt idx="32">
                  <c:v>190</c:v>
                </c:pt>
                <c:pt idx="33">
                  <c:v>159</c:v>
                </c:pt>
                <c:pt idx="34">
                  <c:v>142</c:v>
                </c:pt>
                <c:pt idx="35">
                  <c:v>128</c:v>
                </c:pt>
                <c:pt idx="36">
                  <c:v>103</c:v>
                </c:pt>
                <c:pt idx="37">
                  <c:v>92</c:v>
                </c:pt>
                <c:pt idx="38">
                  <c:v>76</c:v>
                </c:pt>
                <c:pt idx="3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63-3648-A0B8-32388AA5F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464032"/>
        <c:axId val="1508466432"/>
      </c:lineChart>
      <c:catAx>
        <c:axId val="1508464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66432"/>
        <c:crosses val="autoZero"/>
        <c:auto val="1"/>
        <c:lblAlgn val="ctr"/>
        <c:lblOffset val="100"/>
        <c:noMultiLvlLbl val="0"/>
      </c:catAx>
      <c:valAx>
        <c:axId val="15084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6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127</xdr:row>
      <xdr:rowOff>19050</xdr:rowOff>
    </xdr:from>
    <xdr:to>
      <xdr:col>10</xdr:col>
      <xdr:colOff>412750</xdr:colOff>
      <xdr:row>140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7D282-3C45-C21F-AE07-5A4DDE9F1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768350</xdr:colOff>
      <xdr:row>89</xdr:row>
      <xdr:rowOff>158750</xdr:rowOff>
    </xdr:from>
    <xdr:to>
      <xdr:col>13</xdr:col>
      <xdr:colOff>387350</xdr:colOff>
      <xdr:row>103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B41D1-3110-5FB1-1A86-D7FAA584C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6371-9F93-DD4C-91DF-CF7336629534}">
  <sheetPr>
    <pageSetUpPr fitToPage="1"/>
  </sheetPr>
  <dimension ref="A1:W61"/>
  <sheetViews>
    <sheetView workbookViewId="0">
      <selection activeCell="K18" sqref="K18"/>
    </sheetView>
  </sheetViews>
  <sheetFormatPr baseColWidth="10" defaultRowHeight="16" x14ac:dyDescent="0.2"/>
  <cols>
    <col min="2" max="2" width="14" bestFit="1" customWidth="1"/>
    <col min="3" max="3" width="12.33203125" bestFit="1" customWidth="1"/>
    <col min="4" max="4" width="14" bestFit="1" customWidth="1"/>
    <col min="5" max="5" width="15.5" bestFit="1" customWidth="1"/>
    <col min="7" max="7" width="14" bestFit="1" customWidth="1"/>
    <col min="8" max="8" width="14" customWidth="1"/>
    <col min="9" max="9" width="2.83203125" customWidth="1"/>
    <col min="12" max="12" width="12.1640625" bestFit="1" customWidth="1"/>
    <col min="13" max="13" width="12.6640625" bestFit="1" customWidth="1"/>
    <col min="14" max="14" width="15.5" bestFit="1" customWidth="1"/>
    <col min="15" max="15" width="13" bestFit="1" customWidth="1"/>
    <col min="16" max="16" width="12.5" bestFit="1" customWidth="1"/>
    <col min="19" max="19" width="13" bestFit="1" customWidth="1"/>
    <col min="22" max="22" width="11.5" bestFit="1" customWidth="1"/>
  </cols>
  <sheetData>
    <row r="1" spans="1:23" x14ac:dyDescent="0.2">
      <c r="A1" t="s">
        <v>0</v>
      </c>
    </row>
    <row r="2" spans="1:23" x14ac:dyDescent="0.2">
      <c r="A2" t="s">
        <v>1</v>
      </c>
      <c r="J2" t="s">
        <v>17</v>
      </c>
      <c r="K2" s="3">
        <v>408</v>
      </c>
      <c r="L2" s="2">
        <v>154568</v>
      </c>
      <c r="M2" s="3">
        <v>2833</v>
      </c>
      <c r="N2" s="2">
        <v>1402198</v>
      </c>
      <c r="O2" s="3">
        <f t="shared" ref="O2" si="0">K2+M2</f>
        <v>3241</v>
      </c>
      <c r="P2" s="2">
        <f t="shared" ref="P2" si="1">L2+N2</f>
        <v>1556766</v>
      </c>
    </row>
    <row r="3" spans="1:23" x14ac:dyDescent="0.2">
      <c r="J3" t="s">
        <v>16</v>
      </c>
      <c r="K3" s="3">
        <v>539</v>
      </c>
      <c r="L3" s="2">
        <v>172394</v>
      </c>
      <c r="M3" s="3">
        <v>2903</v>
      </c>
      <c r="N3" s="2">
        <v>1485806</v>
      </c>
      <c r="O3" s="3">
        <f t="shared" ref="O3" si="2">K3+M3</f>
        <v>3442</v>
      </c>
      <c r="P3" s="2">
        <f t="shared" ref="P3" si="3">L3+N3</f>
        <v>1658200</v>
      </c>
      <c r="R3" t="s">
        <v>18</v>
      </c>
      <c r="S3" s="8">
        <f>M3/O2</f>
        <v>0.89571120024683737</v>
      </c>
    </row>
    <row r="4" spans="1:23" x14ac:dyDescent="0.2">
      <c r="A4" t="s">
        <v>3</v>
      </c>
      <c r="F4" s="8"/>
    </row>
    <row r="5" spans="1:23" x14ac:dyDescent="0.2">
      <c r="A5" t="s">
        <v>2</v>
      </c>
      <c r="J5" t="s">
        <v>10</v>
      </c>
      <c r="S5" s="7"/>
    </row>
    <row r="6" spans="1:23" x14ac:dyDescent="0.2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s="4" t="s">
        <v>11</v>
      </c>
      <c r="K6" t="s">
        <v>4</v>
      </c>
      <c r="L6" t="s">
        <v>5</v>
      </c>
      <c r="M6" t="s">
        <v>6</v>
      </c>
      <c r="N6" t="s">
        <v>7</v>
      </c>
      <c r="O6" t="s">
        <v>8</v>
      </c>
      <c r="P6" t="s">
        <v>9</v>
      </c>
      <c r="Q6" s="4" t="s">
        <v>11</v>
      </c>
    </row>
    <row r="7" spans="1:23" x14ac:dyDescent="0.2">
      <c r="H7" s="4"/>
      <c r="J7" t="s">
        <v>13</v>
      </c>
      <c r="K7" s="3">
        <v>206</v>
      </c>
      <c r="L7" s="2">
        <v>66280</v>
      </c>
      <c r="M7" s="3">
        <v>2697</v>
      </c>
      <c r="N7" s="2">
        <v>1429445</v>
      </c>
      <c r="O7" s="3">
        <f t="shared" ref="O7" si="4">K7+M7</f>
        <v>2903</v>
      </c>
      <c r="P7" s="2">
        <f t="shared" ref="P7" si="5">L7+N7</f>
        <v>1495725</v>
      </c>
      <c r="Q7" s="6"/>
      <c r="R7" t="s">
        <v>18</v>
      </c>
      <c r="S7" s="8">
        <f>M7/O3</f>
        <v>0.78355607205113309</v>
      </c>
      <c r="V7" s="7"/>
      <c r="W7" s="8"/>
    </row>
    <row r="8" spans="1:23" x14ac:dyDescent="0.2">
      <c r="H8" s="4"/>
      <c r="K8" s="3"/>
      <c r="L8" s="2"/>
      <c r="M8" s="3"/>
      <c r="N8" s="2"/>
      <c r="O8" s="3"/>
      <c r="P8" s="2"/>
      <c r="Q8" s="6"/>
      <c r="S8" s="8"/>
      <c r="V8" s="7"/>
      <c r="W8" s="8"/>
    </row>
    <row r="9" spans="1:23" x14ac:dyDescent="0.2">
      <c r="A9" s="1">
        <v>45873</v>
      </c>
      <c r="B9" s="9">
        <v>247</v>
      </c>
      <c r="C9" s="10">
        <v>115973</v>
      </c>
      <c r="D9" s="9">
        <v>2418</v>
      </c>
      <c r="E9" s="10">
        <v>1407319</v>
      </c>
      <c r="F9" s="9">
        <f t="shared" ref="F9:G9" si="6">B9+D9</f>
        <v>2665</v>
      </c>
      <c r="G9" s="10">
        <f t="shared" si="6"/>
        <v>1523292</v>
      </c>
      <c r="H9" s="11">
        <f t="shared" ref="H9" si="7">G9-G10</f>
        <v>5903</v>
      </c>
      <c r="J9" s="1">
        <f t="shared" ref="J9" si="8">J10+7</f>
        <v>45509</v>
      </c>
      <c r="K9" s="3">
        <v>128</v>
      </c>
      <c r="L9" s="2">
        <v>45996</v>
      </c>
      <c r="M9" s="3">
        <v>2680</v>
      </c>
      <c r="N9" s="2">
        <v>1422439</v>
      </c>
      <c r="O9" s="3">
        <f t="shared" ref="O9:P9" si="9">K9+M9</f>
        <v>2808</v>
      </c>
      <c r="P9" s="2">
        <f t="shared" si="9"/>
        <v>1468435</v>
      </c>
      <c r="Q9" s="6">
        <f t="shared" ref="Q9" si="10">P9-P10</f>
        <v>1688</v>
      </c>
      <c r="S9" s="8"/>
      <c r="V9" s="7"/>
      <c r="W9" s="8"/>
    </row>
    <row r="10" spans="1:23" x14ac:dyDescent="0.2">
      <c r="A10" s="1">
        <v>45866</v>
      </c>
      <c r="B10" s="9">
        <v>241</v>
      </c>
      <c r="C10" s="10">
        <v>113481</v>
      </c>
      <c r="D10" s="9">
        <v>2416</v>
      </c>
      <c r="E10" s="10">
        <v>1403908</v>
      </c>
      <c r="F10" s="9">
        <f t="shared" ref="F10:G10" si="11">B10+D10</f>
        <v>2657</v>
      </c>
      <c r="G10" s="10">
        <f t="shared" si="11"/>
        <v>1517389</v>
      </c>
      <c r="H10" s="11">
        <f t="shared" ref="H10" si="12">G10-G11</f>
        <v>2584</v>
      </c>
      <c r="J10" s="1">
        <f t="shared" ref="J10" si="13">J11+7</f>
        <v>45502</v>
      </c>
      <c r="K10" s="3">
        <v>125</v>
      </c>
      <c r="L10" s="2">
        <v>44602</v>
      </c>
      <c r="M10" s="3">
        <v>2678</v>
      </c>
      <c r="N10" s="2">
        <v>1422145</v>
      </c>
      <c r="O10" s="3">
        <f t="shared" ref="O10:P10" si="14">K10+M10</f>
        <v>2803</v>
      </c>
      <c r="P10" s="2">
        <f t="shared" si="14"/>
        <v>1466747</v>
      </c>
      <c r="Q10" s="6">
        <f t="shared" ref="Q10" si="15">P10-P11</f>
        <v>3404</v>
      </c>
      <c r="S10" s="8"/>
      <c r="V10" s="7"/>
      <c r="W10" s="8"/>
    </row>
    <row r="11" spans="1:23" x14ac:dyDescent="0.2">
      <c r="A11" s="1">
        <v>45859</v>
      </c>
      <c r="B11" s="9">
        <v>237</v>
      </c>
      <c r="C11" s="10">
        <v>110751</v>
      </c>
      <c r="D11" s="9">
        <v>2417</v>
      </c>
      <c r="E11" s="10">
        <v>1404054</v>
      </c>
      <c r="F11" s="9">
        <f t="shared" ref="F11:G11" si="16">B11+D11</f>
        <v>2654</v>
      </c>
      <c r="G11" s="10">
        <f t="shared" si="16"/>
        <v>1514805</v>
      </c>
      <c r="H11" s="11">
        <f t="shared" ref="H11" si="17">G11-G12</f>
        <v>1217</v>
      </c>
      <c r="J11" s="1">
        <f t="shared" ref="J11:J12" si="18">J12+7</f>
        <v>45495</v>
      </c>
      <c r="K11" s="3">
        <v>119</v>
      </c>
      <c r="L11" s="2">
        <v>42194</v>
      </c>
      <c r="M11" s="3">
        <v>2676</v>
      </c>
      <c r="N11" s="2">
        <v>1421149</v>
      </c>
      <c r="O11" s="3">
        <f t="shared" ref="O11:P12" si="19">K11+M11</f>
        <v>2795</v>
      </c>
      <c r="P11" s="2">
        <f t="shared" si="19"/>
        <v>1463343</v>
      </c>
      <c r="Q11" s="6">
        <f t="shared" ref="Q11:Q12" si="20">P11-P12</f>
        <v>1659</v>
      </c>
      <c r="S11" s="8"/>
      <c r="V11" s="7"/>
      <c r="W11" s="8"/>
    </row>
    <row r="12" spans="1:23" x14ac:dyDescent="0.2">
      <c r="A12" s="1">
        <v>45852</v>
      </c>
      <c r="B12" s="9">
        <v>223</v>
      </c>
      <c r="C12" s="10">
        <v>106511</v>
      </c>
      <c r="D12" s="9">
        <v>2415</v>
      </c>
      <c r="E12" s="10">
        <v>1407077</v>
      </c>
      <c r="F12" s="9">
        <f t="shared" ref="F12:G12" si="21">B12+D12</f>
        <v>2638</v>
      </c>
      <c r="G12" s="10">
        <f t="shared" si="21"/>
        <v>1513588</v>
      </c>
      <c r="H12" s="11">
        <f t="shared" ref="H12" si="22">G12-G13</f>
        <v>-21925</v>
      </c>
      <c r="J12" s="1">
        <f t="shared" si="18"/>
        <v>45488</v>
      </c>
      <c r="K12" s="3">
        <v>118</v>
      </c>
      <c r="L12" s="2">
        <v>41081</v>
      </c>
      <c r="M12" s="3">
        <v>2674</v>
      </c>
      <c r="N12" s="2">
        <v>1420603</v>
      </c>
      <c r="O12" s="3">
        <f t="shared" si="19"/>
        <v>2792</v>
      </c>
      <c r="P12" s="2">
        <f t="shared" si="19"/>
        <v>1461684</v>
      </c>
      <c r="Q12" s="6">
        <f t="shared" si="20"/>
        <v>2254</v>
      </c>
      <c r="S12" s="8"/>
      <c r="V12" s="7"/>
      <c r="W12" s="8"/>
    </row>
    <row r="13" spans="1:23" x14ac:dyDescent="0.2">
      <c r="A13" s="1">
        <v>45845</v>
      </c>
      <c r="B13" s="9">
        <v>219</v>
      </c>
      <c r="C13" s="10">
        <v>106582</v>
      </c>
      <c r="D13" s="9">
        <v>2413</v>
      </c>
      <c r="E13" s="10">
        <v>1428931</v>
      </c>
      <c r="F13" s="9">
        <f t="shared" ref="F13" si="23">B13+D13</f>
        <v>2632</v>
      </c>
      <c r="G13" s="10">
        <f t="shared" ref="G13" si="24">C13+E13</f>
        <v>1535513</v>
      </c>
      <c r="H13" s="11">
        <f t="shared" ref="H13" si="25">G13-G14</f>
        <v>2897</v>
      </c>
      <c r="J13" s="1">
        <f t="shared" ref="J13" si="26">J14+7</f>
        <v>45481</v>
      </c>
      <c r="K13" s="3">
        <v>118</v>
      </c>
      <c r="L13" s="2">
        <v>41081</v>
      </c>
      <c r="M13" s="3">
        <v>2670</v>
      </c>
      <c r="N13" s="2">
        <v>1418349</v>
      </c>
      <c r="O13" s="3">
        <f t="shared" ref="O13:P13" si="27">K13+M13</f>
        <v>2788</v>
      </c>
      <c r="P13" s="2">
        <f t="shared" si="27"/>
        <v>1459430</v>
      </c>
      <c r="Q13" s="6">
        <f t="shared" ref="Q13" si="28">P13-P14</f>
        <v>3121</v>
      </c>
      <c r="S13" s="8"/>
      <c r="V13" s="7"/>
      <c r="W13" s="8"/>
    </row>
    <row r="14" spans="1:23" x14ac:dyDescent="0.2">
      <c r="A14" s="1">
        <v>45838</v>
      </c>
      <c r="B14" s="9">
        <v>209</v>
      </c>
      <c r="C14" s="10">
        <v>104994</v>
      </c>
      <c r="D14" s="9">
        <v>2413</v>
      </c>
      <c r="E14" s="10">
        <v>1427622</v>
      </c>
      <c r="F14" s="9">
        <f t="shared" ref="F14:G14" si="29">B14+D14</f>
        <v>2622</v>
      </c>
      <c r="G14" s="10">
        <f t="shared" si="29"/>
        <v>1532616</v>
      </c>
      <c r="H14" s="11" t="e">
        <f>G14-#REF!</f>
        <v>#REF!</v>
      </c>
      <c r="J14" s="1">
        <v>45474</v>
      </c>
      <c r="K14" s="3">
        <v>113</v>
      </c>
      <c r="L14" s="2">
        <v>38890</v>
      </c>
      <c r="M14" s="3">
        <v>2667</v>
      </c>
      <c r="N14" s="2">
        <v>1417419</v>
      </c>
      <c r="O14" s="3">
        <f t="shared" ref="O14:P14" si="30">K14+M14</f>
        <v>2780</v>
      </c>
      <c r="P14" s="2">
        <f t="shared" si="30"/>
        <v>1456309</v>
      </c>
      <c r="Q14" s="6" t="e">
        <f>P14-#REF!</f>
        <v>#REF!</v>
      </c>
      <c r="S14" s="8"/>
      <c r="V14" s="7"/>
      <c r="W14" s="8"/>
    </row>
    <row r="15" spans="1:23" x14ac:dyDescent="0.2">
      <c r="A15" s="1"/>
      <c r="B15" s="9"/>
      <c r="C15" s="10"/>
      <c r="D15" s="9"/>
      <c r="E15" s="10"/>
      <c r="F15" s="9"/>
      <c r="G15" s="10"/>
      <c r="H15" s="11"/>
      <c r="J15" s="1"/>
      <c r="K15" s="3"/>
      <c r="L15" s="2"/>
      <c r="M15" s="3"/>
      <c r="N15" s="2"/>
      <c r="O15" s="3"/>
      <c r="P15" s="2"/>
      <c r="Q15" s="6"/>
      <c r="S15" s="8"/>
      <c r="V15" s="7"/>
      <c r="W15" s="8"/>
    </row>
    <row r="16" spans="1:23" x14ac:dyDescent="0.2">
      <c r="A16" s="1"/>
      <c r="B16" s="3"/>
      <c r="C16" s="2"/>
      <c r="D16" s="3"/>
      <c r="E16" s="2"/>
      <c r="F16" s="3"/>
      <c r="G16" s="2"/>
      <c r="H16" s="11"/>
      <c r="J16" s="1"/>
      <c r="K16" s="3"/>
      <c r="L16" s="2"/>
      <c r="M16" s="3"/>
      <c r="N16" s="2"/>
      <c r="O16" s="3"/>
      <c r="P16" s="2"/>
      <c r="Q16" s="6"/>
      <c r="S16" s="8"/>
      <c r="V16" s="7"/>
      <c r="W16" s="8"/>
    </row>
    <row r="17" spans="1:23" x14ac:dyDescent="0.2">
      <c r="H17" s="4"/>
      <c r="S17" s="8"/>
      <c r="V17" s="7"/>
      <c r="W17" s="8"/>
    </row>
    <row r="18" spans="1:23" x14ac:dyDescent="0.2">
      <c r="A18" t="s">
        <v>14</v>
      </c>
      <c r="B18" s="3"/>
      <c r="C18" s="2" t="s">
        <v>32</v>
      </c>
      <c r="D18" s="2">
        <v>1652400</v>
      </c>
      <c r="E18" s="2"/>
      <c r="F18" s="3"/>
      <c r="G18" s="2"/>
      <c r="H18" s="2"/>
    </row>
    <row r="19" spans="1:23" x14ac:dyDescent="0.2">
      <c r="A19" s="8">
        <f>D9/O7</f>
        <v>0.83293145022390636</v>
      </c>
      <c r="B19" s="3"/>
      <c r="C19" s="8">
        <f>G9/D18</f>
        <v>0.9218663761801017</v>
      </c>
      <c r="D19" s="3"/>
      <c r="E19" s="2"/>
      <c r="F19" s="3"/>
      <c r="G19" s="2"/>
      <c r="H19" s="2"/>
    </row>
    <row r="20" spans="1:23" x14ac:dyDescent="0.2">
      <c r="B20" s="3"/>
      <c r="C20" s="2"/>
      <c r="D20" s="3"/>
      <c r="E20" s="2"/>
      <c r="F20" s="3"/>
      <c r="G20" s="2"/>
      <c r="H20" s="2"/>
      <c r="J20" t="s">
        <v>17</v>
      </c>
      <c r="K20" s="3">
        <v>263</v>
      </c>
      <c r="L20" s="2">
        <v>61720</v>
      </c>
      <c r="M20" s="3">
        <v>1393</v>
      </c>
      <c r="N20" s="2">
        <v>402346</v>
      </c>
      <c r="O20" s="3">
        <f t="shared" ref="O20" si="31">K20+M20</f>
        <v>1656</v>
      </c>
      <c r="P20" s="2">
        <f t="shared" ref="P20" si="32">L20+N20</f>
        <v>464066</v>
      </c>
    </row>
    <row r="21" spans="1:23" x14ac:dyDescent="0.2">
      <c r="B21" s="3"/>
      <c r="C21" s="2"/>
      <c r="D21" s="3"/>
      <c r="E21" s="2"/>
      <c r="F21" s="3"/>
      <c r="G21" s="2"/>
      <c r="H21" s="2"/>
      <c r="J21" t="s">
        <v>16</v>
      </c>
      <c r="K21" s="3">
        <v>363</v>
      </c>
      <c r="L21" s="2">
        <v>87113</v>
      </c>
      <c r="M21" s="3">
        <v>1458</v>
      </c>
      <c r="N21" s="2">
        <v>497816</v>
      </c>
      <c r="O21" s="3">
        <f t="shared" ref="O21" si="33">K21+M21</f>
        <v>1821</v>
      </c>
      <c r="P21" s="2">
        <f t="shared" ref="P21" si="34">L21+N21</f>
        <v>584929</v>
      </c>
      <c r="R21" t="s">
        <v>18</v>
      </c>
      <c r="S21" s="8">
        <f>M21/O20</f>
        <v>0.88043478260869568</v>
      </c>
    </row>
    <row r="22" spans="1:23" x14ac:dyDescent="0.2">
      <c r="A22" t="s">
        <v>12</v>
      </c>
      <c r="S22" s="7"/>
    </row>
    <row r="23" spans="1:23" x14ac:dyDescent="0.2">
      <c r="A23" t="s">
        <v>2</v>
      </c>
      <c r="J23" t="s">
        <v>10</v>
      </c>
    </row>
    <row r="24" spans="1:23" x14ac:dyDescent="0.2">
      <c r="B24" t="s">
        <v>4</v>
      </c>
      <c r="C24" t="s">
        <v>5</v>
      </c>
      <c r="D24" t="s">
        <v>6</v>
      </c>
      <c r="E24" t="s">
        <v>7</v>
      </c>
      <c r="F24" t="s">
        <v>8</v>
      </c>
      <c r="G24" t="s">
        <v>9</v>
      </c>
      <c r="H24" s="4" t="s">
        <v>11</v>
      </c>
      <c r="K24" t="s">
        <v>4</v>
      </c>
      <c r="L24" t="s">
        <v>5</v>
      </c>
      <c r="M24" t="s">
        <v>6</v>
      </c>
      <c r="N24" t="s">
        <v>7</v>
      </c>
      <c r="O24" t="s">
        <v>8</v>
      </c>
      <c r="P24" t="s">
        <v>9</v>
      </c>
      <c r="Q24" s="4" t="s">
        <v>11</v>
      </c>
    </row>
    <row r="25" spans="1:23" x14ac:dyDescent="0.2">
      <c r="H25" s="4"/>
      <c r="J25" t="s">
        <v>13</v>
      </c>
      <c r="K25" s="3">
        <v>234</v>
      </c>
      <c r="L25" s="2">
        <v>66814</v>
      </c>
      <c r="M25" s="3">
        <v>1450</v>
      </c>
      <c r="N25" s="2">
        <v>515169</v>
      </c>
      <c r="O25" s="3">
        <f t="shared" ref="O25" si="35">K25+M25</f>
        <v>1684</v>
      </c>
      <c r="P25" s="2">
        <f t="shared" ref="P25" si="36">L25+N25</f>
        <v>581983</v>
      </c>
      <c r="Q25" s="4"/>
      <c r="R25" t="s">
        <v>18</v>
      </c>
      <c r="S25" s="8">
        <f>M25/O21</f>
        <v>0.79626578802855574</v>
      </c>
    </row>
    <row r="26" spans="1:23" x14ac:dyDescent="0.2">
      <c r="H26" s="4"/>
      <c r="K26" s="3"/>
      <c r="L26" s="2"/>
      <c r="M26" s="3"/>
      <c r="N26" s="2"/>
      <c r="O26" s="3"/>
      <c r="P26" s="2"/>
      <c r="Q26" s="4"/>
      <c r="S26" s="8"/>
    </row>
    <row r="27" spans="1:23" x14ac:dyDescent="0.2">
      <c r="A27" s="14">
        <v>45873</v>
      </c>
      <c r="B27" s="9">
        <v>330</v>
      </c>
      <c r="C27" s="10">
        <v>106532</v>
      </c>
      <c r="D27" s="9">
        <v>1408</v>
      </c>
      <c r="E27" s="10">
        <v>544530</v>
      </c>
      <c r="F27" s="9">
        <f t="shared" ref="F27:G27" si="37">B27+D27</f>
        <v>1738</v>
      </c>
      <c r="G27" s="10">
        <f t="shared" si="37"/>
        <v>651062</v>
      </c>
      <c r="H27" s="11">
        <f t="shared" ref="H27" si="38">G27-G28</f>
        <v>262</v>
      </c>
      <c r="J27" s="1">
        <f t="shared" ref="J27" si="39">J28+7</f>
        <v>45509</v>
      </c>
      <c r="K27" s="3">
        <v>208</v>
      </c>
      <c r="L27" s="2">
        <v>60339</v>
      </c>
      <c r="M27" s="3">
        <v>1437</v>
      </c>
      <c r="N27" s="2">
        <v>511385</v>
      </c>
      <c r="O27" s="3">
        <f t="shared" ref="O27:P27" si="40">K27+M27</f>
        <v>1645</v>
      </c>
      <c r="P27" s="2">
        <f t="shared" si="40"/>
        <v>571724</v>
      </c>
      <c r="Q27" s="6">
        <f t="shared" ref="Q27" si="41">P27-P28</f>
        <v>480</v>
      </c>
      <c r="S27" s="8"/>
    </row>
    <row r="28" spans="1:23" x14ac:dyDescent="0.2">
      <c r="A28" s="14">
        <v>45866</v>
      </c>
      <c r="B28" s="9">
        <v>328</v>
      </c>
      <c r="C28" s="10">
        <v>105620</v>
      </c>
      <c r="D28" s="9">
        <v>1410</v>
      </c>
      <c r="E28" s="10">
        <v>545180</v>
      </c>
      <c r="F28" s="9">
        <f t="shared" ref="F28:G28" si="42">B28+D28</f>
        <v>1738</v>
      </c>
      <c r="G28" s="10">
        <f t="shared" si="42"/>
        <v>650800</v>
      </c>
      <c r="H28" s="11">
        <f t="shared" ref="H28" si="43">G28-G29</f>
        <v>3313</v>
      </c>
      <c r="J28" s="1">
        <v>45502</v>
      </c>
      <c r="K28" s="3">
        <v>206</v>
      </c>
      <c r="L28" s="2">
        <v>59859</v>
      </c>
      <c r="M28" s="3">
        <v>1437</v>
      </c>
      <c r="N28" s="2">
        <v>511385</v>
      </c>
      <c r="O28" s="3">
        <f t="shared" ref="O28:P28" si="44">K28+M28</f>
        <v>1643</v>
      </c>
      <c r="P28" s="2">
        <f t="shared" si="44"/>
        <v>571244</v>
      </c>
      <c r="Q28" s="6">
        <f t="shared" ref="Q28" si="45">P28-P29</f>
        <v>0</v>
      </c>
      <c r="S28" s="8"/>
    </row>
    <row r="29" spans="1:23" x14ac:dyDescent="0.2">
      <c r="A29" s="14">
        <v>45859</v>
      </c>
      <c r="B29" s="9">
        <v>320</v>
      </c>
      <c r="C29" s="10">
        <v>102875</v>
      </c>
      <c r="D29" s="9">
        <v>1410</v>
      </c>
      <c r="E29" s="10">
        <v>544612</v>
      </c>
      <c r="F29" s="9">
        <f t="shared" ref="F29:G29" si="46">B29+D29</f>
        <v>1730</v>
      </c>
      <c r="G29" s="10">
        <f t="shared" si="46"/>
        <v>647487</v>
      </c>
      <c r="H29" s="11">
        <f t="shared" ref="H29" si="47">G29-G30</f>
        <v>3024</v>
      </c>
      <c r="J29" s="1">
        <f>J28-7</f>
        <v>45495</v>
      </c>
      <c r="K29" s="3">
        <v>204</v>
      </c>
      <c r="L29" s="2">
        <v>59859</v>
      </c>
      <c r="M29" s="3">
        <v>1437</v>
      </c>
      <c r="N29" s="2">
        <v>511385</v>
      </c>
      <c r="O29" s="3">
        <f t="shared" ref="O29:P30" si="48">K29+M29</f>
        <v>1641</v>
      </c>
      <c r="P29" s="2">
        <f t="shared" si="48"/>
        <v>571244</v>
      </c>
      <c r="Q29" s="6">
        <f t="shared" ref="Q29:Q30" si="49">P29-P30</f>
        <v>839</v>
      </c>
      <c r="S29" s="8"/>
    </row>
    <row r="30" spans="1:23" x14ac:dyDescent="0.2">
      <c r="A30" s="14">
        <v>45852</v>
      </c>
      <c r="B30" s="9">
        <v>313</v>
      </c>
      <c r="C30" s="10">
        <v>101057</v>
      </c>
      <c r="D30" s="9">
        <v>1404</v>
      </c>
      <c r="E30" s="10">
        <v>543406</v>
      </c>
      <c r="F30" s="9">
        <f t="shared" ref="F30:G30" si="50">B30+D30</f>
        <v>1717</v>
      </c>
      <c r="G30" s="10">
        <f t="shared" si="50"/>
        <v>644463</v>
      </c>
      <c r="H30" s="11">
        <f t="shared" ref="H30" si="51">G30-G31</f>
        <v>-6111</v>
      </c>
      <c r="J30" s="1">
        <f t="shared" ref="J30:J32" si="52">J29-7</f>
        <v>45488</v>
      </c>
      <c r="K30" s="3">
        <v>202</v>
      </c>
      <c r="L30" s="2">
        <v>59020</v>
      </c>
      <c r="M30" s="3">
        <v>1437</v>
      </c>
      <c r="N30" s="2">
        <v>511385</v>
      </c>
      <c r="O30" s="3">
        <f t="shared" si="48"/>
        <v>1639</v>
      </c>
      <c r="P30" s="2">
        <f t="shared" si="48"/>
        <v>570405</v>
      </c>
      <c r="Q30" s="6">
        <f t="shared" si="49"/>
        <v>1012</v>
      </c>
      <c r="S30" s="8"/>
    </row>
    <row r="31" spans="1:23" x14ac:dyDescent="0.2">
      <c r="A31" s="14">
        <v>45845</v>
      </c>
      <c r="B31" s="9">
        <v>309</v>
      </c>
      <c r="C31" s="10">
        <v>100229</v>
      </c>
      <c r="D31" s="9">
        <v>1402</v>
      </c>
      <c r="E31" s="10">
        <v>550345</v>
      </c>
      <c r="F31" s="9">
        <f t="shared" ref="F31" si="53">B31+D31</f>
        <v>1711</v>
      </c>
      <c r="G31" s="10">
        <f t="shared" ref="G31" si="54">C31+E31</f>
        <v>650574</v>
      </c>
      <c r="H31" s="11">
        <f t="shared" ref="H31" si="55">G31-G32</f>
        <v>1146</v>
      </c>
      <c r="J31" s="1">
        <f t="shared" si="52"/>
        <v>45481</v>
      </c>
      <c r="K31" s="3">
        <v>200</v>
      </c>
      <c r="L31" s="2">
        <v>58440</v>
      </c>
      <c r="M31" s="3">
        <v>1435</v>
      </c>
      <c r="N31" s="2">
        <v>510953</v>
      </c>
      <c r="O31" s="3">
        <f t="shared" ref="O31:P31" si="56">K31+M31</f>
        <v>1635</v>
      </c>
      <c r="P31" s="2">
        <f t="shared" si="56"/>
        <v>569393</v>
      </c>
      <c r="Q31" s="6">
        <f t="shared" ref="Q31" si="57">P31-P32</f>
        <v>1085</v>
      </c>
      <c r="S31" s="8"/>
    </row>
    <row r="32" spans="1:23" x14ac:dyDescent="0.2">
      <c r="A32" s="14">
        <v>45838</v>
      </c>
      <c r="B32" s="9">
        <v>307</v>
      </c>
      <c r="C32" s="10">
        <v>99549</v>
      </c>
      <c r="D32" s="9">
        <v>1400</v>
      </c>
      <c r="E32" s="10">
        <v>549879</v>
      </c>
      <c r="F32" s="9">
        <f t="shared" ref="F32:G32" si="58">B32+D32</f>
        <v>1707</v>
      </c>
      <c r="G32" s="10">
        <f t="shared" si="58"/>
        <v>649428</v>
      </c>
      <c r="H32" s="11" t="e">
        <f>G32-#REF!</f>
        <v>#REF!</v>
      </c>
      <c r="J32" s="1">
        <f t="shared" si="52"/>
        <v>45474</v>
      </c>
      <c r="K32" s="3">
        <v>193</v>
      </c>
      <c r="L32" s="2">
        <v>57355</v>
      </c>
      <c r="M32" s="3">
        <v>1435</v>
      </c>
      <c r="N32" s="2">
        <v>510953</v>
      </c>
      <c r="O32" s="3">
        <f t="shared" ref="O32:P32" si="59">K32+M32</f>
        <v>1628</v>
      </c>
      <c r="P32" s="2">
        <f t="shared" si="59"/>
        <v>568308</v>
      </c>
      <c r="Q32" s="6" t="e">
        <f>P32-#REF!</f>
        <v>#REF!</v>
      </c>
      <c r="S32" s="8"/>
    </row>
    <row r="33" spans="1:19" x14ac:dyDescent="0.2">
      <c r="A33" s="1"/>
      <c r="B33" s="9"/>
      <c r="C33" s="10"/>
      <c r="D33" s="9"/>
      <c r="E33" s="10"/>
      <c r="F33" s="9"/>
      <c r="G33" s="10"/>
      <c r="H33" s="11"/>
      <c r="J33" s="1"/>
      <c r="K33" s="3"/>
      <c r="L33" s="2"/>
      <c r="M33" s="3"/>
      <c r="N33" s="2"/>
      <c r="O33" s="3"/>
      <c r="P33" s="2"/>
      <c r="Q33" s="6"/>
      <c r="S33" s="8"/>
    </row>
    <row r="34" spans="1:19" x14ac:dyDescent="0.2">
      <c r="H34" s="4"/>
      <c r="K34" s="3"/>
      <c r="L34" s="2"/>
      <c r="M34" s="3"/>
      <c r="N34" s="2"/>
      <c r="O34" s="3"/>
      <c r="P34" s="2"/>
      <c r="Q34" s="4"/>
      <c r="S34" s="22"/>
    </row>
    <row r="35" spans="1:19" x14ac:dyDescent="0.2">
      <c r="B35" s="3"/>
      <c r="D35" s="3"/>
      <c r="F35" s="3"/>
    </row>
    <row r="36" spans="1:19" x14ac:dyDescent="0.2">
      <c r="A36" t="s">
        <v>14</v>
      </c>
      <c r="C36" s="2" t="s">
        <v>32</v>
      </c>
      <c r="D36" s="2">
        <v>596440</v>
      </c>
      <c r="F36" s="3"/>
      <c r="G36" s="7"/>
      <c r="H36" s="7"/>
      <c r="O36" s="12"/>
    </row>
    <row r="37" spans="1:19" x14ac:dyDescent="0.2">
      <c r="A37" s="8">
        <f>D27/O25</f>
        <v>0.83610451306413303</v>
      </c>
      <c r="C37" s="8">
        <f>G27/D36</f>
        <v>1.0915800415800416</v>
      </c>
      <c r="D37" s="12"/>
      <c r="F37" s="3"/>
      <c r="M37" s="12"/>
      <c r="N37" s="13"/>
      <c r="P37" s="8"/>
    </row>
    <row r="38" spans="1:19" x14ac:dyDescent="0.2">
      <c r="F38" s="12"/>
      <c r="G38" s="7"/>
      <c r="H38" s="7"/>
      <c r="J38" s="12"/>
      <c r="K38" s="12"/>
      <c r="M38" s="12"/>
      <c r="O38" s="13"/>
      <c r="P38" s="13"/>
    </row>
    <row r="39" spans="1:19" x14ac:dyDescent="0.2">
      <c r="G39" s="7"/>
      <c r="K39" s="15"/>
      <c r="O39" s="12"/>
      <c r="P39" s="7"/>
    </row>
    <row r="40" spans="1:19" x14ac:dyDescent="0.2">
      <c r="C40" s="10"/>
      <c r="D40" s="12"/>
      <c r="E40" s="10"/>
      <c r="F40" s="12"/>
      <c r="G40" s="7"/>
      <c r="K40" s="12"/>
      <c r="N40" s="7"/>
      <c r="O40" s="12"/>
    </row>
    <row r="41" spans="1:19" x14ac:dyDescent="0.2">
      <c r="E41" s="13"/>
      <c r="F41" s="13"/>
    </row>
    <row r="42" spans="1:19" x14ac:dyDescent="0.2">
      <c r="G42" s="7"/>
      <c r="K42" s="12"/>
    </row>
    <row r="43" spans="1:19" x14ac:dyDescent="0.2">
      <c r="E43" s="12"/>
      <c r="K43" s="12"/>
    </row>
    <row r="44" spans="1:19" x14ac:dyDescent="0.2">
      <c r="K44" s="13"/>
    </row>
    <row r="45" spans="1:19" x14ac:dyDescent="0.2">
      <c r="B45" t="s">
        <v>10</v>
      </c>
      <c r="C45" t="s">
        <v>29</v>
      </c>
      <c r="D45" t="s">
        <v>30</v>
      </c>
      <c r="G45" s="7"/>
      <c r="N45" s="12"/>
    </row>
    <row r="46" spans="1:19" x14ac:dyDescent="0.2">
      <c r="A46" t="s">
        <v>28</v>
      </c>
      <c r="B46" s="2">
        <v>86172</v>
      </c>
      <c r="C46" s="10">
        <v>56536</v>
      </c>
      <c r="D46" s="2">
        <v>105213</v>
      </c>
      <c r="E46" s="10"/>
      <c r="F46" s="12"/>
      <c r="G46" s="7"/>
      <c r="J46" s="12"/>
      <c r="O46" s="12"/>
    </row>
    <row r="47" spans="1:19" x14ac:dyDescent="0.2">
      <c r="A47" t="s">
        <v>19</v>
      </c>
      <c r="B47" s="2">
        <f>P7</f>
        <v>1495725</v>
      </c>
      <c r="C47" s="2">
        <f>P3</f>
        <v>1658200</v>
      </c>
      <c r="D47" s="2">
        <f>P2</f>
        <v>1556766</v>
      </c>
      <c r="J47" s="7"/>
    </row>
    <row r="48" spans="1:19" x14ac:dyDescent="0.2">
      <c r="A48" t="s">
        <v>31</v>
      </c>
      <c r="B48" s="2">
        <f>P25</f>
        <v>581983</v>
      </c>
      <c r="C48" s="2">
        <f>P21</f>
        <v>584929</v>
      </c>
      <c r="D48" s="2">
        <f>P20</f>
        <v>464066</v>
      </c>
    </row>
    <row r="49" spans="1:15" x14ac:dyDescent="0.2">
      <c r="A49" t="s">
        <v>24</v>
      </c>
      <c r="B49" s="2">
        <f>B46+B47+B48</f>
        <v>2163880</v>
      </c>
      <c r="C49" s="2">
        <f t="shared" ref="C49:D49" si="60">C46+C47+C48</f>
        <v>2299665</v>
      </c>
      <c r="D49" s="2">
        <f t="shared" si="60"/>
        <v>2126045</v>
      </c>
    </row>
    <row r="52" spans="1:15" x14ac:dyDescent="0.2">
      <c r="B52" s="8">
        <f>B46/$B$49</f>
        <v>3.9822910697450878E-2</v>
      </c>
      <c r="C52" s="8">
        <f>C46/$C$49</f>
        <v>2.4584450343854432E-2</v>
      </c>
      <c r="D52" s="8">
        <f>D46/$D$49</f>
        <v>4.9487663713609069E-2</v>
      </c>
    </row>
    <row r="53" spans="1:15" x14ac:dyDescent="0.2">
      <c r="B53" s="8">
        <f t="shared" ref="B53:B54" si="61">B47/$B$49</f>
        <v>0.69122363532173692</v>
      </c>
      <c r="C53" s="8">
        <f t="shared" ref="C53:C54" si="62">C47/$C$49</f>
        <v>0.72106154592081895</v>
      </c>
      <c r="D53" s="8">
        <f t="shared" ref="D53:D54" si="63">D47/$D$49</f>
        <v>0.73223567704352444</v>
      </c>
      <c r="O53" s="12"/>
    </row>
    <row r="54" spans="1:15" x14ac:dyDescent="0.2">
      <c r="B54" s="8">
        <f t="shared" si="61"/>
        <v>0.26895345398081222</v>
      </c>
      <c r="C54" s="8">
        <f t="shared" si="62"/>
        <v>0.25435400373532668</v>
      </c>
      <c r="D54" s="8">
        <f t="shared" si="63"/>
        <v>0.21827665924286646</v>
      </c>
    </row>
    <row r="58" spans="1:15" x14ac:dyDescent="0.2">
      <c r="H58" s="7"/>
    </row>
    <row r="59" spans="1:15" x14ac:dyDescent="0.2">
      <c r="H59" s="7"/>
    </row>
    <row r="60" spans="1:15" x14ac:dyDescent="0.2">
      <c r="H60" s="7"/>
    </row>
    <row r="61" spans="1:15" x14ac:dyDescent="0.2">
      <c r="C61" s="7"/>
    </row>
  </sheetData>
  <printOptions horizontalCentered="1" verticalCentered="1"/>
  <pageMargins left="0.7" right="0.7" top="0.75" bottom="0.75" header="0.3" footer="0.3"/>
  <pageSetup scale="5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66E8-46A5-2E43-BE1E-35BDF54F8E1B}">
  <dimension ref="A2:AI91"/>
  <sheetViews>
    <sheetView tabSelected="1" topLeftCell="A62" workbookViewId="0">
      <selection activeCell="A86" sqref="A86"/>
    </sheetView>
  </sheetViews>
  <sheetFormatPr baseColWidth="10" defaultRowHeight="16" x14ac:dyDescent="0.2"/>
  <cols>
    <col min="5" max="5" width="11.5" bestFit="1" customWidth="1"/>
    <col min="7" max="7" width="11.5" bestFit="1" customWidth="1"/>
    <col min="9" max="9" width="2.83203125" customWidth="1"/>
    <col min="14" max="14" width="11.5" bestFit="1" customWidth="1"/>
    <col min="16" max="16" width="11.5" bestFit="1" customWidth="1"/>
    <col min="18" max="18" width="2.83203125" customWidth="1"/>
    <col min="23" max="23" width="11.5" bestFit="1" customWidth="1"/>
    <col min="25" max="25" width="11.5" bestFit="1" customWidth="1"/>
    <col min="26" max="26" width="12.1640625" style="4" bestFit="1" customWidth="1"/>
    <col min="35" max="35" width="10.83203125" style="4"/>
  </cols>
  <sheetData>
    <row r="2" spans="1:8" x14ac:dyDescent="0.2">
      <c r="B2" t="s">
        <v>23</v>
      </c>
      <c r="C2" t="s">
        <v>23</v>
      </c>
      <c r="D2" t="s">
        <v>18</v>
      </c>
      <c r="E2" t="s">
        <v>18</v>
      </c>
      <c r="F2" t="s">
        <v>24</v>
      </c>
      <c r="G2" t="s">
        <v>24</v>
      </c>
      <c r="H2" t="s">
        <v>15</v>
      </c>
    </row>
    <row r="3" spans="1:8" x14ac:dyDescent="0.2">
      <c r="A3" t="s">
        <v>21</v>
      </c>
      <c r="B3" t="s">
        <v>22</v>
      </c>
      <c r="C3" t="s">
        <v>15</v>
      </c>
      <c r="D3" t="s">
        <v>22</v>
      </c>
      <c r="E3" t="s">
        <v>15</v>
      </c>
      <c r="F3" t="s">
        <v>22</v>
      </c>
      <c r="G3" t="s">
        <v>25</v>
      </c>
      <c r="H3" t="s">
        <v>11</v>
      </c>
    </row>
    <row r="31" spans="19:19" x14ac:dyDescent="0.2">
      <c r="S31" s="1">
        <f t="shared" ref="S31:S82" si="0">S32+7</f>
        <v>45334</v>
      </c>
    </row>
    <row r="32" spans="19:19" x14ac:dyDescent="0.2">
      <c r="S32" s="1">
        <f t="shared" si="0"/>
        <v>45327</v>
      </c>
    </row>
    <row r="33" spans="10:26" x14ac:dyDescent="0.2">
      <c r="S33" s="1">
        <f t="shared" si="0"/>
        <v>45320</v>
      </c>
    </row>
    <row r="34" spans="10:26" x14ac:dyDescent="0.2">
      <c r="S34" s="1">
        <f t="shared" si="0"/>
        <v>45313</v>
      </c>
    </row>
    <row r="35" spans="10:26" x14ac:dyDescent="0.2">
      <c r="S35" s="1">
        <f t="shared" si="0"/>
        <v>45306</v>
      </c>
    </row>
    <row r="36" spans="10:26" x14ac:dyDescent="0.2">
      <c r="S36" s="1">
        <f t="shared" si="0"/>
        <v>45299</v>
      </c>
    </row>
    <row r="37" spans="10:26" x14ac:dyDescent="0.2">
      <c r="S37" s="1">
        <f t="shared" si="0"/>
        <v>45292</v>
      </c>
    </row>
    <row r="38" spans="10:26" x14ac:dyDescent="0.2">
      <c r="S38" s="1">
        <f t="shared" si="0"/>
        <v>45285</v>
      </c>
    </row>
    <row r="39" spans="10:26" x14ac:dyDescent="0.2">
      <c r="S39" s="1">
        <f t="shared" si="0"/>
        <v>45278</v>
      </c>
    </row>
    <row r="40" spans="10:26" x14ac:dyDescent="0.2">
      <c r="S40" s="1">
        <f t="shared" si="0"/>
        <v>45271</v>
      </c>
    </row>
    <row r="41" spans="10:26" x14ac:dyDescent="0.2">
      <c r="J41" s="1">
        <f t="shared" ref="J41:J72" si="1">J42+7</f>
        <v>45628</v>
      </c>
      <c r="K41" s="3">
        <v>174</v>
      </c>
      <c r="L41" s="2">
        <v>61963</v>
      </c>
      <c r="M41" s="3">
        <v>2695</v>
      </c>
      <c r="N41" s="2">
        <v>1429313</v>
      </c>
      <c r="O41" s="3">
        <f t="shared" ref="O41:O80" si="2">K41+M41</f>
        <v>2869</v>
      </c>
      <c r="P41" s="2">
        <f t="shared" ref="P41:P80" si="3">L41+N41</f>
        <v>1491276</v>
      </c>
      <c r="Q41" s="6">
        <f>P41-P42</f>
        <v>0</v>
      </c>
      <c r="S41" s="1">
        <f t="shared" si="0"/>
        <v>45264</v>
      </c>
      <c r="T41" s="3">
        <v>428</v>
      </c>
      <c r="U41" s="2">
        <v>160415</v>
      </c>
      <c r="V41" s="3">
        <v>2901</v>
      </c>
      <c r="W41" s="2">
        <v>1485674</v>
      </c>
      <c r="X41" s="3">
        <f t="shared" ref="X41" si="4">T41+V41</f>
        <v>3329</v>
      </c>
      <c r="Y41" s="2">
        <f t="shared" ref="Y41" si="5">U41+W41</f>
        <v>1646089</v>
      </c>
      <c r="Z41" s="5">
        <f>Y41-Y42</f>
        <v>1963</v>
      </c>
    </row>
    <row r="42" spans="10:26" x14ac:dyDescent="0.2">
      <c r="J42" s="1">
        <f t="shared" si="1"/>
        <v>45621</v>
      </c>
      <c r="K42" s="3">
        <v>174</v>
      </c>
      <c r="L42" s="2">
        <v>61963</v>
      </c>
      <c r="M42" s="3">
        <v>2695</v>
      </c>
      <c r="N42" s="2">
        <v>1429313</v>
      </c>
      <c r="O42" s="3">
        <f t="shared" si="2"/>
        <v>2869</v>
      </c>
      <c r="P42" s="2">
        <f t="shared" si="3"/>
        <v>1491276</v>
      </c>
      <c r="Q42" s="6">
        <f t="shared" ref="Q42:Q80" si="6">P42-P43</f>
        <v>847</v>
      </c>
      <c r="S42" s="1">
        <f t="shared" si="0"/>
        <v>45257</v>
      </c>
      <c r="T42" s="3">
        <v>421</v>
      </c>
      <c r="U42" s="2">
        <v>158650</v>
      </c>
      <c r="V42" s="3">
        <v>2899</v>
      </c>
      <c r="W42" s="2">
        <v>1485476</v>
      </c>
      <c r="X42" s="3">
        <f t="shared" ref="X42" si="7">T42+V42</f>
        <v>3320</v>
      </c>
      <c r="Y42" s="2">
        <f t="shared" ref="Y42" si="8">U42+W42</f>
        <v>1644126</v>
      </c>
      <c r="Z42" s="5">
        <f t="shared" ref="Z42:Z84" si="9">Y42-Y43</f>
        <v>1523</v>
      </c>
    </row>
    <row r="43" spans="10:26" x14ac:dyDescent="0.2">
      <c r="J43" s="1">
        <f t="shared" si="1"/>
        <v>45614</v>
      </c>
      <c r="K43" s="3">
        <v>172</v>
      </c>
      <c r="L43" s="2">
        <v>61116</v>
      </c>
      <c r="M43" s="3">
        <v>2695</v>
      </c>
      <c r="N43" s="2">
        <v>1429313</v>
      </c>
      <c r="O43" s="3">
        <f t="shared" si="2"/>
        <v>2867</v>
      </c>
      <c r="P43" s="2">
        <f t="shared" si="3"/>
        <v>1490429</v>
      </c>
      <c r="Q43" s="6">
        <f t="shared" si="6"/>
        <v>860</v>
      </c>
      <c r="S43" s="1">
        <f t="shared" si="0"/>
        <v>45250</v>
      </c>
      <c r="T43" s="3">
        <v>412</v>
      </c>
      <c r="U43" s="2">
        <v>157127</v>
      </c>
      <c r="V43" s="3">
        <v>2899</v>
      </c>
      <c r="W43" s="2">
        <v>1485476</v>
      </c>
      <c r="X43" s="3">
        <f t="shared" ref="X43" si="10">T43+V43</f>
        <v>3311</v>
      </c>
      <c r="Y43" s="2">
        <f t="shared" ref="Y43" si="11">U43+W43</f>
        <v>1642603</v>
      </c>
      <c r="Z43" s="5">
        <f t="shared" si="9"/>
        <v>1188</v>
      </c>
    </row>
    <row r="44" spans="10:26" x14ac:dyDescent="0.2">
      <c r="J44" s="1">
        <f t="shared" si="1"/>
        <v>45607</v>
      </c>
      <c r="K44" s="3">
        <v>170</v>
      </c>
      <c r="L44" s="2">
        <v>60256</v>
      </c>
      <c r="M44" s="3">
        <v>2695</v>
      </c>
      <c r="N44" s="2">
        <v>1429313</v>
      </c>
      <c r="O44" s="3">
        <f t="shared" si="2"/>
        <v>2865</v>
      </c>
      <c r="P44" s="2">
        <f t="shared" si="3"/>
        <v>1489569</v>
      </c>
      <c r="Q44" s="6">
        <f t="shared" si="6"/>
        <v>0</v>
      </c>
      <c r="S44" s="1">
        <f t="shared" si="0"/>
        <v>45243</v>
      </c>
      <c r="T44" s="3">
        <v>408</v>
      </c>
      <c r="U44" s="2">
        <v>155939</v>
      </c>
      <c r="V44" s="3">
        <v>2899</v>
      </c>
      <c r="W44" s="2">
        <v>1485476</v>
      </c>
      <c r="X44" s="3">
        <f t="shared" ref="X44" si="12">T44+V44</f>
        <v>3307</v>
      </c>
      <c r="Y44" s="2">
        <f t="shared" ref="Y44" si="13">U44+W44</f>
        <v>1641415</v>
      </c>
      <c r="Z44" s="5">
        <f t="shared" si="9"/>
        <v>396</v>
      </c>
    </row>
    <row r="45" spans="10:26" x14ac:dyDescent="0.2">
      <c r="J45" s="1">
        <f t="shared" si="1"/>
        <v>45600</v>
      </c>
      <c r="K45" s="3">
        <v>170</v>
      </c>
      <c r="L45" s="2">
        <v>60256</v>
      </c>
      <c r="M45" s="3">
        <v>2695</v>
      </c>
      <c r="N45" s="2">
        <v>1429313</v>
      </c>
      <c r="O45" s="3">
        <f t="shared" si="2"/>
        <v>2865</v>
      </c>
      <c r="P45" s="2">
        <f t="shared" si="3"/>
        <v>1489569</v>
      </c>
      <c r="Q45" s="6">
        <f t="shared" si="6"/>
        <v>462</v>
      </c>
      <c r="S45" s="1">
        <f t="shared" si="0"/>
        <v>45236</v>
      </c>
      <c r="T45" s="3">
        <v>404</v>
      </c>
      <c r="U45" s="2">
        <v>155543</v>
      </c>
      <c r="V45" s="3">
        <v>2899</v>
      </c>
      <c r="W45" s="2">
        <v>1485476</v>
      </c>
      <c r="X45" s="3">
        <f t="shared" ref="X45" si="14">T45+V45</f>
        <v>3303</v>
      </c>
      <c r="Y45" s="2">
        <f t="shared" ref="Y45" si="15">U45+W45</f>
        <v>1641019</v>
      </c>
      <c r="Z45" s="5">
        <f t="shared" si="9"/>
        <v>2559</v>
      </c>
    </row>
    <row r="46" spans="10:26" x14ac:dyDescent="0.2">
      <c r="J46" s="1">
        <f t="shared" si="1"/>
        <v>45593</v>
      </c>
      <c r="K46" s="3">
        <v>169</v>
      </c>
      <c r="L46" s="2">
        <v>59794</v>
      </c>
      <c r="M46" s="3">
        <v>2695</v>
      </c>
      <c r="N46" s="2">
        <v>1429313</v>
      </c>
      <c r="O46" s="3">
        <f t="shared" si="2"/>
        <v>2864</v>
      </c>
      <c r="P46" s="2">
        <f t="shared" si="3"/>
        <v>1489107</v>
      </c>
      <c r="Q46" s="6">
        <f t="shared" si="6"/>
        <v>1716</v>
      </c>
      <c r="S46" s="1">
        <f t="shared" si="0"/>
        <v>45229</v>
      </c>
      <c r="T46" s="3">
        <v>396</v>
      </c>
      <c r="U46" s="2">
        <v>153281</v>
      </c>
      <c r="V46" s="3">
        <v>2896</v>
      </c>
      <c r="W46" s="2">
        <v>1485179</v>
      </c>
      <c r="X46" s="3">
        <f t="shared" ref="X46" si="16">T46+V46</f>
        <v>3292</v>
      </c>
      <c r="Y46" s="2">
        <f t="shared" ref="Y46" si="17">U46+W46</f>
        <v>1638460</v>
      </c>
      <c r="Z46" s="5">
        <f t="shared" si="9"/>
        <v>1313</v>
      </c>
    </row>
    <row r="47" spans="10:26" x14ac:dyDescent="0.2">
      <c r="J47" s="1">
        <f t="shared" si="1"/>
        <v>45586</v>
      </c>
      <c r="K47" s="3">
        <v>169</v>
      </c>
      <c r="L47" s="2">
        <v>59794</v>
      </c>
      <c r="M47" s="3">
        <v>2693</v>
      </c>
      <c r="N47" s="2">
        <v>1427597</v>
      </c>
      <c r="O47" s="3">
        <f t="shared" si="2"/>
        <v>2862</v>
      </c>
      <c r="P47" s="2">
        <f t="shared" si="3"/>
        <v>1487391</v>
      </c>
      <c r="Q47" s="6">
        <f t="shared" si="6"/>
        <v>0</v>
      </c>
      <c r="S47" s="1">
        <f t="shared" si="0"/>
        <v>45222</v>
      </c>
      <c r="T47" s="3">
        <v>396</v>
      </c>
      <c r="U47" s="2">
        <v>153281</v>
      </c>
      <c r="V47" s="3">
        <v>2894</v>
      </c>
      <c r="W47" s="2">
        <v>1483866</v>
      </c>
      <c r="X47" s="3">
        <f t="shared" ref="X47" si="18">T47+V47</f>
        <v>3290</v>
      </c>
      <c r="Y47" s="2">
        <f t="shared" ref="Y47" si="19">U47+W47</f>
        <v>1637147</v>
      </c>
      <c r="Z47" s="5">
        <f t="shared" si="9"/>
        <v>1486</v>
      </c>
    </row>
    <row r="48" spans="10:26" x14ac:dyDescent="0.2">
      <c r="J48" s="1">
        <f t="shared" si="1"/>
        <v>45579</v>
      </c>
      <c r="K48" s="3">
        <v>169</v>
      </c>
      <c r="L48" s="2">
        <v>59794</v>
      </c>
      <c r="M48" s="3">
        <v>2693</v>
      </c>
      <c r="N48" s="2">
        <v>1427597</v>
      </c>
      <c r="O48" s="3">
        <f t="shared" si="2"/>
        <v>2862</v>
      </c>
      <c r="P48" s="2">
        <f t="shared" si="3"/>
        <v>1487391</v>
      </c>
      <c r="Q48" s="6">
        <f t="shared" si="6"/>
        <v>0</v>
      </c>
      <c r="S48" s="1">
        <f t="shared" si="0"/>
        <v>45215</v>
      </c>
      <c r="T48" s="3">
        <v>393</v>
      </c>
      <c r="U48" s="2">
        <v>152257</v>
      </c>
      <c r="V48" s="3">
        <v>2893</v>
      </c>
      <c r="W48" s="2">
        <v>1483404</v>
      </c>
      <c r="X48" s="3">
        <f t="shared" ref="X48" si="20">T48+V48</f>
        <v>3286</v>
      </c>
      <c r="Y48" s="2">
        <f t="shared" ref="Y48" si="21">U48+W48</f>
        <v>1635661</v>
      </c>
      <c r="Z48" s="5">
        <f t="shared" si="9"/>
        <v>1266</v>
      </c>
    </row>
    <row r="49" spans="1:26" x14ac:dyDescent="0.2">
      <c r="B49" s="12"/>
      <c r="J49" s="1">
        <f t="shared" si="1"/>
        <v>45572</v>
      </c>
      <c r="K49" s="3">
        <v>169</v>
      </c>
      <c r="L49" s="2">
        <v>59794</v>
      </c>
      <c r="M49" s="3">
        <v>2693</v>
      </c>
      <c r="N49" s="2">
        <v>1427597</v>
      </c>
      <c r="O49" s="3">
        <f t="shared" si="2"/>
        <v>2862</v>
      </c>
      <c r="P49" s="2">
        <f t="shared" si="3"/>
        <v>1487391</v>
      </c>
      <c r="Q49" s="6">
        <f t="shared" si="6"/>
        <v>1698</v>
      </c>
      <c r="S49" s="1">
        <f t="shared" si="0"/>
        <v>45208</v>
      </c>
      <c r="T49" s="3">
        <v>387</v>
      </c>
      <c r="U49" s="2">
        <v>151123</v>
      </c>
      <c r="V49" s="3">
        <v>2892</v>
      </c>
      <c r="W49" s="2">
        <v>1483272</v>
      </c>
      <c r="X49" s="3">
        <f t="shared" ref="X49" si="22">T49+V49</f>
        <v>3279</v>
      </c>
      <c r="Y49" s="2">
        <f t="shared" ref="Y49" si="23">U49+W49</f>
        <v>1634395</v>
      </c>
      <c r="Z49" s="5">
        <f t="shared" si="9"/>
        <v>818</v>
      </c>
    </row>
    <row r="50" spans="1:26" x14ac:dyDescent="0.2">
      <c r="J50" s="1">
        <f t="shared" si="1"/>
        <v>45565</v>
      </c>
      <c r="K50" s="3">
        <v>165</v>
      </c>
      <c r="L50" s="2">
        <v>58096</v>
      </c>
      <c r="M50" s="3">
        <v>2693</v>
      </c>
      <c r="N50" s="2">
        <v>1427597</v>
      </c>
      <c r="O50" s="3">
        <f t="shared" si="2"/>
        <v>2858</v>
      </c>
      <c r="P50" s="2">
        <f t="shared" si="3"/>
        <v>1485693</v>
      </c>
      <c r="Q50" s="6">
        <f t="shared" si="6"/>
        <v>2742</v>
      </c>
      <c r="S50" s="1">
        <f t="shared" si="0"/>
        <v>45201</v>
      </c>
      <c r="T50" s="3">
        <v>385</v>
      </c>
      <c r="U50" s="2">
        <v>150305</v>
      </c>
      <c r="V50" s="3">
        <v>2892</v>
      </c>
      <c r="W50" s="2">
        <v>1483272</v>
      </c>
      <c r="X50" s="3">
        <f t="shared" ref="X50" si="24">T50+V50</f>
        <v>3277</v>
      </c>
      <c r="Y50" s="2">
        <f t="shared" ref="Y50" si="25">U50+W50</f>
        <v>1633577</v>
      </c>
      <c r="Z50" s="5">
        <f t="shared" si="9"/>
        <v>3018</v>
      </c>
    </row>
    <row r="51" spans="1:26" x14ac:dyDescent="0.2">
      <c r="J51" s="1">
        <f t="shared" si="1"/>
        <v>45558</v>
      </c>
      <c r="K51" s="3">
        <v>163</v>
      </c>
      <c r="L51" s="2">
        <v>57040</v>
      </c>
      <c r="M51" s="3">
        <v>2690</v>
      </c>
      <c r="N51" s="2">
        <v>1425911</v>
      </c>
      <c r="O51" s="3">
        <f t="shared" si="2"/>
        <v>2853</v>
      </c>
      <c r="P51" s="2">
        <f t="shared" si="3"/>
        <v>1482951</v>
      </c>
      <c r="Q51" s="6">
        <f t="shared" si="6"/>
        <v>0</v>
      </c>
      <c r="S51" s="1">
        <f t="shared" si="0"/>
        <v>45194</v>
      </c>
      <c r="T51" s="3">
        <v>383</v>
      </c>
      <c r="U51" s="2">
        <v>148134</v>
      </c>
      <c r="V51" s="3">
        <v>2889</v>
      </c>
      <c r="W51" s="2">
        <v>1482425</v>
      </c>
      <c r="X51" s="3">
        <f t="shared" ref="X51" si="26">T51+V51</f>
        <v>3272</v>
      </c>
      <c r="Y51" s="2">
        <f t="shared" ref="Y51" si="27">U51+W51</f>
        <v>1630559</v>
      </c>
      <c r="Z51" s="5">
        <f t="shared" si="9"/>
        <v>0</v>
      </c>
    </row>
    <row r="52" spans="1:26" x14ac:dyDescent="0.2">
      <c r="J52" s="1">
        <f t="shared" si="1"/>
        <v>45551</v>
      </c>
      <c r="K52" s="3">
        <v>163</v>
      </c>
      <c r="L52" s="2">
        <v>57040</v>
      </c>
      <c r="M52" s="3">
        <v>2690</v>
      </c>
      <c r="N52" s="2">
        <v>1425911</v>
      </c>
      <c r="O52" s="3">
        <f t="shared" si="2"/>
        <v>2853</v>
      </c>
      <c r="P52" s="2">
        <f t="shared" si="3"/>
        <v>1482951</v>
      </c>
      <c r="Q52" s="6">
        <f t="shared" si="6"/>
        <v>3346</v>
      </c>
      <c r="S52" s="1">
        <f t="shared" si="0"/>
        <v>45187</v>
      </c>
      <c r="T52" s="3">
        <v>383</v>
      </c>
      <c r="U52" s="2">
        <v>148134</v>
      </c>
      <c r="V52" s="3">
        <v>2889</v>
      </c>
      <c r="W52" s="2">
        <v>1482425</v>
      </c>
      <c r="X52" s="3">
        <f t="shared" ref="X52" si="28">T52+V52</f>
        <v>3272</v>
      </c>
      <c r="Y52" s="2">
        <f t="shared" ref="Y52" si="29">U52+W52</f>
        <v>1630559</v>
      </c>
      <c r="Z52" s="5">
        <f t="shared" si="9"/>
        <v>7018</v>
      </c>
    </row>
    <row r="53" spans="1:26" x14ac:dyDescent="0.2">
      <c r="A53" s="1">
        <v>45908</v>
      </c>
      <c r="B53" s="12">
        <v>300</v>
      </c>
      <c r="C53" s="7">
        <v>134602</v>
      </c>
      <c r="D53" s="12">
        <v>2426</v>
      </c>
      <c r="E53" s="7">
        <v>1411029</v>
      </c>
      <c r="F53" s="12">
        <f t="shared" ref="F53" si="30">B53+D53</f>
        <v>2726</v>
      </c>
      <c r="G53" s="7">
        <f t="shared" ref="G53" si="31">C53+E53</f>
        <v>1545631</v>
      </c>
      <c r="H53" s="7">
        <f t="shared" ref="H53" si="32">G53-G54</f>
        <v>3828</v>
      </c>
      <c r="J53" s="1">
        <f t="shared" si="1"/>
        <v>45544</v>
      </c>
      <c r="K53" s="3">
        <v>154</v>
      </c>
      <c r="L53" s="2">
        <v>53694</v>
      </c>
      <c r="M53" s="3">
        <v>2690</v>
      </c>
      <c r="N53" s="2">
        <v>1425911</v>
      </c>
      <c r="O53" s="3">
        <f t="shared" si="2"/>
        <v>2844</v>
      </c>
      <c r="P53" s="2">
        <f t="shared" si="3"/>
        <v>1479605</v>
      </c>
      <c r="Q53" s="6">
        <f t="shared" si="6"/>
        <v>448</v>
      </c>
      <c r="S53" s="1">
        <f t="shared" si="0"/>
        <v>45180</v>
      </c>
      <c r="T53" s="3">
        <v>370</v>
      </c>
      <c r="U53" s="2">
        <v>141116</v>
      </c>
      <c r="V53" s="3">
        <v>2889</v>
      </c>
      <c r="W53" s="2">
        <v>1482425</v>
      </c>
      <c r="X53" s="3">
        <f t="shared" ref="X53" si="33">T53+V53</f>
        <v>3259</v>
      </c>
      <c r="Y53" s="2">
        <f t="shared" ref="Y53" si="34">U53+W53</f>
        <v>1623541</v>
      </c>
      <c r="Z53" s="5">
        <f t="shared" si="9"/>
        <v>0</v>
      </c>
    </row>
    <row r="54" spans="1:26" x14ac:dyDescent="0.2">
      <c r="A54" s="1">
        <v>45901</v>
      </c>
      <c r="B54" s="12">
        <v>290</v>
      </c>
      <c r="C54" s="7">
        <v>131355</v>
      </c>
      <c r="D54" s="12">
        <v>2425</v>
      </c>
      <c r="E54" s="7">
        <v>1410448</v>
      </c>
      <c r="F54" s="12">
        <f t="shared" ref="F54" si="35">B54+D54</f>
        <v>2715</v>
      </c>
      <c r="G54" s="7">
        <f t="shared" ref="G54" si="36">C54+E54</f>
        <v>1541803</v>
      </c>
      <c r="H54" s="7">
        <f t="shared" ref="H54" si="37">G54-G55</f>
        <v>7733</v>
      </c>
      <c r="J54" s="1">
        <f t="shared" si="1"/>
        <v>45537</v>
      </c>
      <c r="K54" s="3">
        <v>152</v>
      </c>
      <c r="L54" s="2">
        <v>53246</v>
      </c>
      <c r="M54" s="3">
        <v>2690</v>
      </c>
      <c r="N54" s="2">
        <v>1425911</v>
      </c>
      <c r="O54" s="3">
        <f t="shared" si="2"/>
        <v>2842</v>
      </c>
      <c r="P54" s="2">
        <f t="shared" si="3"/>
        <v>1479157</v>
      </c>
      <c r="Q54" s="6">
        <f t="shared" si="6"/>
        <v>3149</v>
      </c>
      <c r="S54" s="1">
        <f t="shared" si="0"/>
        <v>45173</v>
      </c>
      <c r="T54" s="3">
        <v>370</v>
      </c>
      <c r="U54" s="2">
        <v>141116</v>
      </c>
      <c r="V54" s="3">
        <v>2889</v>
      </c>
      <c r="W54" s="2">
        <v>1482425</v>
      </c>
      <c r="X54" s="3">
        <f t="shared" ref="X54" si="38">T54+V54</f>
        <v>3259</v>
      </c>
      <c r="Y54" s="2">
        <f t="shared" ref="Y54" si="39">U54+W54</f>
        <v>1623541</v>
      </c>
      <c r="Z54" s="5">
        <f t="shared" si="9"/>
        <v>1089</v>
      </c>
    </row>
    <row r="55" spans="1:26" x14ac:dyDescent="0.2">
      <c r="A55" s="1">
        <v>45894</v>
      </c>
      <c r="B55" s="12">
        <v>271</v>
      </c>
      <c r="C55" s="7">
        <v>124427</v>
      </c>
      <c r="D55" s="12">
        <v>2424</v>
      </c>
      <c r="E55" s="7">
        <v>1409643</v>
      </c>
      <c r="F55" s="12">
        <f t="shared" ref="F55" si="40">B55+D55</f>
        <v>2695</v>
      </c>
      <c r="G55" s="7">
        <f t="shared" ref="G55" si="41">C55+E55</f>
        <v>1534070</v>
      </c>
      <c r="H55" s="7">
        <f t="shared" ref="H55" si="42">G55-G56</f>
        <v>4684</v>
      </c>
      <c r="J55" s="1">
        <f t="shared" si="1"/>
        <v>45530</v>
      </c>
      <c r="K55" s="3">
        <v>145</v>
      </c>
      <c r="L55" s="2">
        <v>51896</v>
      </c>
      <c r="M55" s="3">
        <v>2685</v>
      </c>
      <c r="N55" s="2">
        <v>1424112</v>
      </c>
      <c r="O55" s="3">
        <f t="shared" si="2"/>
        <v>2830</v>
      </c>
      <c r="P55" s="2">
        <f t="shared" si="3"/>
        <v>1476008</v>
      </c>
      <c r="Q55" s="6">
        <f t="shared" si="6"/>
        <v>2401</v>
      </c>
      <c r="S55" s="1">
        <f t="shared" si="0"/>
        <v>45166</v>
      </c>
      <c r="T55" s="3">
        <v>366</v>
      </c>
      <c r="U55" s="2">
        <v>140027</v>
      </c>
      <c r="V55" s="3">
        <v>2889</v>
      </c>
      <c r="W55" s="2">
        <v>1482425</v>
      </c>
      <c r="X55" s="3">
        <f t="shared" ref="X55" si="43">T55+V55</f>
        <v>3255</v>
      </c>
      <c r="Y55" s="2">
        <f t="shared" ref="Y55" si="44">U55+W55</f>
        <v>1622452</v>
      </c>
      <c r="Z55" s="5">
        <f t="shared" si="9"/>
        <v>3764</v>
      </c>
    </row>
    <row r="56" spans="1:26" x14ac:dyDescent="0.2">
      <c r="A56" s="1">
        <v>45887</v>
      </c>
      <c r="B56" s="12">
        <v>261</v>
      </c>
      <c r="C56" s="7">
        <v>122067</v>
      </c>
      <c r="D56" s="12">
        <v>2418</v>
      </c>
      <c r="E56" s="7">
        <v>1407319</v>
      </c>
      <c r="F56" s="12">
        <f t="shared" ref="F56" si="45">B56+D56</f>
        <v>2679</v>
      </c>
      <c r="G56" s="7">
        <f t="shared" ref="G56" si="46">C56+E56</f>
        <v>1529386</v>
      </c>
      <c r="H56" s="7">
        <f t="shared" ref="H56" si="47">G56-G57</f>
        <v>3259</v>
      </c>
      <c r="J56" s="1">
        <f t="shared" si="1"/>
        <v>45523</v>
      </c>
      <c r="K56" s="3">
        <v>141</v>
      </c>
      <c r="L56" s="2">
        <v>50566</v>
      </c>
      <c r="M56" s="3">
        <v>2682</v>
      </c>
      <c r="N56" s="2">
        <v>1423041</v>
      </c>
      <c r="O56" s="3">
        <f t="shared" si="2"/>
        <v>2823</v>
      </c>
      <c r="P56" s="2">
        <f t="shared" si="3"/>
        <v>1473607</v>
      </c>
      <c r="Q56" s="6">
        <f t="shared" si="6"/>
        <v>2785</v>
      </c>
      <c r="S56" s="1">
        <f t="shared" si="0"/>
        <v>45159</v>
      </c>
      <c r="T56" s="3">
        <v>358</v>
      </c>
      <c r="U56" s="2">
        <v>136263</v>
      </c>
      <c r="V56" s="3">
        <v>2889</v>
      </c>
      <c r="W56" s="2">
        <v>1482425</v>
      </c>
      <c r="X56" s="3">
        <f t="shared" ref="X56" si="48">T56+V56</f>
        <v>3247</v>
      </c>
      <c r="Y56" s="2">
        <f t="shared" ref="Y56" si="49">U56+W56</f>
        <v>1618688</v>
      </c>
      <c r="Z56" s="5">
        <f t="shared" si="9"/>
        <v>1232</v>
      </c>
    </row>
    <row r="57" spans="1:26" x14ac:dyDescent="0.2">
      <c r="A57" s="1">
        <v>45880</v>
      </c>
      <c r="B57" s="9">
        <v>253</v>
      </c>
      <c r="C57" s="10">
        <v>118808</v>
      </c>
      <c r="D57" s="9">
        <v>2418</v>
      </c>
      <c r="E57" s="10">
        <v>1407319</v>
      </c>
      <c r="F57" s="9">
        <f t="shared" ref="F57" si="50">B57+D57</f>
        <v>2671</v>
      </c>
      <c r="G57" s="10">
        <f t="shared" ref="G57" si="51">C57+E57</f>
        <v>1526127</v>
      </c>
      <c r="H57" s="11">
        <f t="shared" ref="H57" si="52">G57-G58</f>
        <v>2835</v>
      </c>
      <c r="J57" s="1">
        <f t="shared" si="1"/>
        <v>45516</v>
      </c>
      <c r="K57" s="3">
        <v>135</v>
      </c>
      <c r="L57" s="2">
        <v>47781</v>
      </c>
      <c r="M57" s="3">
        <v>2682</v>
      </c>
      <c r="N57" s="2">
        <v>1423041</v>
      </c>
      <c r="O57" s="3">
        <f t="shared" si="2"/>
        <v>2817</v>
      </c>
      <c r="P57" s="2">
        <f t="shared" si="3"/>
        <v>1470822</v>
      </c>
      <c r="Q57" s="6">
        <f t="shared" si="6"/>
        <v>2387</v>
      </c>
      <c r="S57" s="1">
        <f t="shared" si="0"/>
        <v>45152</v>
      </c>
      <c r="T57" s="3">
        <v>356</v>
      </c>
      <c r="U57" s="2">
        <v>135633</v>
      </c>
      <c r="V57" s="3">
        <v>2886</v>
      </c>
      <c r="W57" s="2">
        <v>1481823</v>
      </c>
      <c r="X57" s="3">
        <f t="shared" ref="X57" si="53">T57+V57</f>
        <v>3242</v>
      </c>
      <c r="Y57" s="2">
        <f t="shared" ref="Y57" si="54">U57+W57</f>
        <v>1617456</v>
      </c>
      <c r="Z57" s="5">
        <f t="shared" si="9"/>
        <v>782</v>
      </c>
    </row>
    <row r="58" spans="1:26" x14ac:dyDescent="0.2">
      <c r="A58" s="1">
        <v>45873</v>
      </c>
      <c r="B58" s="9">
        <v>247</v>
      </c>
      <c r="C58" s="10">
        <v>115973</v>
      </c>
      <c r="D58" s="9">
        <v>2418</v>
      </c>
      <c r="E58" s="10">
        <v>1407319</v>
      </c>
      <c r="F58" s="9">
        <f t="shared" ref="F58" si="55">B58+D58</f>
        <v>2665</v>
      </c>
      <c r="G58" s="10">
        <f t="shared" ref="G58" si="56">C58+E58</f>
        <v>1523292</v>
      </c>
      <c r="H58" s="11">
        <f t="shared" ref="H58" si="57">G58-G59</f>
        <v>5903</v>
      </c>
      <c r="J58" s="1">
        <f t="shared" si="1"/>
        <v>45509</v>
      </c>
      <c r="K58" s="3">
        <v>128</v>
      </c>
      <c r="L58" s="2">
        <v>45996</v>
      </c>
      <c r="M58" s="3">
        <v>2680</v>
      </c>
      <c r="N58" s="2">
        <v>1422439</v>
      </c>
      <c r="O58" s="3">
        <f t="shared" si="2"/>
        <v>2808</v>
      </c>
      <c r="P58" s="2">
        <f t="shared" si="3"/>
        <v>1468435</v>
      </c>
      <c r="Q58" s="6">
        <f t="shared" si="6"/>
        <v>1688</v>
      </c>
      <c r="S58" s="1">
        <f t="shared" si="0"/>
        <v>45145</v>
      </c>
      <c r="T58" s="3">
        <v>353</v>
      </c>
      <c r="U58" s="2">
        <v>134851</v>
      </c>
      <c r="V58" s="3">
        <v>2886</v>
      </c>
      <c r="W58" s="2">
        <v>1481823</v>
      </c>
      <c r="X58" s="3">
        <f t="shared" ref="X58" si="58">T58+V58</f>
        <v>3239</v>
      </c>
      <c r="Y58" s="2">
        <f t="shared" ref="Y58" si="59">U58+W58</f>
        <v>1616674</v>
      </c>
      <c r="Z58" s="5">
        <f t="shared" si="9"/>
        <v>1889</v>
      </c>
    </row>
    <row r="59" spans="1:26" x14ac:dyDescent="0.2">
      <c r="A59" s="1">
        <v>45866</v>
      </c>
      <c r="B59" s="9">
        <v>241</v>
      </c>
      <c r="C59" s="10">
        <v>113481</v>
      </c>
      <c r="D59" s="9">
        <v>2416</v>
      </c>
      <c r="E59" s="10">
        <v>1403908</v>
      </c>
      <c r="F59" s="9">
        <f t="shared" ref="F59" si="60">B59+D59</f>
        <v>2657</v>
      </c>
      <c r="G59" s="10">
        <f t="shared" ref="G59" si="61">C59+E59</f>
        <v>1517389</v>
      </c>
      <c r="H59" s="11">
        <f t="shared" ref="H59" si="62">G59-G60</f>
        <v>2584</v>
      </c>
      <c r="J59" s="1">
        <f t="shared" si="1"/>
        <v>45502</v>
      </c>
      <c r="K59" s="3">
        <v>125</v>
      </c>
      <c r="L59" s="2">
        <v>44602</v>
      </c>
      <c r="M59" s="3">
        <v>2678</v>
      </c>
      <c r="N59" s="2">
        <v>1422145</v>
      </c>
      <c r="O59" s="3">
        <f t="shared" si="2"/>
        <v>2803</v>
      </c>
      <c r="P59" s="2">
        <f t="shared" si="3"/>
        <v>1466747</v>
      </c>
      <c r="Q59" s="6">
        <f t="shared" si="6"/>
        <v>3404</v>
      </c>
      <c r="S59" s="1">
        <f t="shared" si="0"/>
        <v>45138</v>
      </c>
      <c r="T59" s="3">
        <v>347</v>
      </c>
      <c r="U59" s="2">
        <v>133928</v>
      </c>
      <c r="V59" s="3">
        <v>2884</v>
      </c>
      <c r="W59" s="2">
        <v>1480857</v>
      </c>
      <c r="X59" s="3">
        <f t="shared" ref="X59" si="63">T59+V59</f>
        <v>3231</v>
      </c>
      <c r="Y59" s="2">
        <f t="shared" ref="Y59" si="64">U59+W59</f>
        <v>1614785</v>
      </c>
      <c r="Z59" s="5">
        <f t="shared" si="9"/>
        <v>2778</v>
      </c>
    </row>
    <row r="60" spans="1:26" x14ac:dyDescent="0.2">
      <c r="A60" s="1">
        <v>45859</v>
      </c>
      <c r="B60" s="9">
        <v>237</v>
      </c>
      <c r="C60" s="10">
        <v>110751</v>
      </c>
      <c r="D60" s="9">
        <v>2417</v>
      </c>
      <c r="E60" s="10">
        <v>1404054</v>
      </c>
      <c r="F60" s="9">
        <f t="shared" ref="F60" si="65">B60+D60</f>
        <v>2654</v>
      </c>
      <c r="G60" s="10">
        <f t="shared" ref="G60" si="66">C60+E60</f>
        <v>1514805</v>
      </c>
      <c r="H60" s="11">
        <f t="shared" ref="H60" si="67">G60-G61</f>
        <v>1217</v>
      </c>
      <c r="J60" s="1">
        <f t="shared" si="1"/>
        <v>45495</v>
      </c>
      <c r="K60" s="3">
        <v>119</v>
      </c>
      <c r="L60" s="2">
        <v>42194</v>
      </c>
      <c r="M60" s="3">
        <v>2676</v>
      </c>
      <c r="N60" s="2">
        <v>1421149</v>
      </c>
      <c r="O60" s="3">
        <f t="shared" si="2"/>
        <v>2795</v>
      </c>
      <c r="P60" s="2">
        <f t="shared" si="3"/>
        <v>1463343</v>
      </c>
      <c r="Q60" s="6">
        <f t="shared" si="6"/>
        <v>1659</v>
      </c>
      <c r="S60" s="1">
        <f t="shared" si="0"/>
        <v>45131</v>
      </c>
      <c r="T60" s="3">
        <v>339</v>
      </c>
      <c r="U60" s="2">
        <v>131150</v>
      </c>
      <c r="V60" s="3">
        <v>2884</v>
      </c>
      <c r="W60" s="2">
        <v>1480857</v>
      </c>
      <c r="X60" s="3">
        <f t="shared" ref="X60" si="68">T60+V60</f>
        <v>3223</v>
      </c>
      <c r="Y60" s="2">
        <f t="shared" ref="Y60" si="69">U60+W60</f>
        <v>1612007</v>
      </c>
      <c r="Z60" s="5">
        <f t="shared" si="9"/>
        <v>1633</v>
      </c>
    </row>
    <row r="61" spans="1:26" x14ac:dyDescent="0.2">
      <c r="A61" s="1">
        <v>45852</v>
      </c>
      <c r="B61" s="9">
        <v>223</v>
      </c>
      <c r="C61" s="10">
        <v>106511</v>
      </c>
      <c r="D61" s="9">
        <v>2415</v>
      </c>
      <c r="E61" s="10">
        <v>1407077</v>
      </c>
      <c r="F61" s="9">
        <f t="shared" ref="F61" si="70">B61+D61</f>
        <v>2638</v>
      </c>
      <c r="G61" s="10">
        <f t="shared" ref="G61" si="71">C61+E61</f>
        <v>1513588</v>
      </c>
      <c r="H61" s="11">
        <f t="shared" ref="H61" si="72">G61-G62</f>
        <v>-21925</v>
      </c>
      <c r="J61" s="1">
        <f t="shared" si="1"/>
        <v>45488</v>
      </c>
      <c r="K61" s="3">
        <v>118</v>
      </c>
      <c r="L61" s="2">
        <v>41081</v>
      </c>
      <c r="M61" s="3">
        <v>2674</v>
      </c>
      <c r="N61" s="2">
        <v>1420603</v>
      </c>
      <c r="O61" s="3">
        <f t="shared" si="2"/>
        <v>2792</v>
      </c>
      <c r="P61" s="2">
        <f t="shared" si="3"/>
        <v>1461684</v>
      </c>
      <c r="Q61" s="6">
        <f t="shared" si="6"/>
        <v>2254</v>
      </c>
      <c r="S61" s="1">
        <f t="shared" si="0"/>
        <v>45124</v>
      </c>
      <c r="T61" s="3">
        <v>336</v>
      </c>
      <c r="U61" s="2">
        <v>130381</v>
      </c>
      <c r="V61" s="3">
        <v>2882</v>
      </c>
      <c r="W61" s="2">
        <v>1479993</v>
      </c>
      <c r="X61" s="3">
        <f t="shared" ref="X61" si="73">T61+V61</f>
        <v>3218</v>
      </c>
      <c r="Y61" s="2">
        <f t="shared" ref="Y61" si="74">U61+W61</f>
        <v>1610374</v>
      </c>
      <c r="Z61" s="5">
        <f t="shared" si="9"/>
        <v>7228</v>
      </c>
    </row>
    <row r="62" spans="1:26" x14ac:dyDescent="0.2">
      <c r="A62" s="1">
        <v>45845</v>
      </c>
      <c r="B62" s="9">
        <v>219</v>
      </c>
      <c r="C62" s="10">
        <v>106582</v>
      </c>
      <c r="D62" s="9">
        <v>2413</v>
      </c>
      <c r="E62" s="10">
        <v>1428931</v>
      </c>
      <c r="F62" s="9">
        <f t="shared" ref="F62:G62" si="75">B62+D62</f>
        <v>2632</v>
      </c>
      <c r="G62" s="10">
        <f t="shared" si="75"/>
        <v>1535513</v>
      </c>
      <c r="H62" s="11">
        <f t="shared" ref="H62" si="76">G62-G63</f>
        <v>2897</v>
      </c>
      <c r="J62" s="1">
        <f t="shared" si="1"/>
        <v>45481</v>
      </c>
      <c r="K62" s="3">
        <v>118</v>
      </c>
      <c r="L62" s="2">
        <v>41081</v>
      </c>
      <c r="M62" s="3">
        <v>2670</v>
      </c>
      <c r="N62" s="2">
        <v>1418349</v>
      </c>
      <c r="O62" s="3">
        <f t="shared" si="2"/>
        <v>2788</v>
      </c>
      <c r="P62" s="2">
        <f t="shared" si="3"/>
        <v>1459430</v>
      </c>
      <c r="Q62" s="6">
        <f t="shared" si="6"/>
        <v>3121</v>
      </c>
      <c r="S62" s="1">
        <f t="shared" si="0"/>
        <v>45117</v>
      </c>
      <c r="T62" s="3">
        <v>321</v>
      </c>
      <c r="U62" s="2">
        <v>125099</v>
      </c>
      <c r="V62" s="3">
        <v>2880</v>
      </c>
      <c r="W62" s="2">
        <v>1478047</v>
      </c>
      <c r="X62" s="3">
        <f t="shared" ref="X62" si="77">T62+V62</f>
        <v>3201</v>
      </c>
      <c r="Y62" s="2">
        <f t="shared" ref="Y62" si="78">U62+W62</f>
        <v>1603146</v>
      </c>
      <c r="Z62" s="5">
        <f t="shared" si="9"/>
        <v>154</v>
      </c>
    </row>
    <row r="63" spans="1:26" x14ac:dyDescent="0.2">
      <c r="A63" s="1">
        <v>45838</v>
      </c>
      <c r="B63" s="9">
        <v>209</v>
      </c>
      <c r="C63" s="10">
        <v>104994</v>
      </c>
      <c r="D63" s="9">
        <v>2413</v>
      </c>
      <c r="E63" s="10">
        <v>1427622</v>
      </c>
      <c r="F63" s="9">
        <f t="shared" ref="F63" si="79">B63+D63</f>
        <v>2622</v>
      </c>
      <c r="G63" s="10">
        <f t="shared" ref="G63" si="80">C63+E63</f>
        <v>1532616</v>
      </c>
      <c r="H63" s="11">
        <f t="shared" ref="H63:H70" si="81">G63-G64</f>
        <v>5571</v>
      </c>
      <c r="J63" s="1">
        <f t="shared" si="1"/>
        <v>45474</v>
      </c>
      <c r="K63" s="3">
        <v>113</v>
      </c>
      <c r="L63" s="2">
        <v>38890</v>
      </c>
      <c r="M63" s="3">
        <v>2667</v>
      </c>
      <c r="N63" s="2">
        <v>1417419</v>
      </c>
      <c r="O63" s="3">
        <f t="shared" si="2"/>
        <v>2780</v>
      </c>
      <c r="P63" s="2">
        <f t="shared" si="3"/>
        <v>1456309</v>
      </c>
      <c r="Q63" s="6">
        <f t="shared" si="6"/>
        <v>1101</v>
      </c>
      <c r="S63" s="1">
        <f t="shared" si="0"/>
        <v>45110</v>
      </c>
      <c r="T63" s="3">
        <v>320</v>
      </c>
      <c r="U63" s="2">
        <v>124945</v>
      </c>
      <c r="V63" s="3">
        <v>2880</v>
      </c>
      <c r="W63" s="2">
        <v>1478047</v>
      </c>
      <c r="X63" s="3">
        <f t="shared" ref="X63" si="82">T63+V63</f>
        <v>3200</v>
      </c>
      <c r="Y63" s="2">
        <f t="shared" ref="Y63" si="83">U63+W63</f>
        <v>1602992</v>
      </c>
      <c r="Z63" s="5">
        <f t="shared" si="9"/>
        <v>6298</v>
      </c>
    </row>
    <row r="64" spans="1:26" x14ac:dyDescent="0.2">
      <c r="A64" s="1">
        <v>45831</v>
      </c>
      <c r="B64" s="9">
        <v>200</v>
      </c>
      <c r="C64" s="10">
        <v>100605</v>
      </c>
      <c r="D64" s="9">
        <v>2409</v>
      </c>
      <c r="E64" s="10">
        <v>1426440</v>
      </c>
      <c r="F64" s="9">
        <f t="shared" ref="F64" si="84">B64+D64</f>
        <v>2609</v>
      </c>
      <c r="G64" s="10">
        <f t="shared" ref="G64" si="85">C64+E64</f>
        <v>1527045</v>
      </c>
      <c r="H64" s="11">
        <f t="shared" si="81"/>
        <v>24110</v>
      </c>
      <c r="J64" s="1">
        <f t="shared" si="1"/>
        <v>45467</v>
      </c>
      <c r="K64" s="3">
        <v>107</v>
      </c>
      <c r="L64" s="2">
        <v>37789</v>
      </c>
      <c r="M64" s="3">
        <v>2667</v>
      </c>
      <c r="N64" s="2">
        <v>1417419</v>
      </c>
      <c r="O64" s="3">
        <f t="shared" si="2"/>
        <v>2774</v>
      </c>
      <c r="P64" s="2">
        <f t="shared" si="3"/>
        <v>1455208</v>
      </c>
      <c r="Q64" s="6">
        <f t="shared" si="6"/>
        <v>7538</v>
      </c>
      <c r="S64" s="1">
        <f t="shared" si="0"/>
        <v>45103</v>
      </c>
      <c r="T64" s="3">
        <v>307</v>
      </c>
      <c r="U64" s="2">
        <v>120600</v>
      </c>
      <c r="V64" s="3">
        <v>2875</v>
      </c>
      <c r="W64" s="2">
        <v>1476094</v>
      </c>
      <c r="X64" s="3">
        <f t="shared" ref="X64" si="86">T64+V64</f>
        <v>3182</v>
      </c>
      <c r="Y64" s="2">
        <f t="shared" ref="Y64" si="87">U64+W64</f>
        <v>1596694</v>
      </c>
      <c r="Z64" s="5">
        <f t="shared" si="9"/>
        <v>3320</v>
      </c>
    </row>
    <row r="65" spans="1:26" x14ac:dyDescent="0.2">
      <c r="A65" s="1">
        <v>45824</v>
      </c>
      <c r="B65" s="9">
        <v>188</v>
      </c>
      <c r="C65" s="10">
        <v>89047</v>
      </c>
      <c r="D65" s="9">
        <v>2430</v>
      </c>
      <c r="E65" s="10">
        <v>1413888</v>
      </c>
      <c r="F65" s="9">
        <f t="shared" ref="F65:G65" si="88">B65+D65</f>
        <v>2618</v>
      </c>
      <c r="G65" s="10">
        <f t="shared" si="88"/>
        <v>1502935</v>
      </c>
      <c r="H65" s="11">
        <f t="shared" si="81"/>
        <v>22713</v>
      </c>
      <c r="J65" s="1">
        <f t="shared" si="1"/>
        <v>45460</v>
      </c>
      <c r="K65" s="3">
        <v>103</v>
      </c>
      <c r="L65" s="2">
        <v>35745</v>
      </c>
      <c r="M65" s="3">
        <v>2655</v>
      </c>
      <c r="N65" s="2">
        <v>1411925</v>
      </c>
      <c r="O65" s="3">
        <f t="shared" si="2"/>
        <v>2758</v>
      </c>
      <c r="P65" s="2">
        <f t="shared" si="3"/>
        <v>1447670</v>
      </c>
      <c r="Q65" s="6">
        <f t="shared" si="6"/>
        <v>16136</v>
      </c>
      <c r="S65" s="1">
        <f t="shared" si="0"/>
        <v>45096</v>
      </c>
      <c r="T65" s="3">
        <v>300</v>
      </c>
      <c r="U65" s="2">
        <v>118127</v>
      </c>
      <c r="V65" s="3">
        <v>2872</v>
      </c>
      <c r="W65" s="2">
        <v>1475247</v>
      </c>
      <c r="X65" s="3">
        <f t="shared" ref="X65" si="89">T65+V65</f>
        <v>3172</v>
      </c>
      <c r="Y65" s="2">
        <f t="shared" ref="Y65" si="90">U65+W65</f>
        <v>1593374</v>
      </c>
      <c r="Z65" s="5">
        <f t="shared" si="9"/>
        <v>12357</v>
      </c>
    </row>
    <row r="66" spans="1:26" x14ac:dyDescent="0.2">
      <c r="A66" s="1">
        <v>45817</v>
      </c>
      <c r="B66" s="9">
        <v>174</v>
      </c>
      <c r="C66" s="10">
        <v>86224</v>
      </c>
      <c r="D66" s="9">
        <v>2396</v>
      </c>
      <c r="E66" s="10">
        <v>1393998</v>
      </c>
      <c r="F66" s="9">
        <f t="shared" ref="F66" si="91">B66+D66</f>
        <v>2570</v>
      </c>
      <c r="G66" s="10">
        <f t="shared" ref="G66" si="92">C66+E66</f>
        <v>1480222</v>
      </c>
      <c r="H66" s="11">
        <f t="shared" si="81"/>
        <v>24111</v>
      </c>
      <c r="J66" s="1">
        <f t="shared" si="1"/>
        <v>45453</v>
      </c>
      <c r="K66" s="3">
        <v>95</v>
      </c>
      <c r="L66" s="2">
        <v>33169</v>
      </c>
      <c r="M66" s="3">
        <v>2628</v>
      </c>
      <c r="N66" s="2">
        <v>1398365</v>
      </c>
      <c r="O66" s="3">
        <f t="shared" si="2"/>
        <v>2723</v>
      </c>
      <c r="P66" s="2">
        <f t="shared" si="3"/>
        <v>1431534</v>
      </c>
      <c r="Q66" s="6">
        <f t="shared" si="6"/>
        <v>7403</v>
      </c>
      <c r="S66" s="1">
        <f t="shared" si="0"/>
        <v>45089</v>
      </c>
      <c r="T66" s="3">
        <v>293</v>
      </c>
      <c r="U66" s="2">
        <v>115047</v>
      </c>
      <c r="V66" s="3">
        <v>2853</v>
      </c>
      <c r="W66" s="2">
        <v>1465970</v>
      </c>
      <c r="X66" s="3">
        <f t="shared" ref="X66" si="93">T66+V66</f>
        <v>3146</v>
      </c>
      <c r="Y66" s="2">
        <f t="shared" ref="Y66" si="94">U66+W66</f>
        <v>1581017</v>
      </c>
      <c r="Z66" s="5">
        <f t="shared" si="9"/>
        <v>2411</v>
      </c>
    </row>
    <row r="67" spans="1:26" x14ac:dyDescent="0.2">
      <c r="A67" s="1">
        <v>45810</v>
      </c>
      <c r="B67" s="9">
        <v>154</v>
      </c>
      <c r="C67" s="10">
        <v>72964</v>
      </c>
      <c r="D67" s="9">
        <v>2380</v>
      </c>
      <c r="E67" s="10">
        <v>1383147</v>
      </c>
      <c r="F67" s="9">
        <f t="shared" ref="F67" si="95">B67+D67</f>
        <v>2534</v>
      </c>
      <c r="G67" s="10">
        <f t="shared" ref="G67" si="96">C67+E67</f>
        <v>1456111</v>
      </c>
      <c r="H67" s="11">
        <f t="shared" si="81"/>
        <v>30893</v>
      </c>
      <c r="J67" s="1">
        <f t="shared" si="1"/>
        <v>45446</v>
      </c>
      <c r="K67" s="3">
        <v>94</v>
      </c>
      <c r="L67" s="2">
        <v>32854</v>
      </c>
      <c r="M67" s="3">
        <v>2608</v>
      </c>
      <c r="N67" s="2">
        <v>1391277</v>
      </c>
      <c r="O67" s="3">
        <f t="shared" si="2"/>
        <v>2702</v>
      </c>
      <c r="P67" s="2">
        <f t="shared" si="3"/>
        <v>1424131</v>
      </c>
      <c r="Q67" s="6">
        <f t="shared" si="6"/>
        <v>47319</v>
      </c>
      <c r="S67" s="1">
        <f t="shared" si="0"/>
        <v>45082</v>
      </c>
      <c r="T67" s="3">
        <v>292</v>
      </c>
      <c r="U67" s="2">
        <v>114648</v>
      </c>
      <c r="V67" s="3">
        <v>2849</v>
      </c>
      <c r="W67" s="2">
        <v>1463958</v>
      </c>
      <c r="X67" s="3">
        <f t="shared" ref="X67" si="97">T67+V67</f>
        <v>3141</v>
      </c>
      <c r="Y67" s="2">
        <f t="shared" ref="Y67" si="98">U67+W67</f>
        <v>1578606</v>
      </c>
      <c r="Z67" s="5">
        <f t="shared" si="9"/>
        <v>2948</v>
      </c>
    </row>
    <row r="68" spans="1:26" x14ac:dyDescent="0.2">
      <c r="A68" s="1">
        <v>45803</v>
      </c>
      <c r="B68" s="9">
        <v>139</v>
      </c>
      <c r="C68" s="10">
        <v>66664</v>
      </c>
      <c r="D68" s="9">
        <v>2352</v>
      </c>
      <c r="E68" s="10">
        <v>1358554</v>
      </c>
      <c r="F68" s="9">
        <f t="shared" ref="F68:G68" si="99">B68+D68</f>
        <v>2491</v>
      </c>
      <c r="G68" s="10">
        <f t="shared" si="99"/>
        <v>1425218</v>
      </c>
      <c r="H68" s="11">
        <f t="shared" si="81"/>
        <v>18398</v>
      </c>
      <c r="J68" s="1">
        <f t="shared" si="1"/>
        <v>45439</v>
      </c>
      <c r="K68" s="3">
        <v>91</v>
      </c>
      <c r="L68" s="2">
        <v>32154</v>
      </c>
      <c r="M68" s="3">
        <v>2513</v>
      </c>
      <c r="N68" s="2">
        <v>1344658</v>
      </c>
      <c r="O68" s="3">
        <f t="shared" si="2"/>
        <v>2604</v>
      </c>
      <c r="P68" s="2">
        <f t="shared" si="3"/>
        <v>1376812</v>
      </c>
      <c r="Q68" s="6">
        <f t="shared" si="6"/>
        <v>16763</v>
      </c>
      <c r="S68" s="1">
        <f t="shared" si="0"/>
        <v>45075</v>
      </c>
      <c r="T68" s="3">
        <v>286</v>
      </c>
      <c r="U68" s="2">
        <v>111854</v>
      </c>
      <c r="V68" s="3">
        <v>2848</v>
      </c>
      <c r="W68" s="2">
        <v>1463804</v>
      </c>
      <c r="X68" s="3">
        <f t="shared" ref="X68" si="100">T68+V68</f>
        <v>3134</v>
      </c>
      <c r="Y68" s="2">
        <f t="shared" ref="Y68" si="101">U68+W68</f>
        <v>1575658</v>
      </c>
      <c r="Z68" s="5">
        <f t="shared" si="9"/>
        <v>3709</v>
      </c>
    </row>
    <row r="69" spans="1:26" x14ac:dyDescent="0.2">
      <c r="A69" s="1">
        <v>45796</v>
      </c>
      <c r="B69" s="9">
        <v>127</v>
      </c>
      <c r="C69" s="10">
        <v>62247</v>
      </c>
      <c r="D69" s="9">
        <v>2328</v>
      </c>
      <c r="E69" s="10">
        <v>1344573</v>
      </c>
      <c r="F69" s="9">
        <f t="shared" ref="F69" si="102">B69+D69</f>
        <v>2455</v>
      </c>
      <c r="G69" s="10">
        <f t="shared" ref="G69" si="103">C69+E69</f>
        <v>1406820</v>
      </c>
      <c r="H69" s="11">
        <f t="shared" si="81"/>
        <v>24503</v>
      </c>
      <c r="J69" s="1">
        <f t="shared" si="1"/>
        <v>45432</v>
      </c>
      <c r="K69" s="3">
        <v>85</v>
      </c>
      <c r="L69" s="2">
        <v>30752</v>
      </c>
      <c r="M69" s="3">
        <v>2473</v>
      </c>
      <c r="N69" s="2">
        <v>1329297</v>
      </c>
      <c r="O69" s="3">
        <f t="shared" si="2"/>
        <v>2558</v>
      </c>
      <c r="P69" s="2">
        <f t="shared" si="3"/>
        <v>1360049</v>
      </c>
      <c r="Q69" s="6">
        <f t="shared" si="6"/>
        <v>11972</v>
      </c>
      <c r="S69" s="1">
        <f t="shared" si="0"/>
        <v>45068</v>
      </c>
      <c r="T69" s="3">
        <v>278</v>
      </c>
      <c r="U69" s="2">
        <v>109034</v>
      </c>
      <c r="V69" s="3">
        <v>2847</v>
      </c>
      <c r="W69" s="2">
        <v>1462915</v>
      </c>
      <c r="X69" s="3">
        <f t="shared" ref="X69" si="104">T69+V69</f>
        <v>3125</v>
      </c>
      <c r="Y69" s="2">
        <f t="shared" ref="Y69" si="105">U69+W69</f>
        <v>1571949</v>
      </c>
      <c r="Z69" s="5">
        <f t="shared" si="9"/>
        <v>10572</v>
      </c>
    </row>
    <row r="70" spans="1:26" x14ac:dyDescent="0.2">
      <c r="A70" s="1">
        <v>45789</v>
      </c>
      <c r="B70" s="9">
        <v>122</v>
      </c>
      <c r="C70" s="10">
        <v>59763</v>
      </c>
      <c r="D70" s="9">
        <v>2293</v>
      </c>
      <c r="E70" s="10">
        <v>1322554</v>
      </c>
      <c r="F70" s="9">
        <f t="shared" ref="F70:G76" si="106">B70+D70</f>
        <v>2415</v>
      </c>
      <c r="G70" s="10">
        <f t="shared" si="106"/>
        <v>1382317</v>
      </c>
      <c r="H70" s="11">
        <f t="shared" si="81"/>
        <v>29869</v>
      </c>
      <c r="I70" s="11"/>
      <c r="J70" s="1">
        <f t="shared" si="1"/>
        <v>45425</v>
      </c>
      <c r="K70" s="3">
        <v>76</v>
      </c>
      <c r="L70" s="2">
        <v>28802</v>
      </c>
      <c r="M70" s="3">
        <v>2443</v>
      </c>
      <c r="N70" s="2">
        <v>1319275</v>
      </c>
      <c r="O70" s="3">
        <f t="shared" si="2"/>
        <v>2519</v>
      </c>
      <c r="P70" s="2">
        <f t="shared" si="3"/>
        <v>1348077</v>
      </c>
      <c r="Q70" s="6">
        <f t="shared" si="6"/>
        <v>49630</v>
      </c>
      <c r="S70" s="1">
        <f t="shared" si="0"/>
        <v>45061</v>
      </c>
      <c r="T70" s="3">
        <v>254</v>
      </c>
      <c r="U70" s="2">
        <v>100938</v>
      </c>
      <c r="V70" s="3">
        <v>2842</v>
      </c>
      <c r="W70" s="2">
        <v>1460439</v>
      </c>
      <c r="X70" s="3">
        <f t="shared" ref="X70" si="107">T70+V70</f>
        <v>3096</v>
      </c>
      <c r="Y70" s="2">
        <f t="shared" ref="Y70" si="108">U70+W70</f>
        <v>1561377</v>
      </c>
      <c r="Z70" s="5">
        <f t="shared" si="9"/>
        <v>7544</v>
      </c>
    </row>
    <row r="71" spans="1:26" x14ac:dyDescent="0.2">
      <c r="A71" s="1">
        <v>45782</v>
      </c>
      <c r="B71" s="9">
        <v>121</v>
      </c>
      <c r="C71" s="10">
        <v>58153</v>
      </c>
      <c r="D71" s="9">
        <v>2252</v>
      </c>
      <c r="E71" s="10">
        <v>1294295</v>
      </c>
      <c r="F71" s="9">
        <f t="shared" si="106"/>
        <v>2373</v>
      </c>
      <c r="G71" s="10">
        <f t="shared" si="106"/>
        <v>1352448</v>
      </c>
      <c r="H71" s="11">
        <f t="shared" ref="H71:H80" si="109">G71-G72</f>
        <v>65468</v>
      </c>
      <c r="I71" s="11"/>
      <c r="J71" s="1">
        <f t="shared" si="1"/>
        <v>45418</v>
      </c>
      <c r="K71" s="3">
        <v>70</v>
      </c>
      <c r="L71" s="2">
        <v>26832</v>
      </c>
      <c r="M71" s="3">
        <v>2362</v>
      </c>
      <c r="N71" s="2">
        <v>1271615</v>
      </c>
      <c r="O71" s="3">
        <f t="shared" si="2"/>
        <v>2432</v>
      </c>
      <c r="P71" s="2">
        <f t="shared" si="3"/>
        <v>1298447</v>
      </c>
      <c r="Q71" s="6">
        <f t="shared" si="6"/>
        <v>199997</v>
      </c>
      <c r="S71" s="1">
        <f t="shared" si="0"/>
        <v>45054</v>
      </c>
      <c r="T71" s="3">
        <v>243</v>
      </c>
      <c r="U71" s="2">
        <v>96113</v>
      </c>
      <c r="V71" s="3">
        <v>2835</v>
      </c>
      <c r="W71" s="2">
        <v>1457720</v>
      </c>
      <c r="X71" s="3">
        <f t="shared" ref="X71" si="110">T71+V71</f>
        <v>3078</v>
      </c>
      <c r="Y71" s="2">
        <f t="shared" ref="Y71" si="111">U71+W71</f>
        <v>1553833</v>
      </c>
      <c r="Z71" s="5">
        <f t="shared" si="9"/>
        <v>10005</v>
      </c>
    </row>
    <row r="72" spans="1:26" x14ac:dyDescent="0.2">
      <c r="A72" s="1">
        <f>A73+7</f>
        <v>45775</v>
      </c>
      <c r="B72" s="3">
        <v>112</v>
      </c>
      <c r="C72" s="2">
        <v>54163</v>
      </c>
      <c r="D72" s="3">
        <v>2160</v>
      </c>
      <c r="E72" s="2">
        <v>1232817</v>
      </c>
      <c r="F72" s="3">
        <f t="shared" si="106"/>
        <v>2272</v>
      </c>
      <c r="G72" s="2">
        <f t="shared" si="106"/>
        <v>1286980</v>
      </c>
      <c r="H72" s="11">
        <f t="shared" si="109"/>
        <v>240601</v>
      </c>
      <c r="I72" s="5"/>
      <c r="J72" s="1">
        <f t="shared" si="1"/>
        <v>45411</v>
      </c>
      <c r="K72" s="3">
        <v>47</v>
      </c>
      <c r="L72" s="2">
        <v>17987</v>
      </c>
      <c r="M72" s="3">
        <v>2005</v>
      </c>
      <c r="N72" s="2">
        <v>1080463</v>
      </c>
      <c r="O72" s="3">
        <f t="shared" si="2"/>
        <v>2052</v>
      </c>
      <c r="P72" s="2">
        <f t="shared" si="3"/>
        <v>1098450</v>
      </c>
      <c r="Q72" s="6">
        <f t="shared" si="6"/>
        <v>104826</v>
      </c>
      <c r="S72" s="1">
        <f t="shared" si="0"/>
        <v>45047</v>
      </c>
      <c r="T72" s="3">
        <v>233</v>
      </c>
      <c r="U72" s="2">
        <v>90737</v>
      </c>
      <c r="V72" s="3">
        <v>2820</v>
      </c>
      <c r="W72" s="2">
        <v>1453091</v>
      </c>
      <c r="X72" s="3">
        <f t="shared" ref="X72" si="112">T72+V72</f>
        <v>3053</v>
      </c>
      <c r="Y72" s="2">
        <f t="shared" ref="Y72" si="113">U72+W72</f>
        <v>1543828</v>
      </c>
      <c r="Z72" s="5">
        <f t="shared" si="9"/>
        <v>8310</v>
      </c>
    </row>
    <row r="73" spans="1:26" x14ac:dyDescent="0.2">
      <c r="A73" s="1">
        <v>45768</v>
      </c>
      <c r="B73" s="3">
        <v>76</v>
      </c>
      <c r="C73" s="2">
        <v>40984</v>
      </c>
      <c r="D73" s="3">
        <v>1739</v>
      </c>
      <c r="E73" s="2">
        <v>1005395</v>
      </c>
      <c r="F73" s="3">
        <f t="shared" si="106"/>
        <v>1815</v>
      </c>
      <c r="G73" s="2">
        <f t="shared" si="106"/>
        <v>1046379</v>
      </c>
      <c r="H73" s="11">
        <f t="shared" si="109"/>
        <v>201846</v>
      </c>
      <c r="I73" s="5"/>
      <c r="J73" s="1">
        <v>45404</v>
      </c>
      <c r="K73" s="3">
        <v>45</v>
      </c>
      <c r="L73" s="2">
        <v>17584</v>
      </c>
      <c r="M73" s="3">
        <v>1789</v>
      </c>
      <c r="N73" s="2">
        <v>976040</v>
      </c>
      <c r="O73" s="3">
        <f t="shared" si="2"/>
        <v>1834</v>
      </c>
      <c r="P73" s="2">
        <f t="shared" si="3"/>
        <v>993624</v>
      </c>
      <c r="Q73" s="6">
        <f t="shared" si="6"/>
        <v>190134</v>
      </c>
      <c r="S73" s="1">
        <f t="shared" si="0"/>
        <v>45040</v>
      </c>
      <c r="T73" s="3">
        <v>217</v>
      </c>
      <c r="U73" s="2">
        <v>86740</v>
      </c>
      <c r="V73" s="3">
        <v>2810</v>
      </c>
      <c r="W73" s="2">
        <v>1448778</v>
      </c>
      <c r="X73" s="3">
        <f t="shared" ref="X73" si="114">T73+V73</f>
        <v>3027</v>
      </c>
      <c r="Y73" s="2">
        <f t="shared" ref="Y73" si="115">U73+W73</f>
        <v>1535518</v>
      </c>
      <c r="Z73" s="5">
        <f t="shared" si="9"/>
        <v>7959</v>
      </c>
    </row>
    <row r="74" spans="1:26" x14ac:dyDescent="0.2">
      <c r="A74" s="1">
        <v>45761</v>
      </c>
      <c r="B74" s="3">
        <v>50</v>
      </c>
      <c r="C74" s="2">
        <v>27424</v>
      </c>
      <c r="D74" s="3">
        <v>1387</v>
      </c>
      <c r="E74" s="2">
        <v>817109</v>
      </c>
      <c r="F74" s="3">
        <f t="shared" si="106"/>
        <v>1437</v>
      </c>
      <c r="G74" s="2">
        <f t="shared" si="106"/>
        <v>844533</v>
      </c>
      <c r="H74" s="11">
        <f t="shared" si="109"/>
        <v>171478</v>
      </c>
      <c r="I74" s="5"/>
      <c r="J74" s="1">
        <f>J73-7</f>
        <v>45397</v>
      </c>
      <c r="K74" s="3">
        <v>36</v>
      </c>
      <c r="L74" s="2">
        <v>13657</v>
      </c>
      <c r="M74" s="3">
        <v>1434</v>
      </c>
      <c r="N74" s="2">
        <v>789833</v>
      </c>
      <c r="O74" s="3">
        <f t="shared" si="2"/>
        <v>1470</v>
      </c>
      <c r="P74" s="2">
        <f t="shared" si="3"/>
        <v>803490</v>
      </c>
      <c r="Q74" s="6">
        <f t="shared" si="6"/>
        <v>135704</v>
      </c>
      <c r="S74" s="1">
        <f t="shared" si="0"/>
        <v>45033</v>
      </c>
      <c r="T74" s="3">
        <v>201</v>
      </c>
      <c r="U74" s="2">
        <v>82979</v>
      </c>
      <c r="V74" s="3">
        <v>2801</v>
      </c>
      <c r="W74" s="2">
        <v>1444580</v>
      </c>
      <c r="X74" s="3">
        <f t="shared" ref="X74" si="116">T74+V74</f>
        <v>3002</v>
      </c>
      <c r="Y74" s="2">
        <f t="shared" ref="Y74" si="117">U74+W74</f>
        <v>1527559</v>
      </c>
      <c r="Z74" s="5">
        <f t="shared" si="9"/>
        <v>9872</v>
      </c>
    </row>
    <row r="75" spans="1:26" x14ac:dyDescent="0.2">
      <c r="A75" s="1">
        <v>45754</v>
      </c>
      <c r="B75" s="3">
        <v>39</v>
      </c>
      <c r="C75" s="2">
        <v>21024</v>
      </c>
      <c r="D75" s="3">
        <v>1136</v>
      </c>
      <c r="E75" s="2">
        <v>652031</v>
      </c>
      <c r="F75" s="3">
        <f t="shared" si="106"/>
        <v>1175</v>
      </c>
      <c r="G75" s="2">
        <f t="shared" si="106"/>
        <v>673055</v>
      </c>
      <c r="H75" s="11">
        <f t="shared" si="109"/>
        <v>128862</v>
      </c>
      <c r="I75" s="5"/>
      <c r="J75" s="1">
        <f>J74-7</f>
        <v>45390</v>
      </c>
      <c r="K75" s="3">
        <v>32</v>
      </c>
      <c r="L75" s="2">
        <v>12068</v>
      </c>
      <c r="M75" s="3">
        <v>1194</v>
      </c>
      <c r="N75" s="2">
        <v>655718</v>
      </c>
      <c r="O75" s="3">
        <f t="shared" si="2"/>
        <v>1226</v>
      </c>
      <c r="P75" s="2">
        <f t="shared" si="3"/>
        <v>667786</v>
      </c>
      <c r="Q75" s="6">
        <f t="shared" si="6"/>
        <v>199483</v>
      </c>
      <c r="S75" s="1">
        <f t="shared" si="0"/>
        <v>45026</v>
      </c>
      <c r="T75" s="3">
        <v>187</v>
      </c>
      <c r="U75" s="2">
        <v>76786</v>
      </c>
      <c r="V75" s="3">
        <v>2792</v>
      </c>
      <c r="W75" s="2">
        <v>1440901</v>
      </c>
      <c r="X75" s="3">
        <f t="shared" ref="X75" si="118">T75+V75</f>
        <v>2979</v>
      </c>
      <c r="Y75" s="2">
        <f t="shared" ref="Y75" si="119">U75+W75</f>
        <v>1517687</v>
      </c>
      <c r="Z75" s="5">
        <f t="shared" si="9"/>
        <v>25080</v>
      </c>
    </row>
    <row r="76" spans="1:26" x14ac:dyDescent="0.2">
      <c r="A76" s="1">
        <v>45747</v>
      </c>
      <c r="B76" s="3">
        <v>30</v>
      </c>
      <c r="C76" s="2">
        <v>16220</v>
      </c>
      <c r="D76" s="3">
        <v>898</v>
      </c>
      <c r="E76" s="2">
        <v>527973</v>
      </c>
      <c r="F76" s="3">
        <f t="shared" si="106"/>
        <v>928</v>
      </c>
      <c r="G76" s="2">
        <f t="shared" si="106"/>
        <v>544193</v>
      </c>
      <c r="H76" s="11">
        <f t="shared" si="109"/>
        <v>143078</v>
      </c>
      <c r="I76" s="5"/>
      <c r="J76" s="1">
        <f>J75-7</f>
        <v>45383</v>
      </c>
      <c r="K76" s="3">
        <v>27</v>
      </c>
      <c r="L76" s="2">
        <v>8218</v>
      </c>
      <c r="M76" s="3">
        <v>834</v>
      </c>
      <c r="N76" s="2">
        <v>460085</v>
      </c>
      <c r="O76" s="3">
        <f t="shared" si="2"/>
        <v>861</v>
      </c>
      <c r="P76" s="2">
        <f t="shared" si="3"/>
        <v>468303</v>
      </c>
      <c r="Q76" s="6">
        <f t="shared" si="6"/>
        <v>208761</v>
      </c>
      <c r="S76" s="1">
        <f t="shared" si="0"/>
        <v>45019</v>
      </c>
      <c r="T76" s="3">
        <v>169</v>
      </c>
      <c r="U76" s="2">
        <v>68243</v>
      </c>
      <c r="V76" s="3">
        <v>2756</v>
      </c>
      <c r="W76" s="2">
        <v>1424364</v>
      </c>
      <c r="X76" s="3">
        <f t="shared" ref="X76" si="120">T76+V76</f>
        <v>2925</v>
      </c>
      <c r="Y76" s="2">
        <f t="shared" ref="Y76" si="121">U76+W76</f>
        <v>1492607</v>
      </c>
      <c r="Z76" s="5">
        <f t="shared" si="9"/>
        <v>24267</v>
      </c>
    </row>
    <row r="77" spans="1:26" x14ac:dyDescent="0.2">
      <c r="A77" s="1">
        <f>A76-7</f>
        <v>45740</v>
      </c>
      <c r="B77" s="3">
        <v>23</v>
      </c>
      <c r="C77" s="2">
        <v>10878</v>
      </c>
      <c r="D77" s="3">
        <v>632</v>
      </c>
      <c r="E77" s="2">
        <v>390237</v>
      </c>
      <c r="F77" s="3">
        <f t="shared" ref="F77" si="122">B77+D77</f>
        <v>655</v>
      </c>
      <c r="G77" s="2">
        <f t="shared" ref="G77" si="123">C77+E77</f>
        <v>401115</v>
      </c>
      <c r="H77" s="11">
        <f t="shared" si="109"/>
        <v>164053</v>
      </c>
      <c r="I77" s="5"/>
      <c r="J77" s="1">
        <f>J76-7</f>
        <v>45376</v>
      </c>
      <c r="K77" s="3">
        <v>16</v>
      </c>
      <c r="L77" s="2">
        <v>6126</v>
      </c>
      <c r="M77" s="3">
        <v>439</v>
      </c>
      <c r="N77" s="2">
        <v>253416</v>
      </c>
      <c r="O77" s="3">
        <f t="shared" si="2"/>
        <v>455</v>
      </c>
      <c r="P77" s="2">
        <f t="shared" si="3"/>
        <v>259542</v>
      </c>
      <c r="Q77" s="6">
        <f t="shared" si="6"/>
        <v>180772</v>
      </c>
      <c r="S77" s="1">
        <f t="shared" si="0"/>
        <v>45012</v>
      </c>
      <c r="T77" s="3">
        <v>150</v>
      </c>
      <c r="U77" s="2">
        <v>57641</v>
      </c>
      <c r="V77" s="3">
        <v>2723</v>
      </c>
      <c r="W77" s="2">
        <v>1410699</v>
      </c>
      <c r="X77" s="3">
        <f t="shared" ref="X77" si="124">T77+V77</f>
        <v>2873</v>
      </c>
      <c r="Y77" s="2">
        <f t="shared" ref="Y77" si="125">U77+W77</f>
        <v>1468340</v>
      </c>
      <c r="Z77" s="5">
        <f t="shared" si="9"/>
        <v>50793</v>
      </c>
    </row>
    <row r="78" spans="1:26" x14ac:dyDescent="0.2">
      <c r="A78" s="1">
        <f t="shared" ref="A78:A80" si="126">A77-7</f>
        <v>45733</v>
      </c>
      <c r="B78" s="3">
        <v>18</v>
      </c>
      <c r="C78" s="2">
        <v>7973</v>
      </c>
      <c r="D78" s="3">
        <v>368</v>
      </c>
      <c r="E78" s="2">
        <v>229089</v>
      </c>
      <c r="F78" s="3">
        <f t="shared" ref="F78" si="127">B78+D78</f>
        <v>386</v>
      </c>
      <c r="G78" s="2">
        <f t="shared" ref="G78" si="128">C78+E78</f>
        <v>237062</v>
      </c>
      <c r="H78" s="11">
        <f t="shared" si="109"/>
        <v>160391</v>
      </c>
      <c r="I78" s="5"/>
      <c r="J78" s="1">
        <f t="shared" ref="J78:J80" si="129">J77-7</f>
        <v>45369</v>
      </c>
      <c r="K78" s="3">
        <v>13</v>
      </c>
      <c r="L78" s="2">
        <v>3977</v>
      </c>
      <c r="M78" s="3">
        <v>128</v>
      </c>
      <c r="N78" s="2">
        <v>74793</v>
      </c>
      <c r="O78" s="3">
        <f t="shared" si="2"/>
        <v>141</v>
      </c>
      <c r="P78" s="2">
        <f t="shared" si="3"/>
        <v>78770</v>
      </c>
      <c r="Q78" s="6">
        <f t="shared" si="6"/>
        <v>39052</v>
      </c>
      <c r="S78" s="1">
        <f t="shared" si="0"/>
        <v>45005</v>
      </c>
      <c r="T78" s="3">
        <v>129</v>
      </c>
      <c r="U78" s="2">
        <v>49986</v>
      </c>
      <c r="V78" s="3">
        <v>2625</v>
      </c>
      <c r="W78" s="2">
        <v>1367561</v>
      </c>
      <c r="X78" s="3">
        <f t="shared" ref="X78" si="130">T78+V78</f>
        <v>2754</v>
      </c>
      <c r="Y78" s="2">
        <f t="shared" ref="Y78" si="131">U78+W78</f>
        <v>1417547</v>
      </c>
      <c r="Z78" s="5">
        <f t="shared" si="9"/>
        <v>263408</v>
      </c>
    </row>
    <row r="79" spans="1:26" x14ac:dyDescent="0.2">
      <c r="A79" s="1">
        <f t="shared" si="126"/>
        <v>45726</v>
      </c>
      <c r="B79" s="3">
        <v>8</v>
      </c>
      <c r="C79" s="2">
        <v>3640</v>
      </c>
      <c r="D79" s="3">
        <v>106</v>
      </c>
      <c r="E79" s="2">
        <v>73031</v>
      </c>
      <c r="F79" s="3">
        <f t="shared" ref="F79" si="132">B79+D79</f>
        <v>114</v>
      </c>
      <c r="G79" s="2">
        <f t="shared" ref="G79" si="133">C79+E79</f>
        <v>76671</v>
      </c>
      <c r="H79" s="11">
        <f t="shared" si="109"/>
        <v>49196</v>
      </c>
      <c r="J79" s="1">
        <f t="shared" si="129"/>
        <v>45362</v>
      </c>
      <c r="K79" s="3">
        <v>8</v>
      </c>
      <c r="L79" s="2">
        <v>1786</v>
      </c>
      <c r="M79" s="3">
        <v>61</v>
      </c>
      <c r="N79" s="2">
        <v>37932</v>
      </c>
      <c r="O79" s="3">
        <f t="shared" si="2"/>
        <v>69</v>
      </c>
      <c r="P79" s="2">
        <f t="shared" si="3"/>
        <v>39718</v>
      </c>
      <c r="Q79" s="6">
        <f t="shared" si="6"/>
        <v>28071</v>
      </c>
      <c r="S79" s="1">
        <f t="shared" si="0"/>
        <v>44998</v>
      </c>
      <c r="T79" s="3">
        <v>97</v>
      </c>
      <c r="U79" s="2">
        <v>38308</v>
      </c>
      <c r="V79" s="3">
        <v>2093</v>
      </c>
      <c r="W79" s="2">
        <v>1115831</v>
      </c>
      <c r="X79" s="3">
        <f t="shared" ref="X79" si="134">T79+V79</f>
        <v>2190</v>
      </c>
      <c r="Y79" s="2">
        <f t="shared" ref="Y79" si="135">U79+W79</f>
        <v>1154139</v>
      </c>
      <c r="Z79" s="5">
        <f t="shared" si="9"/>
        <v>237625</v>
      </c>
    </row>
    <row r="80" spans="1:26" x14ac:dyDescent="0.2">
      <c r="A80" s="1">
        <f t="shared" si="126"/>
        <v>45719</v>
      </c>
      <c r="B80" s="3">
        <v>7</v>
      </c>
      <c r="C80" s="2">
        <v>3402</v>
      </c>
      <c r="D80" s="3">
        <v>32</v>
      </c>
      <c r="E80" s="2">
        <v>24073</v>
      </c>
      <c r="F80" s="3">
        <f t="shared" ref="F80" si="136">B80+D80</f>
        <v>39</v>
      </c>
      <c r="G80" s="2">
        <f t="shared" ref="G80" si="137">C80+E80</f>
        <v>27475</v>
      </c>
      <c r="H80" s="11">
        <f t="shared" si="109"/>
        <v>27475</v>
      </c>
      <c r="J80" s="1">
        <f t="shared" si="129"/>
        <v>45355</v>
      </c>
      <c r="K80" s="3">
        <v>0</v>
      </c>
      <c r="L80" s="2">
        <v>1786</v>
      </c>
      <c r="M80" s="3">
        <v>20</v>
      </c>
      <c r="N80" s="2">
        <v>9861</v>
      </c>
      <c r="O80" s="3">
        <f t="shared" si="2"/>
        <v>20</v>
      </c>
      <c r="P80" s="2">
        <f t="shared" si="3"/>
        <v>11647</v>
      </c>
      <c r="Q80" s="6">
        <f t="shared" si="6"/>
        <v>11647</v>
      </c>
      <c r="S80" s="1">
        <f t="shared" si="0"/>
        <v>44991</v>
      </c>
      <c r="T80" s="3">
        <v>70</v>
      </c>
      <c r="U80" s="2">
        <v>28747</v>
      </c>
      <c r="V80" s="3">
        <v>1654</v>
      </c>
      <c r="W80" s="2">
        <v>887767</v>
      </c>
      <c r="X80" s="3">
        <f t="shared" ref="X80" si="138">T80+V80</f>
        <v>1724</v>
      </c>
      <c r="Y80" s="2">
        <f t="shared" ref="Y80" si="139">U80+W80</f>
        <v>916514</v>
      </c>
      <c r="Z80" s="5">
        <f t="shared" si="9"/>
        <v>144819</v>
      </c>
    </row>
    <row r="81" spans="1:27" x14ac:dyDescent="0.2">
      <c r="A81" s="1"/>
      <c r="K81" s="1"/>
      <c r="S81" s="1">
        <f t="shared" si="0"/>
        <v>44984</v>
      </c>
      <c r="T81" s="3">
        <v>55</v>
      </c>
      <c r="U81" s="2">
        <v>22734</v>
      </c>
      <c r="V81" s="3">
        <v>1381</v>
      </c>
      <c r="W81" s="2">
        <v>748961</v>
      </c>
      <c r="X81" s="3">
        <f t="shared" ref="X81" si="140">T81+V81</f>
        <v>1436</v>
      </c>
      <c r="Y81" s="2">
        <f t="shared" ref="Y81" si="141">U81+W81</f>
        <v>771695</v>
      </c>
      <c r="Z81" s="5">
        <f t="shared" si="9"/>
        <v>126835</v>
      </c>
    </row>
    <row r="82" spans="1:27" x14ac:dyDescent="0.2">
      <c r="A82" t="s">
        <v>20</v>
      </c>
      <c r="S82" s="1">
        <f t="shared" si="0"/>
        <v>44977</v>
      </c>
      <c r="T82" s="3">
        <v>47</v>
      </c>
      <c r="U82" s="2">
        <v>20634</v>
      </c>
      <c r="V82" s="3">
        <v>1140</v>
      </c>
      <c r="W82" s="2">
        <v>624226</v>
      </c>
      <c r="X82" s="3">
        <f t="shared" ref="X82" si="142">T82+V82</f>
        <v>1187</v>
      </c>
      <c r="Y82" s="2">
        <f t="shared" ref="Y82" si="143">U82+W82</f>
        <v>644860</v>
      </c>
      <c r="Z82" s="5">
        <f t="shared" si="9"/>
        <v>125945</v>
      </c>
    </row>
    <row r="83" spans="1:27" x14ac:dyDescent="0.2">
      <c r="S83" s="1">
        <f>S84+7</f>
        <v>44970</v>
      </c>
      <c r="T83" s="3">
        <v>26</v>
      </c>
      <c r="U83" s="2">
        <v>11737</v>
      </c>
      <c r="V83" s="3">
        <v>917</v>
      </c>
      <c r="W83" s="2">
        <v>507178</v>
      </c>
      <c r="X83" s="3">
        <f t="shared" ref="X83" si="144">T83+V83</f>
        <v>943</v>
      </c>
      <c r="Y83" s="2">
        <f t="shared" ref="Y83" si="145">U83+W83</f>
        <v>518915</v>
      </c>
      <c r="Z83" s="5">
        <f t="shared" si="9"/>
        <v>103475</v>
      </c>
    </row>
    <row r="84" spans="1:27" x14ac:dyDescent="0.2">
      <c r="B84" s="12"/>
      <c r="S84" s="1">
        <v>44963</v>
      </c>
      <c r="T84" s="3">
        <v>18</v>
      </c>
      <c r="U84" s="2">
        <v>9250</v>
      </c>
      <c r="V84" s="3">
        <v>733</v>
      </c>
      <c r="W84" s="2">
        <v>406190</v>
      </c>
      <c r="X84" s="3">
        <f t="shared" ref="X84:Y84" si="146">T84+V84</f>
        <v>751</v>
      </c>
      <c r="Y84" s="2">
        <f t="shared" si="146"/>
        <v>415440</v>
      </c>
      <c r="Z84" s="5">
        <f t="shared" si="9"/>
        <v>415440</v>
      </c>
      <c r="AA84" s="4"/>
    </row>
    <row r="85" spans="1:27" x14ac:dyDescent="0.2">
      <c r="S85" t="s">
        <v>19</v>
      </c>
    </row>
    <row r="86" spans="1:27" x14ac:dyDescent="0.2">
      <c r="B86" s="12"/>
      <c r="C86" s="7"/>
      <c r="F86" s="12"/>
      <c r="G86" s="13"/>
    </row>
    <row r="87" spans="1:27" x14ac:dyDescent="0.2">
      <c r="B87" s="12"/>
    </row>
    <row r="88" spans="1:27" x14ac:dyDescent="0.2">
      <c r="B88" s="12"/>
    </row>
    <row r="89" spans="1:27" x14ac:dyDescent="0.2">
      <c r="G89" s="7"/>
    </row>
    <row r="90" spans="1:27" x14ac:dyDescent="0.2">
      <c r="G90" s="7"/>
    </row>
    <row r="91" spans="1:27" x14ac:dyDescent="0.2">
      <c r="G9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EC2F-D4B0-3644-A6AE-5380EF7C337A}">
  <dimension ref="A2:AJ172"/>
  <sheetViews>
    <sheetView topLeftCell="A131" workbookViewId="0">
      <selection activeCell="H151" sqref="H151"/>
    </sheetView>
  </sheetViews>
  <sheetFormatPr baseColWidth="10" defaultRowHeight="16" x14ac:dyDescent="0.2"/>
  <cols>
    <col min="5" max="5" width="11.5" bestFit="1" customWidth="1"/>
    <col min="7" max="7" width="11.5" bestFit="1" customWidth="1"/>
    <col min="14" max="14" width="11.5" bestFit="1" customWidth="1"/>
    <col min="16" max="16" width="11.5" bestFit="1" customWidth="1"/>
    <col min="24" max="24" width="11.5" bestFit="1" customWidth="1"/>
    <col min="26" max="26" width="11.5" bestFit="1" customWidth="1"/>
    <col min="27" max="27" width="12.1640625" style="4" bestFit="1" customWidth="1"/>
    <col min="36" max="36" width="10.83203125" style="4"/>
  </cols>
  <sheetData>
    <row r="2" spans="1:8" x14ac:dyDescent="0.2">
      <c r="B2" t="s">
        <v>23</v>
      </c>
      <c r="C2" t="s">
        <v>23</v>
      </c>
      <c r="D2" t="s">
        <v>18</v>
      </c>
      <c r="E2" t="s">
        <v>18</v>
      </c>
      <c r="F2" t="s">
        <v>24</v>
      </c>
      <c r="G2" t="s">
        <v>24</v>
      </c>
      <c r="H2" t="s">
        <v>15</v>
      </c>
    </row>
    <row r="3" spans="1:8" x14ac:dyDescent="0.2">
      <c r="A3" t="s">
        <v>21</v>
      </c>
      <c r="B3" t="s">
        <v>22</v>
      </c>
      <c r="C3" t="s">
        <v>15</v>
      </c>
      <c r="D3" t="s">
        <v>22</v>
      </c>
      <c r="E3" t="s">
        <v>15</v>
      </c>
      <c r="F3" t="s">
        <v>22</v>
      </c>
      <c r="G3" t="s">
        <v>25</v>
      </c>
      <c r="H3" t="s">
        <v>11</v>
      </c>
    </row>
    <row r="31" spans="20:20" x14ac:dyDescent="0.2">
      <c r="T31" s="1">
        <f t="shared" ref="T31:T82" si="0">T32+7</f>
        <v>45334</v>
      </c>
    </row>
    <row r="32" spans="20:20" x14ac:dyDescent="0.2">
      <c r="T32" s="1">
        <f t="shared" si="0"/>
        <v>45327</v>
      </c>
    </row>
    <row r="33" spans="10:27" x14ac:dyDescent="0.2">
      <c r="T33" s="1">
        <f t="shared" si="0"/>
        <v>45320</v>
      </c>
    </row>
    <row r="34" spans="10:27" x14ac:dyDescent="0.2">
      <c r="T34" s="1">
        <f t="shared" si="0"/>
        <v>45313</v>
      </c>
    </row>
    <row r="35" spans="10:27" x14ac:dyDescent="0.2">
      <c r="T35" s="1">
        <f t="shared" si="0"/>
        <v>45306</v>
      </c>
    </row>
    <row r="36" spans="10:27" x14ac:dyDescent="0.2">
      <c r="O36" s="12"/>
      <c r="T36" s="1">
        <f t="shared" si="0"/>
        <v>45299</v>
      </c>
    </row>
    <row r="37" spans="10:27" x14ac:dyDescent="0.2">
      <c r="T37" s="1">
        <f t="shared" si="0"/>
        <v>45292</v>
      </c>
    </row>
    <row r="38" spans="10:27" x14ac:dyDescent="0.2">
      <c r="T38" s="1">
        <f t="shared" si="0"/>
        <v>45285</v>
      </c>
    </row>
    <row r="39" spans="10:27" x14ac:dyDescent="0.2">
      <c r="T39" s="1">
        <f t="shared" si="0"/>
        <v>45278</v>
      </c>
    </row>
    <row r="40" spans="10:27" x14ac:dyDescent="0.2">
      <c r="T40" s="1">
        <f t="shared" si="0"/>
        <v>45271</v>
      </c>
    </row>
    <row r="41" spans="10:27" x14ac:dyDescent="0.2">
      <c r="J41" s="1">
        <f t="shared" ref="J41:J72" si="1">J42+7</f>
        <v>45628</v>
      </c>
      <c r="K41" s="3">
        <v>174</v>
      </c>
      <c r="L41" s="2">
        <v>61963</v>
      </c>
      <c r="M41" s="3">
        <v>2695</v>
      </c>
      <c r="N41" s="2">
        <v>1429313</v>
      </c>
      <c r="O41" s="3">
        <f t="shared" ref="O41:O80" si="2">K41+M41</f>
        <v>2869</v>
      </c>
      <c r="P41" s="2">
        <f t="shared" ref="P41:P80" si="3">L41+N41</f>
        <v>1491276</v>
      </c>
      <c r="Q41" s="6">
        <f t="shared" ref="Q41:Q75" si="4">P41-P42</f>
        <v>0</v>
      </c>
      <c r="T41" s="1">
        <f t="shared" si="0"/>
        <v>45264</v>
      </c>
      <c r="U41" s="3">
        <v>428</v>
      </c>
      <c r="V41" s="2">
        <v>160415</v>
      </c>
      <c r="W41" s="3">
        <v>2901</v>
      </c>
      <c r="X41" s="2">
        <v>1485674</v>
      </c>
      <c r="Y41" s="3">
        <f t="shared" ref="Y41:Y84" si="5">U41+W41</f>
        <v>3329</v>
      </c>
      <c r="Z41" s="2">
        <f t="shared" ref="Z41:Z56" si="6">V41+X41</f>
        <v>1646089</v>
      </c>
      <c r="AA41" s="5">
        <f t="shared" ref="AA41:AA83" si="7">Z41-Z42</f>
        <v>1963</v>
      </c>
    </row>
    <row r="42" spans="10:27" x14ac:dyDescent="0.2">
      <c r="J42" s="1">
        <f t="shared" si="1"/>
        <v>45621</v>
      </c>
      <c r="K42" s="3">
        <v>174</v>
      </c>
      <c r="L42" s="2">
        <v>61963</v>
      </c>
      <c r="M42" s="3">
        <v>2695</v>
      </c>
      <c r="N42" s="2">
        <v>1429313</v>
      </c>
      <c r="O42" s="3">
        <f t="shared" si="2"/>
        <v>2869</v>
      </c>
      <c r="P42" s="2">
        <f t="shared" si="3"/>
        <v>1491276</v>
      </c>
      <c r="Q42" s="6">
        <f t="shared" si="4"/>
        <v>847</v>
      </c>
      <c r="T42" s="1">
        <f t="shared" si="0"/>
        <v>45257</v>
      </c>
      <c r="U42" s="3">
        <v>421</v>
      </c>
      <c r="V42" s="2">
        <v>158650</v>
      </c>
      <c r="W42" s="3">
        <v>2899</v>
      </c>
      <c r="X42" s="2">
        <v>1485476</v>
      </c>
      <c r="Y42" s="3">
        <f t="shared" si="5"/>
        <v>3320</v>
      </c>
      <c r="Z42" s="2">
        <f t="shared" si="6"/>
        <v>1644126</v>
      </c>
      <c r="AA42" s="5">
        <f t="shared" si="7"/>
        <v>1523</v>
      </c>
    </row>
    <row r="43" spans="10:27" x14ac:dyDescent="0.2">
      <c r="J43" s="1">
        <f t="shared" si="1"/>
        <v>45614</v>
      </c>
      <c r="K43" s="3">
        <v>172</v>
      </c>
      <c r="L43" s="2">
        <v>61116</v>
      </c>
      <c r="M43" s="3">
        <v>2695</v>
      </c>
      <c r="N43" s="2">
        <v>1429313</v>
      </c>
      <c r="O43" s="3">
        <f t="shared" si="2"/>
        <v>2867</v>
      </c>
      <c r="P43" s="2">
        <f t="shared" si="3"/>
        <v>1490429</v>
      </c>
      <c r="Q43" s="6">
        <f t="shared" si="4"/>
        <v>860</v>
      </c>
      <c r="T43" s="1">
        <f t="shared" si="0"/>
        <v>45250</v>
      </c>
      <c r="U43" s="3">
        <v>412</v>
      </c>
      <c r="V43" s="2">
        <v>157127</v>
      </c>
      <c r="W43" s="3">
        <v>2899</v>
      </c>
      <c r="X43" s="2">
        <v>1485476</v>
      </c>
      <c r="Y43" s="3">
        <f t="shared" si="5"/>
        <v>3311</v>
      </c>
      <c r="Z43" s="2">
        <f t="shared" si="6"/>
        <v>1642603</v>
      </c>
      <c r="AA43" s="5">
        <f t="shared" si="7"/>
        <v>1188</v>
      </c>
    </row>
    <row r="44" spans="10:27" x14ac:dyDescent="0.2">
      <c r="J44" s="1">
        <f t="shared" si="1"/>
        <v>45607</v>
      </c>
      <c r="K44" s="3">
        <v>170</v>
      </c>
      <c r="L44" s="2">
        <v>60256</v>
      </c>
      <c r="M44" s="3">
        <v>2695</v>
      </c>
      <c r="N44" s="2">
        <v>1429313</v>
      </c>
      <c r="O44" s="3">
        <f t="shared" si="2"/>
        <v>2865</v>
      </c>
      <c r="P44" s="2">
        <f t="shared" si="3"/>
        <v>1489569</v>
      </c>
      <c r="Q44" s="6">
        <f t="shared" si="4"/>
        <v>0</v>
      </c>
      <c r="T44" s="1">
        <f t="shared" si="0"/>
        <v>45243</v>
      </c>
      <c r="U44" s="3">
        <v>408</v>
      </c>
      <c r="V44" s="2">
        <v>155939</v>
      </c>
      <c r="W44" s="3">
        <v>2899</v>
      </c>
      <c r="X44" s="2">
        <v>1485476</v>
      </c>
      <c r="Y44" s="3">
        <f t="shared" si="5"/>
        <v>3307</v>
      </c>
      <c r="Z44" s="2">
        <f t="shared" si="6"/>
        <v>1641415</v>
      </c>
      <c r="AA44" s="5">
        <f t="shared" si="7"/>
        <v>396</v>
      </c>
    </row>
    <row r="45" spans="10:27" x14ac:dyDescent="0.2">
      <c r="J45" s="1">
        <f t="shared" si="1"/>
        <v>45600</v>
      </c>
      <c r="K45" s="3">
        <v>170</v>
      </c>
      <c r="L45" s="2">
        <v>60256</v>
      </c>
      <c r="M45" s="3">
        <v>2695</v>
      </c>
      <c r="N45" s="2">
        <v>1429313</v>
      </c>
      <c r="O45" s="3">
        <f t="shared" si="2"/>
        <v>2865</v>
      </c>
      <c r="P45" s="2">
        <f t="shared" si="3"/>
        <v>1489569</v>
      </c>
      <c r="Q45" s="6">
        <f t="shared" si="4"/>
        <v>462</v>
      </c>
      <c r="T45" s="1">
        <f t="shared" si="0"/>
        <v>45236</v>
      </c>
      <c r="U45" s="3">
        <v>404</v>
      </c>
      <c r="V45" s="2">
        <v>155543</v>
      </c>
      <c r="W45" s="3">
        <v>2899</v>
      </c>
      <c r="X45" s="2">
        <v>1485476</v>
      </c>
      <c r="Y45" s="3">
        <f t="shared" si="5"/>
        <v>3303</v>
      </c>
      <c r="Z45" s="2">
        <f t="shared" si="6"/>
        <v>1641019</v>
      </c>
      <c r="AA45" s="5">
        <f t="shared" si="7"/>
        <v>2559</v>
      </c>
    </row>
    <row r="46" spans="10:27" x14ac:dyDescent="0.2">
      <c r="J46" s="1">
        <f t="shared" si="1"/>
        <v>45593</v>
      </c>
      <c r="K46" s="3">
        <v>169</v>
      </c>
      <c r="L46" s="2">
        <v>59794</v>
      </c>
      <c r="M46" s="3">
        <v>2695</v>
      </c>
      <c r="N46" s="2">
        <v>1429313</v>
      </c>
      <c r="O46" s="3">
        <f t="shared" si="2"/>
        <v>2864</v>
      </c>
      <c r="P46" s="2">
        <f t="shared" si="3"/>
        <v>1489107</v>
      </c>
      <c r="Q46" s="6">
        <f t="shared" si="4"/>
        <v>1716</v>
      </c>
      <c r="T46" s="1">
        <f t="shared" si="0"/>
        <v>45229</v>
      </c>
      <c r="U46" s="3">
        <v>396</v>
      </c>
      <c r="V46" s="2">
        <v>153281</v>
      </c>
      <c r="W46" s="3">
        <v>2896</v>
      </c>
      <c r="X46" s="2">
        <v>1485179</v>
      </c>
      <c r="Y46" s="3">
        <f t="shared" si="5"/>
        <v>3292</v>
      </c>
      <c r="Z46" s="2">
        <f t="shared" si="6"/>
        <v>1638460</v>
      </c>
      <c r="AA46" s="5">
        <f t="shared" si="7"/>
        <v>1313</v>
      </c>
    </row>
    <row r="47" spans="10:27" x14ac:dyDescent="0.2">
      <c r="J47" s="1">
        <f t="shared" si="1"/>
        <v>45586</v>
      </c>
      <c r="K47" s="3">
        <v>169</v>
      </c>
      <c r="L47" s="2">
        <v>59794</v>
      </c>
      <c r="M47" s="3">
        <v>2693</v>
      </c>
      <c r="N47" s="2">
        <v>1427597</v>
      </c>
      <c r="O47" s="3">
        <f t="shared" si="2"/>
        <v>2862</v>
      </c>
      <c r="P47" s="2">
        <f t="shared" si="3"/>
        <v>1487391</v>
      </c>
      <c r="Q47" s="6">
        <f t="shared" si="4"/>
        <v>0</v>
      </c>
      <c r="T47" s="1">
        <f t="shared" si="0"/>
        <v>45222</v>
      </c>
      <c r="U47" s="3">
        <v>396</v>
      </c>
      <c r="V47" s="2">
        <v>153281</v>
      </c>
      <c r="W47" s="3">
        <v>2894</v>
      </c>
      <c r="X47" s="2">
        <v>1483866</v>
      </c>
      <c r="Y47" s="3">
        <f t="shared" si="5"/>
        <v>3290</v>
      </c>
      <c r="Z47" s="2">
        <f t="shared" si="6"/>
        <v>1637147</v>
      </c>
      <c r="AA47" s="5">
        <f t="shared" si="7"/>
        <v>1486</v>
      </c>
    </row>
    <row r="48" spans="10:27" x14ac:dyDescent="0.2">
      <c r="J48" s="1">
        <f t="shared" si="1"/>
        <v>45579</v>
      </c>
      <c r="K48" s="3">
        <v>169</v>
      </c>
      <c r="L48" s="2">
        <v>59794</v>
      </c>
      <c r="M48" s="3">
        <v>2693</v>
      </c>
      <c r="N48" s="2">
        <v>1427597</v>
      </c>
      <c r="O48" s="3">
        <f t="shared" si="2"/>
        <v>2862</v>
      </c>
      <c r="P48" s="2">
        <f t="shared" si="3"/>
        <v>1487391</v>
      </c>
      <c r="Q48" s="6">
        <f t="shared" si="4"/>
        <v>0</v>
      </c>
      <c r="T48" s="1">
        <f t="shared" si="0"/>
        <v>45215</v>
      </c>
      <c r="U48" s="3">
        <v>393</v>
      </c>
      <c r="V48" s="2">
        <v>152257</v>
      </c>
      <c r="W48" s="3">
        <v>2893</v>
      </c>
      <c r="X48" s="2">
        <v>1483404</v>
      </c>
      <c r="Y48" s="3">
        <f t="shared" si="5"/>
        <v>3286</v>
      </c>
      <c r="Z48" s="2">
        <f t="shared" si="6"/>
        <v>1635661</v>
      </c>
      <c r="AA48" s="5">
        <f t="shared" si="7"/>
        <v>1266</v>
      </c>
    </row>
    <row r="49" spans="10:27" x14ac:dyDescent="0.2">
      <c r="J49" s="1">
        <f t="shared" si="1"/>
        <v>45572</v>
      </c>
      <c r="K49" s="3">
        <v>169</v>
      </c>
      <c r="L49" s="2">
        <v>59794</v>
      </c>
      <c r="M49" s="3">
        <v>2693</v>
      </c>
      <c r="N49" s="2">
        <v>1427597</v>
      </c>
      <c r="O49" s="3">
        <f t="shared" si="2"/>
        <v>2862</v>
      </c>
      <c r="P49" s="2">
        <f t="shared" si="3"/>
        <v>1487391</v>
      </c>
      <c r="Q49" s="6">
        <f t="shared" si="4"/>
        <v>1698</v>
      </c>
      <c r="T49" s="1">
        <f t="shared" si="0"/>
        <v>45208</v>
      </c>
      <c r="U49" s="3">
        <v>387</v>
      </c>
      <c r="V49" s="2">
        <v>151123</v>
      </c>
      <c r="W49" s="3">
        <v>2892</v>
      </c>
      <c r="X49" s="2">
        <v>1483272</v>
      </c>
      <c r="Y49" s="3">
        <f t="shared" si="5"/>
        <v>3279</v>
      </c>
      <c r="Z49" s="2">
        <f t="shared" si="6"/>
        <v>1634395</v>
      </c>
      <c r="AA49" s="5">
        <f t="shared" si="7"/>
        <v>818</v>
      </c>
    </row>
    <row r="50" spans="10:27" x14ac:dyDescent="0.2">
      <c r="J50" s="1">
        <f t="shared" si="1"/>
        <v>45565</v>
      </c>
      <c r="K50" s="3">
        <v>165</v>
      </c>
      <c r="L50" s="2">
        <v>58096</v>
      </c>
      <c r="M50" s="3">
        <v>2693</v>
      </c>
      <c r="N50" s="2">
        <v>1427597</v>
      </c>
      <c r="O50" s="3">
        <f t="shared" si="2"/>
        <v>2858</v>
      </c>
      <c r="P50" s="2">
        <f t="shared" si="3"/>
        <v>1485693</v>
      </c>
      <c r="Q50" s="6">
        <f t="shared" si="4"/>
        <v>2742</v>
      </c>
      <c r="T50" s="1">
        <f t="shared" si="0"/>
        <v>45201</v>
      </c>
      <c r="U50" s="3">
        <v>385</v>
      </c>
      <c r="V50" s="2">
        <v>150305</v>
      </c>
      <c r="W50" s="3">
        <v>2892</v>
      </c>
      <c r="X50" s="2">
        <v>1483272</v>
      </c>
      <c r="Y50" s="3">
        <f t="shared" si="5"/>
        <v>3277</v>
      </c>
      <c r="Z50" s="2">
        <f t="shared" si="6"/>
        <v>1633577</v>
      </c>
      <c r="AA50" s="5">
        <f t="shared" si="7"/>
        <v>3018</v>
      </c>
    </row>
    <row r="51" spans="10:27" x14ac:dyDescent="0.2">
      <c r="J51" s="1">
        <f t="shared" si="1"/>
        <v>45558</v>
      </c>
      <c r="K51" s="3">
        <v>163</v>
      </c>
      <c r="L51" s="2">
        <v>57040</v>
      </c>
      <c r="M51" s="3">
        <v>2690</v>
      </c>
      <c r="N51" s="2">
        <v>1425911</v>
      </c>
      <c r="O51" s="3">
        <f t="shared" si="2"/>
        <v>2853</v>
      </c>
      <c r="P51" s="2">
        <f t="shared" si="3"/>
        <v>1482951</v>
      </c>
      <c r="Q51" s="6">
        <f t="shared" si="4"/>
        <v>0</v>
      </c>
      <c r="T51" s="1">
        <f t="shared" si="0"/>
        <v>45194</v>
      </c>
      <c r="U51" s="3">
        <v>383</v>
      </c>
      <c r="V51" s="2">
        <v>148134</v>
      </c>
      <c r="W51" s="3">
        <v>2889</v>
      </c>
      <c r="X51" s="2">
        <v>1482425</v>
      </c>
      <c r="Y51" s="3">
        <f t="shared" si="5"/>
        <v>3272</v>
      </c>
      <c r="Z51" s="2">
        <f t="shared" si="6"/>
        <v>1630559</v>
      </c>
      <c r="AA51" s="5">
        <f t="shared" si="7"/>
        <v>0</v>
      </c>
    </row>
    <row r="52" spans="10:27" x14ac:dyDescent="0.2">
      <c r="J52" s="1">
        <f t="shared" si="1"/>
        <v>45551</v>
      </c>
      <c r="K52" s="3">
        <v>163</v>
      </c>
      <c r="L52" s="2">
        <v>57040</v>
      </c>
      <c r="M52" s="3">
        <v>2690</v>
      </c>
      <c r="N52" s="2">
        <v>1425911</v>
      </c>
      <c r="O52" s="3">
        <f t="shared" si="2"/>
        <v>2853</v>
      </c>
      <c r="P52" s="2">
        <f t="shared" si="3"/>
        <v>1482951</v>
      </c>
      <c r="Q52" s="6">
        <f t="shared" si="4"/>
        <v>3346</v>
      </c>
      <c r="T52" s="1">
        <f t="shared" si="0"/>
        <v>45187</v>
      </c>
      <c r="U52" s="3">
        <v>383</v>
      </c>
      <c r="V52" s="2">
        <v>148134</v>
      </c>
      <c r="W52" s="3">
        <v>2889</v>
      </c>
      <c r="X52" s="2">
        <v>1482425</v>
      </c>
      <c r="Y52" s="3">
        <f t="shared" si="5"/>
        <v>3272</v>
      </c>
      <c r="Z52" s="2">
        <f t="shared" si="6"/>
        <v>1630559</v>
      </c>
      <c r="AA52" s="5">
        <f t="shared" si="7"/>
        <v>7018</v>
      </c>
    </row>
    <row r="53" spans="10:27" x14ac:dyDescent="0.2">
      <c r="J53" s="1">
        <f t="shared" si="1"/>
        <v>45544</v>
      </c>
      <c r="K53" s="3">
        <v>154</v>
      </c>
      <c r="L53" s="2">
        <v>53694</v>
      </c>
      <c r="M53" s="3">
        <v>2690</v>
      </c>
      <c r="N53" s="2">
        <v>1425911</v>
      </c>
      <c r="O53" s="3">
        <f t="shared" si="2"/>
        <v>2844</v>
      </c>
      <c r="P53" s="2">
        <f t="shared" si="3"/>
        <v>1479605</v>
      </c>
      <c r="Q53" s="6">
        <f t="shared" si="4"/>
        <v>448</v>
      </c>
      <c r="T53" s="1">
        <f t="shared" si="0"/>
        <v>45180</v>
      </c>
      <c r="U53" s="3">
        <v>370</v>
      </c>
      <c r="V53" s="2">
        <v>141116</v>
      </c>
      <c r="W53" s="3">
        <v>2889</v>
      </c>
      <c r="X53" s="2">
        <v>1482425</v>
      </c>
      <c r="Y53" s="3">
        <f t="shared" si="5"/>
        <v>3259</v>
      </c>
      <c r="Z53" s="2">
        <f t="shared" si="6"/>
        <v>1623541</v>
      </c>
      <c r="AA53" s="5">
        <f t="shared" si="7"/>
        <v>0</v>
      </c>
    </row>
    <row r="54" spans="10:27" x14ac:dyDescent="0.2">
      <c r="J54" s="1">
        <f t="shared" si="1"/>
        <v>45537</v>
      </c>
      <c r="K54" s="3">
        <v>152</v>
      </c>
      <c r="L54" s="2">
        <v>53246</v>
      </c>
      <c r="M54" s="3">
        <v>2690</v>
      </c>
      <c r="N54" s="2">
        <v>1425911</v>
      </c>
      <c r="O54" s="3">
        <f t="shared" si="2"/>
        <v>2842</v>
      </c>
      <c r="P54" s="2">
        <f t="shared" si="3"/>
        <v>1479157</v>
      </c>
      <c r="Q54" s="6">
        <f t="shared" si="4"/>
        <v>3149</v>
      </c>
      <c r="T54" s="1">
        <f t="shared" si="0"/>
        <v>45173</v>
      </c>
      <c r="U54" s="3">
        <v>370</v>
      </c>
      <c r="V54" s="2">
        <v>141116</v>
      </c>
      <c r="W54" s="3">
        <v>2889</v>
      </c>
      <c r="X54" s="2">
        <v>1482425</v>
      </c>
      <c r="Y54" s="3">
        <f t="shared" si="5"/>
        <v>3259</v>
      </c>
      <c r="Z54" s="2">
        <f t="shared" si="6"/>
        <v>1623541</v>
      </c>
      <c r="AA54" s="5">
        <f t="shared" si="7"/>
        <v>1089</v>
      </c>
    </row>
    <row r="55" spans="10:27" x14ac:dyDescent="0.2">
      <c r="J55" s="1">
        <f t="shared" si="1"/>
        <v>45530</v>
      </c>
      <c r="K55" s="3">
        <v>145</v>
      </c>
      <c r="L55" s="2">
        <v>51896</v>
      </c>
      <c r="M55" s="3">
        <v>2685</v>
      </c>
      <c r="N55" s="2">
        <v>1424112</v>
      </c>
      <c r="O55" s="3">
        <f t="shared" si="2"/>
        <v>2830</v>
      </c>
      <c r="P55" s="2">
        <f t="shared" si="3"/>
        <v>1476008</v>
      </c>
      <c r="Q55" s="6">
        <f t="shared" si="4"/>
        <v>2401</v>
      </c>
      <c r="T55" s="1">
        <f t="shared" si="0"/>
        <v>45166</v>
      </c>
      <c r="U55" s="3">
        <v>366</v>
      </c>
      <c r="V55" s="2">
        <v>140027</v>
      </c>
      <c r="W55" s="3">
        <v>2889</v>
      </c>
      <c r="X55" s="2">
        <v>1482425</v>
      </c>
      <c r="Y55" s="3">
        <f t="shared" si="5"/>
        <v>3255</v>
      </c>
      <c r="Z55" s="2">
        <f t="shared" si="6"/>
        <v>1622452</v>
      </c>
      <c r="AA55" s="5">
        <f t="shared" si="7"/>
        <v>3764</v>
      </c>
    </row>
    <row r="56" spans="10:27" x14ac:dyDescent="0.2">
      <c r="J56" s="1">
        <f t="shared" si="1"/>
        <v>45523</v>
      </c>
      <c r="K56" s="3">
        <v>141</v>
      </c>
      <c r="L56" s="2">
        <v>50566</v>
      </c>
      <c r="M56" s="3">
        <v>2682</v>
      </c>
      <c r="N56" s="2">
        <v>1423041</v>
      </c>
      <c r="O56" s="3">
        <f t="shared" si="2"/>
        <v>2823</v>
      </c>
      <c r="P56" s="2">
        <f t="shared" si="3"/>
        <v>1473607</v>
      </c>
      <c r="Q56" s="6">
        <f t="shared" si="4"/>
        <v>2785</v>
      </c>
      <c r="T56" s="1">
        <f t="shared" si="0"/>
        <v>45159</v>
      </c>
      <c r="U56" s="3">
        <v>358</v>
      </c>
      <c r="V56" s="2">
        <v>136263</v>
      </c>
      <c r="W56" s="3">
        <v>2889</v>
      </c>
      <c r="X56" s="2">
        <v>1482425</v>
      </c>
      <c r="Y56" s="3">
        <f t="shared" si="5"/>
        <v>3247</v>
      </c>
      <c r="Z56" s="2">
        <f t="shared" si="6"/>
        <v>1618688</v>
      </c>
      <c r="AA56" s="5">
        <f t="shared" si="7"/>
        <v>1232</v>
      </c>
    </row>
    <row r="57" spans="10:27" x14ac:dyDescent="0.2">
      <c r="J57" s="1">
        <f t="shared" si="1"/>
        <v>45516</v>
      </c>
      <c r="K57" s="3">
        <v>135</v>
      </c>
      <c r="L57" s="2">
        <v>47781</v>
      </c>
      <c r="M57" s="3">
        <v>2682</v>
      </c>
      <c r="N57" s="2">
        <v>1423041</v>
      </c>
      <c r="O57" s="3">
        <f t="shared" si="2"/>
        <v>2817</v>
      </c>
      <c r="P57" s="2">
        <f t="shared" si="3"/>
        <v>1470822</v>
      </c>
      <c r="Q57" s="6">
        <f t="shared" si="4"/>
        <v>2387</v>
      </c>
      <c r="T57" s="1">
        <f t="shared" si="0"/>
        <v>45152</v>
      </c>
      <c r="U57" s="3">
        <v>356</v>
      </c>
      <c r="V57" s="2">
        <v>135633</v>
      </c>
      <c r="W57" s="3">
        <v>2886</v>
      </c>
      <c r="X57" s="2">
        <v>1481823</v>
      </c>
      <c r="Y57" s="3">
        <f t="shared" si="5"/>
        <v>3242</v>
      </c>
      <c r="Z57" s="2">
        <f t="shared" ref="Z57:Z72" si="8">V57+X57</f>
        <v>1617456</v>
      </c>
      <c r="AA57" s="5">
        <f t="shared" si="7"/>
        <v>782</v>
      </c>
    </row>
    <row r="58" spans="10:27" x14ac:dyDescent="0.2">
      <c r="J58" s="1">
        <f t="shared" si="1"/>
        <v>45509</v>
      </c>
      <c r="K58" s="3">
        <v>128</v>
      </c>
      <c r="L58" s="2">
        <v>45996</v>
      </c>
      <c r="M58" s="3">
        <v>2680</v>
      </c>
      <c r="N58" s="2">
        <v>1422439</v>
      </c>
      <c r="O58" s="3">
        <f t="shared" si="2"/>
        <v>2808</v>
      </c>
      <c r="P58" s="2">
        <f t="shared" si="3"/>
        <v>1468435</v>
      </c>
      <c r="Q58" s="6">
        <f t="shared" si="4"/>
        <v>1688</v>
      </c>
      <c r="T58" s="1">
        <f t="shared" si="0"/>
        <v>45145</v>
      </c>
      <c r="U58" s="3">
        <v>353</v>
      </c>
      <c r="V58" s="2">
        <v>134851</v>
      </c>
      <c r="W58" s="3">
        <v>2886</v>
      </c>
      <c r="X58" s="2">
        <v>1481823</v>
      </c>
      <c r="Y58" s="3">
        <f t="shared" si="5"/>
        <v>3239</v>
      </c>
      <c r="Z58" s="2">
        <f t="shared" si="8"/>
        <v>1616674</v>
      </c>
      <c r="AA58" s="5">
        <f t="shared" si="7"/>
        <v>1889</v>
      </c>
    </row>
    <row r="59" spans="10:27" x14ac:dyDescent="0.2">
      <c r="J59" s="1">
        <f t="shared" si="1"/>
        <v>45502</v>
      </c>
      <c r="K59" s="3">
        <v>125</v>
      </c>
      <c r="L59" s="2">
        <v>44602</v>
      </c>
      <c r="M59" s="3">
        <v>2678</v>
      </c>
      <c r="N59" s="2">
        <v>1422145</v>
      </c>
      <c r="O59" s="3">
        <f t="shared" si="2"/>
        <v>2803</v>
      </c>
      <c r="P59" s="2">
        <f t="shared" si="3"/>
        <v>1466747</v>
      </c>
      <c r="Q59" s="6">
        <f t="shared" si="4"/>
        <v>3404</v>
      </c>
      <c r="T59" s="1">
        <f t="shared" si="0"/>
        <v>45138</v>
      </c>
      <c r="U59" s="3">
        <v>347</v>
      </c>
      <c r="V59" s="2">
        <v>133928</v>
      </c>
      <c r="W59" s="3">
        <v>2884</v>
      </c>
      <c r="X59" s="2">
        <v>1480857</v>
      </c>
      <c r="Y59" s="3">
        <f t="shared" si="5"/>
        <v>3231</v>
      </c>
      <c r="Z59" s="2">
        <f t="shared" si="8"/>
        <v>1614785</v>
      </c>
      <c r="AA59" s="5">
        <f t="shared" si="7"/>
        <v>2778</v>
      </c>
    </row>
    <row r="60" spans="10:27" x14ac:dyDescent="0.2">
      <c r="J60" s="1">
        <f t="shared" si="1"/>
        <v>45495</v>
      </c>
      <c r="K60" s="3">
        <v>119</v>
      </c>
      <c r="L60" s="2">
        <v>42194</v>
      </c>
      <c r="M60" s="3">
        <v>2676</v>
      </c>
      <c r="N60" s="2">
        <v>1421149</v>
      </c>
      <c r="O60" s="3">
        <f t="shared" si="2"/>
        <v>2795</v>
      </c>
      <c r="P60" s="2">
        <f t="shared" si="3"/>
        <v>1463343</v>
      </c>
      <c r="Q60" s="6">
        <f t="shared" si="4"/>
        <v>1659</v>
      </c>
      <c r="T60" s="1">
        <f t="shared" si="0"/>
        <v>45131</v>
      </c>
      <c r="U60" s="3">
        <v>339</v>
      </c>
      <c r="V60" s="2">
        <v>131150</v>
      </c>
      <c r="W60" s="3">
        <v>2884</v>
      </c>
      <c r="X60" s="2">
        <v>1480857</v>
      </c>
      <c r="Y60" s="3">
        <f t="shared" si="5"/>
        <v>3223</v>
      </c>
      <c r="Z60" s="2">
        <f t="shared" si="8"/>
        <v>1612007</v>
      </c>
      <c r="AA60" s="5">
        <f t="shared" si="7"/>
        <v>1633</v>
      </c>
    </row>
    <row r="61" spans="10:27" x14ac:dyDescent="0.2">
      <c r="J61" s="1">
        <f t="shared" si="1"/>
        <v>45488</v>
      </c>
      <c r="K61" s="3">
        <v>118</v>
      </c>
      <c r="L61" s="2">
        <v>41081</v>
      </c>
      <c r="M61" s="3">
        <v>2674</v>
      </c>
      <c r="N61" s="2">
        <v>1420603</v>
      </c>
      <c r="O61" s="3">
        <f t="shared" si="2"/>
        <v>2792</v>
      </c>
      <c r="P61" s="2">
        <f t="shared" si="3"/>
        <v>1461684</v>
      </c>
      <c r="Q61" s="6">
        <f t="shared" si="4"/>
        <v>2254</v>
      </c>
      <c r="T61" s="1">
        <f t="shared" si="0"/>
        <v>45124</v>
      </c>
      <c r="U61" s="3">
        <v>336</v>
      </c>
      <c r="V61" s="2">
        <v>130381</v>
      </c>
      <c r="W61" s="3">
        <v>2882</v>
      </c>
      <c r="X61" s="2">
        <v>1479993</v>
      </c>
      <c r="Y61" s="3">
        <f t="shared" si="5"/>
        <v>3218</v>
      </c>
      <c r="Z61" s="2">
        <f t="shared" si="8"/>
        <v>1610374</v>
      </c>
      <c r="AA61" s="5">
        <f t="shared" si="7"/>
        <v>7228</v>
      </c>
    </row>
    <row r="62" spans="10:27" x14ac:dyDescent="0.2">
      <c r="J62" s="1">
        <f t="shared" si="1"/>
        <v>45481</v>
      </c>
      <c r="K62" s="3">
        <v>118</v>
      </c>
      <c r="L62" s="2">
        <v>41081</v>
      </c>
      <c r="M62" s="3">
        <v>2670</v>
      </c>
      <c r="N62" s="2">
        <v>1418349</v>
      </c>
      <c r="O62" s="3">
        <f t="shared" si="2"/>
        <v>2788</v>
      </c>
      <c r="P62" s="2">
        <f t="shared" si="3"/>
        <v>1459430</v>
      </c>
      <c r="Q62" s="6">
        <f t="shared" si="4"/>
        <v>3121</v>
      </c>
      <c r="T62" s="1">
        <f t="shared" si="0"/>
        <v>45117</v>
      </c>
      <c r="U62" s="3">
        <v>321</v>
      </c>
      <c r="V62" s="2">
        <v>125099</v>
      </c>
      <c r="W62" s="3">
        <v>2880</v>
      </c>
      <c r="X62" s="2">
        <v>1478047</v>
      </c>
      <c r="Y62" s="3">
        <f t="shared" si="5"/>
        <v>3201</v>
      </c>
      <c r="Z62" s="2">
        <f t="shared" si="8"/>
        <v>1603146</v>
      </c>
      <c r="AA62" s="5">
        <f t="shared" si="7"/>
        <v>154</v>
      </c>
    </row>
    <row r="63" spans="10:27" x14ac:dyDescent="0.2">
      <c r="J63" s="1">
        <f t="shared" si="1"/>
        <v>45474</v>
      </c>
      <c r="K63" s="3">
        <v>113</v>
      </c>
      <c r="L63" s="2">
        <v>38890</v>
      </c>
      <c r="M63" s="3">
        <v>2667</v>
      </c>
      <c r="N63" s="2">
        <v>1417419</v>
      </c>
      <c r="O63" s="3">
        <f t="shared" si="2"/>
        <v>2780</v>
      </c>
      <c r="P63" s="2">
        <f t="shared" si="3"/>
        <v>1456309</v>
      </c>
      <c r="Q63" s="6">
        <f t="shared" si="4"/>
        <v>1101</v>
      </c>
      <c r="T63" s="1">
        <f t="shared" si="0"/>
        <v>45110</v>
      </c>
      <c r="U63" s="3">
        <v>320</v>
      </c>
      <c r="V63" s="2">
        <v>124945</v>
      </c>
      <c r="W63" s="3">
        <v>2880</v>
      </c>
      <c r="X63" s="2">
        <v>1478047</v>
      </c>
      <c r="Y63" s="3">
        <f t="shared" si="5"/>
        <v>3200</v>
      </c>
      <c r="Z63" s="2">
        <f t="shared" si="8"/>
        <v>1602992</v>
      </c>
      <c r="AA63" s="5">
        <f t="shared" si="7"/>
        <v>6298</v>
      </c>
    </row>
    <row r="64" spans="10:27" x14ac:dyDescent="0.2">
      <c r="J64" s="1">
        <f t="shared" si="1"/>
        <v>45467</v>
      </c>
      <c r="K64" s="3">
        <v>107</v>
      </c>
      <c r="L64" s="2">
        <v>37789</v>
      </c>
      <c r="M64" s="3">
        <v>2667</v>
      </c>
      <c r="N64" s="2">
        <v>1417419</v>
      </c>
      <c r="O64" s="3">
        <f t="shared" si="2"/>
        <v>2774</v>
      </c>
      <c r="P64" s="2">
        <f t="shared" si="3"/>
        <v>1455208</v>
      </c>
      <c r="Q64" s="6">
        <f t="shared" si="4"/>
        <v>7538</v>
      </c>
      <c r="T64" s="1">
        <f t="shared" si="0"/>
        <v>45103</v>
      </c>
      <c r="U64" s="3">
        <v>307</v>
      </c>
      <c r="V64" s="2">
        <v>120600</v>
      </c>
      <c r="W64" s="3">
        <v>2875</v>
      </c>
      <c r="X64" s="2">
        <v>1476094</v>
      </c>
      <c r="Y64" s="3">
        <f t="shared" si="5"/>
        <v>3182</v>
      </c>
      <c r="Z64" s="2">
        <f t="shared" si="8"/>
        <v>1596694</v>
      </c>
      <c r="AA64" s="5">
        <f t="shared" si="7"/>
        <v>3320</v>
      </c>
    </row>
    <row r="65" spans="1:27" x14ac:dyDescent="0.2">
      <c r="J65" s="1">
        <f t="shared" si="1"/>
        <v>45460</v>
      </c>
      <c r="K65" s="3">
        <v>103</v>
      </c>
      <c r="L65" s="2">
        <v>35745</v>
      </c>
      <c r="M65" s="3">
        <v>2655</v>
      </c>
      <c r="N65" s="2">
        <v>1411925</v>
      </c>
      <c r="O65" s="3">
        <f t="shared" si="2"/>
        <v>2758</v>
      </c>
      <c r="P65" s="2">
        <f t="shared" si="3"/>
        <v>1447670</v>
      </c>
      <c r="Q65" s="6">
        <f t="shared" si="4"/>
        <v>16136</v>
      </c>
      <c r="T65" s="1">
        <f t="shared" si="0"/>
        <v>45096</v>
      </c>
      <c r="U65" s="3">
        <v>300</v>
      </c>
      <c r="V65" s="2">
        <v>118127</v>
      </c>
      <c r="W65" s="3">
        <v>2872</v>
      </c>
      <c r="X65" s="2">
        <v>1475247</v>
      </c>
      <c r="Y65" s="3">
        <f t="shared" si="5"/>
        <v>3172</v>
      </c>
      <c r="Z65" s="2">
        <f t="shared" si="8"/>
        <v>1593374</v>
      </c>
      <c r="AA65" s="5">
        <f t="shared" si="7"/>
        <v>12357</v>
      </c>
    </row>
    <row r="66" spans="1:27" x14ac:dyDescent="0.2">
      <c r="J66" s="1">
        <f t="shared" si="1"/>
        <v>45453</v>
      </c>
      <c r="K66" s="3">
        <v>95</v>
      </c>
      <c r="L66" s="2">
        <v>33169</v>
      </c>
      <c r="M66" s="3">
        <v>2628</v>
      </c>
      <c r="N66" s="2">
        <v>1398365</v>
      </c>
      <c r="O66" s="3">
        <f t="shared" si="2"/>
        <v>2723</v>
      </c>
      <c r="P66" s="2">
        <f t="shared" si="3"/>
        <v>1431534</v>
      </c>
      <c r="Q66" s="6">
        <f t="shared" si="4"/>
        <v>7403</v>
      </c>
      <c r="T66" s="1">
        <f t="shared" si="0"/>
        <v>45089</v>
      </c>
      <c r="U66" s="3">
        <v>293</v>
      </c>
      <c r="V66" s="2">
        <v>115047</v>
      </c>
      <c r="W66" s="3">
        <v>2853</v>
      </c>
      <c r="X66" s="2">
        <v>1465970</v>
      </c>
      <c r="Y66" s="3">
        <f t="shared" si="5"/>
        <v>3146</v>
      </c>
      <c r="Z66" s="2">
        <f t="shared" si="8"/>
        <v>1581017</v>
      </c>
      <c r="AA66" s="5">
        <f t="shared" si="7"/>
        <v>2411</v>
      </c>
    </row>
    <row r="67" spans="1:27" x14ac:dyDescent="0.2">
      <c r="J67" s="1">
        <f t="shared" si="1"/>
        <v>45446</v>
      </c>
      <c r="K67" s="3">
        <v>94</v>
      </c>
      <c r="L67" s="2">
        <v>32854</v>
      </c>
      <c r="M67" s="3">
        <v>2608</v>
      </c>
      <c r="N67" s="2">
        <v>1391277</v>
      </c>
      <c r="O67" s="3">
        <f t="shared" si="2"/>
        <v>2702</v>
      </c>
      <c r="P67" s="2">
        <f t="shared" si="3"/>
        <v>1424131</v>
      </c>
      <c r="Q67" s="6">
        <f t="shared" si="4"/>
        <v>47319</v>
      </c>
      <c r="T67" s="1">
        <f t="shared" si="0"/>
        <v>45082</v>
      </c>
      <c r="U67" s="3">
        <v>292</v>
      </c>
      <c r="V67" s="2">
        <v>114648</v>
      </c>
      <c r="W67" s="3">
        <v>2849</v>
      </c>
      <c r="X67" s="2">
        <v>1463958</v>
      </c>
      <c r="Y67" s="3">
        <f t="shared" si="5"/>
        <v>3141</v>
      </c>
      <c r="Z67" s="2">
        <f t="shared" si="8"/>
        <v>1578606</v>
      </c>
      <c r="AA67" s="5">
        <f t="shared" si="7"/>
        <v>2948</v>
      </c>
    </row>
    <row r="68" spans="1:27" x14ac:dyDescent="0.2">
      <c r="J68" s="1">
        <f t="shared" si="1"/>
        <v>45439</v>
      </c>
      <c r="K68" s="3">
        <v>91</v>
      </c>
      <c r="L68" s="2">
        <v>32154</v>
      </c>
      <c r="M68" s="3">
        <v>2513</v>
      </c>
      <c r="N68" s="2">
        <v>1344658</v>
      </c>
      <c r="O68" s="3">
        <f t="shared" si="2"/>
        <v>2604</v>
      </c>
      <c r="P68" s="2">
        <f t="shared" si="3"/>
        <v>1376812</v>
      </c>
      <c r="Q68" s="6">
        <f t="shared" si="4"/>
        <v>16763</v>
      </c>
      <c r="T68" s="1">
        <f t="shared" si="0"/>
        <v>45075</v>
      </c>
      <c r="U68" s="3">
        <v>286</v>
      </c>
      <c r="V68" s="2">
        <v>111854</v>
      </c>
      <c r="W68" s="3">
        <v>2848</v>
      </c>
      <c r="X68" s="2">
        <v>1463804</v>
      </c>
      <c r="Y68" s="3">
        <f t="shared" si="5"/>
        <v>3134</v>
      </c>
      <c r="Z68" s="2">
        <f t="shared" si="8"/>
        <v>1575658</v>
      </c>
      <c r="AA68" s="5">
        <f t="shared" si="7"/>
        <v>3709</v>
      </c>
    </row>
    <row r="69" spans="1:27" x14ac:dyDescent="0.2">
      <c r="J69" s="1">
        <f t="shared" si="1"/>
        <v>45432</v>
      </c>
      <c r="K69" s="3">
        <v>85</v>
      </c>
      <c r="L69" s="2">
        <v>30752</v>
      </c>
      <c r="M69" s="3">
        <v>2473</v>
      </c>
      <c r="N69" s="2">
        <v>1329297</v>
      </c>
      <c r="O69" s="3">
        <f t="shared" si="2"/>
        <v>2558</v>
      </c>
      <c r="P69" s="2">
        <f t="shared" si="3"/>
        <v>1360049</v>
      </c>
      <c r="Q69" s="6">
        <f t="shared" si="4"/>
        <v>11972</v>
      </c>
      <c r="T69" s="1">
        <f t="shared" si="0"/>
        <v>45068</v>
      </c>
      <c r="U69" s="3">
        <v>278</v>
      </c>
      <c r="V69" s="2">
        <v>109034</v>
      </c>
      <c r="W69" s="3">
        <v>2847</v>
      </c>
      <c r="X69" s="2">
        <v>1462915</v>
      </c>
      <c r="Y69" s="3">
        <f t="shared" si="5"/>
        <v>3125</v>
      </c>
      <c r="Z69" s="2">
        <f t="shared" si="8"/>
        <v>1571949</v>
      </c>
      <c r="AA69" s="5">
        <f t="shared" si="7"/>
        <v>10572</v>
      </c>
    </row>
    <row r="70" spans="1:27" x14ac:dyDescent="0.2">
      <c r="A70" s="1">
        <v>45789</v>
      </c>
      <c r="B70" s="9">
        <v>122</v>
      </c>
      <c r="C70" s="10">
        <v>59763</v>
      </c>
      <c r="D70" s="9">
        <v>2293</v>
      </c>
      <c r="E70" s="10">
        <v>1322554</v>
      </c>
      <c r="F70" s="9">
        <f t="shared" ref="F70:F80" si="9">B70+D70</f>
        <v>2415</v>
      </c>
      <c r="G70" s="10">
        <f t="shared" ref="G70:G80" si="10">C70+E70</f>
        <v>1382317</v>
      </c>
      <c r="H70" s="11">
        <f t="shared" ref="H70:H75" si="11">G70-G71</f>
        <v>29869</v>
      </c>
      <c r="I70" s="11"/>
      <c r="J70" s="1">
        <f t="shared" si="1"/>
        <v>45425</v>
      </c>
      <c r="K70" s="3">
        <v>76</v>
      </c>
      <c r="L70" s="2">
        <v>28802</v>
      </c>
      <c r="M70" s="3">
        <v>2443</v>
      </c>
      <c r="N70" s="2">
        <v>1319275</v>
      </c>
      <c r="O70" s="3">
        <f t="shared" si="2"/>
        <v>2519</v>
      </c>
      <c r="P70" s="2">
        <f t="shared" si="3"/>
        <v>1348077</v>
      </c>
      <c r="Q70" s="6">
        <f t="shared" si="4"/>
        <v>49630</v>
      </c>
      <c r="T70" s="1">
        <f t="shared" si="0"/>
        <v>45061</v>
      </c>
      <c r="U70" s="3">
        <v>254</v>
      </c>
      <c r="V70" s="2">
        <v>100938</v>
      </c>
      <c r="W70" s="3">
        <v>2842</v>
      </c>
      <c r="X70" s="2">
        <v>1460439</v>
      </c>
      <c r="Y70" s="3">
        <f t="shared" si="5"/>
        <v>3096</v>
      </c>
      <c r="Z70" s="2">
        <f t="shared" si="8"/>
        <v>1561377</v>
      </c>
      <c r="AA70" s="5">
        <f t="shared" si="7"/>
        <v>7544</v>
      </c>
    </row>
    <row r="71" spans="1:27" x14ac:dyDescent="0.2">
      <c r="A71" s="1">
        <v>45782</v>
      </c>
      <c r="B71" s="9">
        <v>121</v>
      </c>
      <c r="C71" s="10">
        <v>58153</v>
      </c>
      <c r="D71" s="9">
        <v>2252</v>
      </c>
      <c r="E71" s="10">
        <v>1294295</v>
      </c>
      <c r="F71" s="9">
        <f t="shared" si="9"/>
        <v>2373</v>
      </c>
      <c r="G71" s="10">
        <f t="shared" si="10"/>
        <v>1352448</v>
      </c>
      <c r="H71" s="11">
        <f t="shared" si="11"/>
        <v>65468</v>
      </c>
      <c r="I71" s="11"/>
      <c r="J71" s="1">
        <f t="shared" si="1"/>
        <v>45418</v>
      </c>
      <c r="K71" s="3">
        <v>70</v>
      </c>
      <c r="L71" s="2">
        <v>26832</v>
      </c>
      <c r="M71" s="3">
        <v>2362</v>
      </c>
      <c r="N71" s="2">
        <v>1271615</v>
      </c>
      <c r="O71" s="3">
        <f t="shared" si="2"/>
        <v>2432</v>
      </c>
      <c r="P71" s="2">
        <f t="shared" si="3"/>
        <v>1298447</v>
      </c>
      <c r="Q71" s="6">
        <f t="shared" si="4"/>
        <v>199997</v>
      </c>
      <c r="T71" s="1">
        <f t="shared" si="0"/>
        <v>45054</v>
      </c>
      <c r="U71" s="3">
        <v>243</v>
      </c>
      <c r="V71" s="2">
        <v>96113</v>
      </c>
      <c r="W71" s="3">
        <v>2835</v>
      </c>
      <c r="X71" s="2">
        <v>1457720</v>
      </c>
      <c r="Y71" s="3">
        <f t="shared" si="5"/>
        <v>3078</v>
      </c>
      <c r="Z71" s="2">
        <f t="shared" si="8"/>
        <v>1553833</v>
      </c>
      <c r="AA71" s="5">
        <f t="shared" si="7"/>
        <v>10005</v>
      </c>
    </row>
    <row r="72" spans="1:27" x14ac:dyDescent="0.2">
      <c r="A72" s="1">
        <f>A73+7</f>
        <v>45775</v>
      </c>
      <c r="B72" s="3">
        <v>112</v>
      </c>
      <c r="C72" s="2">
        <v>54163</v>
      </c>
      <c r="D72" s="3">
        <v>2160</v>
      </c>
      <c r="E72" s="2">
        <v>1232817</v>
      </c>
      <c r="F72" s="3">
        <f t="shared" si="9"/>
        <v>2272</v>
      </c>
      <c r="G72" s="2">
        <f t="shared" si="10"/>
        <v>1286980</v>
      </c>
      <c r="H72" s="5">
        <f t="shared" si="11"/>
        <v>240601</v>
      </c>
      <c r="I72" s="5"/>
      <c r="J72" s="1">
        <f t="shared" si="1"/>
        <v>45411</v>
      </c>
      <c r="K72" s="3">
        <v>47</v>
      </c>
      <c r="L72" s="2">
        <v>17987</v>
      </c>
      <c r="M72" s="3">
        <v>2005</v>
      </c>
      <c r="N72" s="2">
        <v>1080463</v>
      </c>
      <c r="O72" s="3">
        <f t="shared" si="2"/>
        <v>2052</v>
      </c>
      <c r="P72" s="2">
        <f t="shared" si="3"/>
        <v>1098450</v>
      </c>
      <c r="Q72" s="6">
        <f t="shared" si="4"/>
        <v>104826</v>
      </c>
      <c r="T72" s="1">
        <f t="shared" si="0"/>
        <v>45047</v>
      </c>
      <c r="U72" s="3">
        <v>233</v>
      </c>
      <c r="V72" s="2">
        <v>90737</v>
      </c>
      <c r="W72" s="3">
        <v>2820</v>
      </c>
      <c r="X72" s="2">
        <v>1453091</v>
      </c>
      <c r="Y72" s="3">
        <f t="shared" si="5"/>
        <v>3053</v>
      </c>
      <c r="Z72" s="2">
        <f t="shared" si="8"/>
        <v>1543828</v>
      </c>
      <c r="AA72" s="5">
        <f t="shared" si="7"/>
        <v>8310</v>
      </c>
    </row>
    <row r="73" spans="1:27" x14ac:dyDescent="0.2">
      <c r="A73" s="1">
        <v>45768</v>
      </c>
      <c r="B73" s="3">
        <v>76</v>
      </c>
      <c r="C73" s="2">
        <v>40984</v>
      </c>
      <c r="D73" s="3">
        <v>1739</v>
      </c>
      <c r="E73" s="2">
        <v>1005395</v>
      </c>
      <c r="F73" s="3">
        <f t="shared" si="9"/>
        <v>1815</v>
      </c>
      <c r="G73" s="2">
        <f t="shared" si="10"/>
        <v>1046379</v>
      </c>
      <c r="H73" s="5">
        <f t="shared" si="11"/>
        <v>201846</v>
      </c>
      <c r="I73" s="5"/>
      <c r="J73" s="1">
        <v>45404</v>
      </c>
      <c r="K73" s="3">
        <v>45</v>
      </c>
      <c r="L73" s="2">
        <v>17584</v>
      </c>
      <c r="M73" s="3">
        <v>1789</v>
      </c>
      <c r="N73" s="2">
        <v>976040</v>
      </c>
      <c r="O73" s="3">
        <f t="shared" si="2"/>
        <v>1834</v>
      </c>
      <c r="P73" s="2">
        <f t="shared" si="3"/>
        <v>993624</v>
      </c>
      <c r="Q73" s="6">
        <f t="shared" si="4"/>
        <v>190134</v>
      </c>
      <c r="T73" s="1">
        <f t="shared" si="0"/>
        <v>45040</v>
      </c>
      <c r="U73" s="3">
        <v>217</v>
      </c>
      <c r="V73" s="2">
        <v>86740</v>
      </c>
      <c r="W73" s="3">
        <v>2810</v>
      </c>
      <c r="X73" s="2">
        <v>1448778</v>
      </c>
      <c r="Y73" s="3">
        <f t="shared" si="5"/>
        <v>3027</v>
      </c>
      <c r="Z73" s="2">
        <f t="shared" ref="Z73:Z84" si="12">V73+X73</f>
        <v>1535518</v>
      </c>
      <c r="AA73" s="5">
        <f t="shared" si="7"/>
        <v>7959</v>
      </c>
    </row>
    <row r="74" spans="1:27" x14ac:dyDescent="0.2">
      <c r="A74" s="1">
        <v>45761</v>
      </c>
      <c r="B74" s="3">
        <v>50</v>
      </c>
      <c r="C74" s="2">
        <v>27424</v>
      </c>
      <c r="D74" s="3">
        <v>1387</v>
      </c>
      <c r="E74" s="2">
        <v>817109</v>
      </c>
      <c r="F74" s="3">
        <f t="shared" si="9"/>
        <v>1437</v>
      </c>
      <c r="G74" s="2">
        <f t="shared" si="10"/>
        <v>844533</v>
      </c>
      <c r="H74" s="5">
        <f t="shared" si="11"/>
        <v>171478</v>
      </c>
      <c r="I74" s="5"/>
      <c r="J74" s="1">
        <f>J73-7</f>
        <v>45397</v>
      </c>
      <c r="K74" s="3">
        <v>36</v>
      </c>
      <c r="L74" s="2">
        <v>13657</v>
      </c>
      <c r="M74" s="3">
        <v>1434</v>
      </c>
      <c r="N74" s="2">
        <v>789833</v>
      </c>
      <c r="O74" s="3">
        <f t="shared" si="2"/>
        <v>1470</v>
      </c>
      <c r="P74" s="2">
        <f t="shared" si="3"/>
        <v>803490</v>
      </c>
      <c r="Q74" s="6">
        <f t="shared" si="4"/>
        <v>135704</v>
      </c>
      <c r="T74" s="1">
        <f t="shared" si="0"/>
        <v>45033</v>
      </c>
      <c r="U74" s="3">
        <v>201</v>
      </c>
      <c r="V74" s="2">
        <v>82979</v>
      </c>
      <c r="W74" s="3">
        <v>2801</v>
      </c>
      <c r="X74" s="2">
        <v>1444580</v>
      </c>
      <c r="Y74" s="3">
        <f t="shared" si="5"/>
        <v>3002</v>
      </c>
      <c r="Z74" s="2">
        <f t="shared" si="12"/>
        <v>1527559</v>
      </c>
      <c r="AA74" s="5">
        <f t="shared" si="7"/>
        <v>9872</v>
      </c>
    </row>
    <row r="75" spans="1:27" x14ac:dyDescent="0.2">
      <c r="A75" s="1">
        <v>45754</v>
      </c>
      <c r="B75" s="3">
        <v>39</v>
      </c>
      <c r="C75" s="2">
        <v>21024</v>
      </c>
      <c r="D75" s="3">
        <v>1136</v>
      </c>
      <c r="E75" s="2">
        <v>652031</v>
      </c>
      <c r="F75" s="3">
        <f t="shared" si="9"/>
        <v>1175</v>
      </c>
      <c r="G75" s="2">
        <f t="shared" si="10"/>
        <v>673055</v>
      </c>
      <c r="H75" s="5">
        <f t="shared" si="11"/>
        <v>128862</v>
      </c>
      <c r="I75" s="5"/>
      <c r="J75" s="1">
        <f>J74-7</f>
        <v>45390</v>
      </c>
      <c r="K75" s="3">
        <v>32</v>
      </c>
      <c r="L75" s="2">
        <v>12068</v>
      </c>
      <c r="M75" s="3">
        <v>1194</v>
      </c>
      <c r="N75" s="2">
        <v>655718</v>
      </c>
      <c r="O75" s="3">
        <f t="shared" si="2"/>
        <v>1226</v>
      </c>
      <c r="P75" s="2">
        <f t="shared" si="3"/>
        <v>667786</v>
      </c>
      <c r="Q75" s="6">
        <f t="shared" si="4"/>
        <v>199483</v>
      </c>
      <c r="T75" s="1">
        <f t="shared" si="0"/>
        <v>45026</v>
      </c>
      <c r="U75" s="3">
        <v>187</v>
      </c>
      <c r="V75" s="2">
        <v>76786</v>
      </c>
      <c r="W75" s="3">
        <v>2792</v>
      </c>
      <c r="X75" s="2">
        <v>1440901</v>
      </c>
      <c r="Y75" s="3">
        <f t="shared" si="5"/>
        <v>2979</v>
      </c>
      <c r="Z75" s="2">
        <f t="shared" si="12"/>
        <v>1517687</v>
      </c>
      <c r="AA75" s="5">
        <f t="shared" si="7"/>
        <v>25080</v>
      </c>
    </row>
    <row r="76" spans="1:27" x14ac:dyDescent="0.2">
      <c r="A76" s="1">
        <v>45747</v>
      </c>
      <c r="B76" s="3">
        <v>30</v>
      </c>
      <c r="C76" s="2">
        <v>16220</v>
      </c>
      <c r="D76" s="3">
        <v>898</v>
      </c>
      <c r="E76" s="2">
        <v>527973</v>
      </c>
      <c r="F76" s="3">
        <f t="shared" si="9"/>
        <v>928</v>
      </c>
      <c r="G76" s="2">
        <f t="shared" si="10"/>
        <v>544193</v>
      </c>
      <c r="H76" s="5">
        <f>G76-G77</f>
        <v>143078</v>
      </c>
      <c r="I76" s="5"/>
      <c r="J76" s="1">
        <f>J75-7</f>
        <v>45383</v>
      </c>
      <c r="K76" s="3">
        <v>27</v>
      </c>
      <c r="L76" s="2">
        <v>8218</v>
      </c>
      <c r="M76" s="3">
        <v>834</v>
      </c>
      <c r="N76" s="2">
        <v>460085</v>
      </c>
      <c r="O76" s="3">
        <f t="shared" si="2"/>
        <v>861</v>
      </c>
      <c r="P76" s="2">
        <f t="shared" si="3"/>
        <v>468303</v>
      </c>
      <c r="Q76" s="4"/>
      <c r="T76" s="1">
        <f t="shared" si="0"/>
        <v>45019</v>
      </c>
      <c r="U76" s="3">
        <v>169</v>
      </c>
      <c r="V76" s="2">
        <v>68243</v>
      </c>
      <c r="W76" s="3">
        <v>2756</v>
      </c>
      <c r="X76" s="2">
        <v>1424364</v>
      </c>
      <c r="Y76" s="3">
        <f t="shared" si="5"/>
        <v>2925</v>
      </c>
      <c r="Z76" s="2">
        <f t="shared" si="12"/>
        <v>1492607</v>
      </c>
      <c r="AA76" s="5">
        <f t="shared" si="7"/>
        <v>24267</v>
      </c>
    </row>
    <row r="77" spans="1:27" x14ac:dyDescent="0.2">
      <c r="A77" s="1">
        <f>A76-7</f>
        <v>45740</v>
      </c>
      <c r="B77" s="3">
        <v>23</v>
      </c>
      <c r="C77" s="2">
        <v>10878</v>
      </c>
      <c r="D77" s="3">
        <v>632</v>
      </c>
      <c r="E77" s="2">
        <v>390237</v>
      </c>
      <c r="F77" s="3">
        <f t="shared" si="9"/>
        <v>655</v>
      </c>
      <c r="G77" s="2">
        <f t="shared" si="10"/>
        <v>401115</v>
      </c>
      <c r="H77" s="5"/>
      <c r="I77" s="5"/>
      <c r="J77" s="1">
        <f>J76-7</f>
        <v>45376</v>
      </c>
      <c r="K77" s="3">
        <v>16</v>
      </c>
      <c r="L77" s="2">
        <v>6126</v>
      </c>
      <c r="M77" s="3">
        <v>439</v>
      </c>
      <c r="N77" s="2">
        <v>253416</v>
      </c>
      <c r="O77" s="3">
        <f t="shared" si="2"/>
        <v>455</v>
      </c>
      <c r="P77" s="2">
        <f t="shared" si="3"/>
        <v>259542</v>
      </c>
      <c r="Q77" s="4"/>
      <c r="T77" s="1">
        <f t="shared" si="0"/>
        <v>45012</v>
      </c>
      <c r="U77" s="3">
        <v>150</v>
      </c>
      <c r="V77" s="2">
        <v>57641</v>
      </c>
      <c r="W77" s="3">
        <v>2723</v>
      </c>
      <c r="X77" s="2">
        <v>1410699</v>
      </c>
      <c r="Y77" s="3">
        <f t="shared" si="5"/>
        <v>2873</v>
      </c>
      <c r="Z77" s="2">
        <f t="shared" si="12"/>
        <v>1468340</v>
      </c>
      <c r="AA77" s="5">
        <f t="shared" si="7"/>
        <v>50793</v>
      </c>
    </row>
    <row r="78" spans="1:27" x14ac:dyDescent="0.2">
      <c r="A78" s="1">
        <f t="shared" ref="A78:A80" si="13">A77-7</f>
        <v>45733</v>
      </c>
      <c r="B78" s="3">
        <v>18</v>
      </c>
      <c r="C78" s="2">
        <v>7973</v>
      </c>
      <c r="D78" s="3">
        <v>368</v>
      </c>
      <c r="E78" s="2">
        <v>229089</v>
      </c>
      <c r="F78" s="3">
        <f t="shared" si="9"/>
        <v>386</v>
      </c>
      <c r="G78" s="2">
        <f t="shared" si="10"/>
        <v>237062</v>
      </c>
      <c r="H78" s="5"/>
      <c r="I78" s="5"/>
      <c r="J78" s="1">
        <f t="shared" ref="J78:J80" si="14">J77-7</f>
        <v>45369</v>
      </c>
      <c r="K78" s="3">
        <v>13</v>
      </c>
      <c r="L78" s="2">
        <v>3977</v>
      </c>
      <c r="M78" s="3">
        <v>128</v>
      </c>
      <c r="N78" s="2">
        <v>74793</v>
      </c>
      <c r="O78" s="3">
        <f t="shared" si="2"/>
        <v>141</v>
      </c>
      <c r="P78" s="2">
        <f t="shared" si="3"/>
        <v>78770</v>
      </c>
      <c r="Q78" s="4"/>
      <c r="T78" s="1">
        <f t="shared" si="0"/>
        <v>45005</v>
      </c>
      <c r="U78" s="3">
        <v>129</v>
      </c>
      <c r="V78" s="2">
        <v>49986</v>
      </c>
      <c r="W78" s="3">
        <v>2625</v>
      </c>
      <c r="X78" s="2">
        <v>1367561</v>
      </c>
      <c r="Y78" s="3">
        <f t="shared" si="5"/>
        <v>2754</v>
      </c>
      <c r="Z78" s="2">
        <f t="shared" si="12"/>
        <v>1417547</v>
      </c>
      <c r="AA78" s="5">
        <f t="shared" si="7"/>
        <v>263408</v>
      </c>
    </row>
    <row r="79" spans="1:27" x14ac:dyDescent="0.2">
      <c r="A79" s="1">
        <f t="shared" si="13"/>
        <v>45726</v>
      </c>
      <c r="B79" s="3">
        <v>8</v>
      </c>
      <c r="C79" s="2">
        <v>3640</v>
      </c>
      <c r="D79" s="3">
        <v>106</v>
      </c>
      <c r="E79" s="2">
        <v>73031</v>
      </c>
      <c r="F79" s="3">
        <f t="shared" si="9"/>
        <v>114</v>
      </c>
      <c r="G79" s="2">
        <f t="shared" si="10"/>
        <v>76671</v>
      </c>
      <c r="J79" s="1">
        <f t="shared" si="14"/>
        <v>45362</v>
      </c>
      <c r="K79" s="3">
        <v>8</v>
      </c>
      <c r="L79" s="2">
        <v>1786</v>
      </c>
      <c r="M79" s="3">
        <v>61</v>
      </c>
      <c r="N79" s="2">
        <v>37932</v>
      </c>
      <c r="O79" s="3">
        <f t="shared" si="2"/>
        <v>69</v>
      </c>
      <c r="P79" s="2">
        <f t="shared" si="3"/>
        <v>39718</v>
      </c>
      <c r="Q79" s="4"/>
      <c r="T79" s="1">
        <f t="shared" si="0"/>
        <v>44998</v>
      </c>
      <c r="U79" s="3">
        <v>97</v>
      </c>
      <c r="V79" s="2">
        <v>38308</v>
      </c>
      <c r="W79" s="3">
        <v>2093</v>
      </c>
      <c r="X79" s="2">
        <v>1115831</v>
      </c>
      <c r="Y79" s="3">
        <f t="shared" si="5"/>
        <v>2190</v>
      </c>
      <c r="Z79" s="2">
        <f t="shared" si="12"/>
        <v>1154139</v>
      </c>
      <c r="AA79" s="5">
        <f t="shared" si="7"/>
        <v>237625</v>
      </c>
    </row>
    <row r="80" spans="1:27" x14ac:dyDescent="0.2">
      <c r="A80" s="1">
        <f t="shared" si="13"/>
        <v>45719</v>
      </c>
      <c r="B80" s="3">
        <v>7</v>
      </c>
      <c r="C80" s="2">
        <v>3402</v>
      </c>
      <c r="D80" s="3">
        <v>32</v>
      </c>
      <c r="E80" s="2">
        <v>24073</v>
      </c>
      <c r="F80" s="3">
        <f t="shared" si="9"/>
        <v>39</v>
      </c>
      <c r="G80" s="2">
        <f t="shared" si="10"/>
        <v>27475</v>
      </c>
      <c r="J80" s="1">
        <f t="shared" si="14"/>
        <v>45355</v>
      </c>
      <c r="K80" s="3">
        <v>0</v>
      </c>
      <c r="L80" s="2">
        <v>1786</v>
      </c>
      <c r="M80" s="3">
        <v>20</v>
      </c>
      <c r="N80" s="2">
        <v>9861</v>
      </c>
      <c r="O80" s="3">
        <f t="shared" si="2"/>
        <v>20</v>
      </c>
      <c r="P80" s="2">
        <f t="shared" si="3"/>
        <v>11647</v>
      </c>
      <c r="Q80" s="4"/>
      <c r="T80" s="1">
        <f t="shared" si="0"/>
        <v>44991</v>
      </c>
      <c r="U80" s="3">
        <v>70</v>
      </c>
      <c r="V80" s="2">
        <v>28747</v>
      </c>
      <c r="W80" s="3">
        <v>1654</v>
      </c>
      <c r="X80" s="2">
        <v>887767</v>
      </c>
      <c r="Y80" s="3">
        <f t="shared" si="5"/>
        <v>1724</v>
      </c>
      <c r="Z80" s="2">
        <f t="shared" si="12"/>
        <v>916514</v>
      </c>
      <c r="AA80" s="5">
        <f t="shared" si="7"/>
        <v>144819</v>
      </c>
    </row>
    <row r="81" spans="1:28" x14ac:dyDescent="0.2">
      <c r="A81" s="1"/>
      <c r="K81" s="1"/>
      <c r="T81" s="1">
        <f t="shared" si="0"/>
        <v>44984</v>
      </c>
      <c r="U81" s="3">
        <v>55</v>
      </c>
      <c r="V81" s="2">
        <v>22734</v>
      </c>
      <c r="W81" s="3">
        <v>1381</v>
      </c>
      <c r="X81" s="2">
        <v>748961</v>
      </c>
      <c r="Y81" s="3">
        <f t="shared" si="5"/>
        <v>1436</v>
      </c>
      <c r="Z81" s="2">
        <f t="shared" si="12"/>
        <v>771695</v>
      </c>
      <c r="AA81" s="5">
        <f t="shared" si="7"/>
        <v>126835</v>
      </c>
    </row>
    <row r="82" spans="1:28" x14ac:dyDescent="0.2">
      <c r="A82" t="s">
        <v>20</v>
      </c>
      <c r="T82" s="1">
        <f t="shared" si="0"/>
        <v>44977</v>
      </c>
      <c r="U82" s="3">
        <v>47</v>
      </c>
      <c r="V82" s="2">
        <v>20634</v>
      </c>
      <c r="W82" s="3">
        <v>1140</v>
      </c>
      <c r="X82" s="2">
        <v>624226</v>
      </c>
      <c r="Y82" s="3">
        <f t="shared" si="5"/>
        <v>1187</v>
      </c>
      <c r="Z82" s="2">
        <f t="shared" si="12"/>
        <v>644860</v>
      </c>
      <c r="AA82" s="5">
        <f t="shared" si="7"/>
        <v>125945</v>
      </c>
    </row>
    <row r="83" spans="1:28" x14ac:dyDescent="0.2">
      <c r="T83" s="1">
        <f>T84+7</f>
        <v>44970</v>
      </c>
      <c r="U83" s="3">
        <v>26</v>
      </c>
      <c r="V83" s="2">
        <v>11737</v>
      </c>
      <c r="W83" s="3">
        <v>917</v>
      </c>
      <c r="X83" s="2">
        <v>507178</v>
      </c>
      <c r="Y83" s="3">
        <f t="shared" si="5"/>
        <v>943</v>
      </c>
      <c r="Z83" s="2">
        <f t="shared" si="12"/>
        <v>518915</v>
      </c>
      <c r="AA83" s="5">
        <f t="shared" si="7"/>
        <v>103475</v>
      </c>
    </row>
    <row r="84" spans="1:28" x14ac:dyDescent="0.2">
      <c r="T84" s="1">
        <v>44963</v>
      </c>
      <c r="U84" s="3">
        <v>18</v>
      </c>
      <c r="V84" s="2">
        <v>9250</v>
      </c>
      <c r="W84" s="3">
        <v>733</v>
      </c>
      <c r="X84" s="2">
        <v>406190</v>
      </c>
      <c r="Y84" s="3">
        <f t="shared" si="5"/>
        <v>751</v>
      </c>
      <c r="Z84" s="2">
        <f t="shared" si="12"/>
        <v>415440</v>
      </c>
      <c r="AA84" s="5"/>
      <c r="AB84" s="4"/>
    </row>
    <row r="85" spans="1:28" x14ac:dyDescent="0.2">
      <c r="T85" t="s">
        <v>19</v>
      </c>
    </row>
    <row r="128" spans="2:4" x14ac:dyDescent="0.2">
      <c r="B128" t="s">
        <v>2</v>
      </c>
      <c r="C128" t="s">
        <v>26</v>
      </c>
      <c r="D128" t="s">
        <v>27</v>
      </c>
    </row>
    <row r="129" spans="3:4" x14ac:dyDescent="0.2">
      <c r="D129" s="3">
        <v>428</v>
      </c>
    </row>
    <row r="130" spans="3:4" x14ac:dyDescent="0.2">
      <c r="C130" s="3">
        <v>174</v>
      </c>
      <c r="D130" s="3">
        <v>421</v>
      </c>
    </row>
    <row r="131" spans="3:4" x14ac:dyDescent="0.2">
      <c r="C131" s="3">
        <v>174</v>
      </c>
      <c r="D131" s="3">
        <v>412</v>
      </c>
    </row>
    <row r="132" spans="3:4" x14ac:dyDescent="0.2">
      <c r="C132" s="3">
        <v>172</v>
      </c>
      <c r="D132" s="3">
        <v>408</v>
      </c>
    </row>
    <row r="133" spans="3:4" x14ac:dyDescent="0.2">
      <c r="C133" s="3">
        <v>170</v>
      </c>
      <c r="D133" s="3">
        <v>404</v>
      </c>
    </row>
    <row r="134" spans="3:4" x14ac:dyDescent="0.2">
      <c r="C134" s="3">
        <v>170</v>
      </c>
      <c r="D134" s="3">
        <v>396</v>
      </c>
    </row>
    <row r="135" spans="3:4" x14ac:dyDescent="0.2">
      <c r="C135" s="3">
        <v>169</v>
      </c>
      <c r="D135" s="3">
        <v>396</v>
      </c>
    </row>
    <row r="136" spans="3:4" x14ac:dyDescent="0.2">
      <c r="C136" s="3">
        <v>169</v>
      </c>
      <c r="D136" s="3">
        <v>393</v>
      </c>
    </row>
    <row r="137" spans="3:4" x14ac:dyDescent="0.2">
      <c r="C137" s="3">
        <v>169</v>
      </c>
      <c r="D137" s="3">
        <v>387</v>
      </c>
    </row>
    <row r="138" spans="3:4" x14ac:dyDescent="0.2">
      <c r="C138" s="3">
        <v>169</v>
      </c>
      <c r="D138" s="3">
        <v>385</v>
      </c>
    </row>
    <row r="139" spans="3:4" x14ac:dyDescent="0.2">
      <c r="C139" s="3">
        <v>165</v>
      </c>
      <c r="D139" s="3">
        <v>383</v>
      </c>
    </row>
    <row r="140" spans="3:4" x14ac:dyDescent="0.2">
      <c r="C140" s="3">
        <v>163</v>
      </c>
      <c r="D140" s="3">
        <v>383</v>
      </c>
    </row>
    <row r="141" spans="3:4" x14ac:dyDescent="0.2">
      <c r="C141" s="3">
        <v>163</v>
      </c>
      <c r="D141" s="3">
        <v>370</v>
      </c>
    </row>
    <row r="142" spans="3:4" x14ac:dyDescent="0.2">
      <c r="C142" s="3">
        <v>154</v>
      </c>
      <c r="D142" s="3">
        <v>370</v>
      </c>
    </row>
    <row r="143" spans="3:4" x14ac:dyDescent="0.2">
      <c r="C143" s="3">
        <v>152</v>
      </c>
      <c r="D143" s="3">
        <v>366</v>
      </c>
    </row>
    <row r="144" spans="3:4" x14ac:dyDescent="0.2">
      <c r="C144" s="3">
        <v>145</v>
      </c>
      <c r="D144" s="3">
        <v>358</v>
      </c>
    </row>
    <row r="145" spans="2:4" x14ac:dyDescent="0.2">
      <c r="C145" s="3">
        <v>141</v>
      </c>
      <c r="D145" s="3">
        <v>356</v>
      </c>
    </row>
    <row r="146" spans="2:4" x14ac:dyDescent="0.2">
      <c r="C146" s="3">
        <v>135</v>
      </c>
      <c r="D146" s="3">
        <v>353</v>
      </c>
    </row>
    <row r="147" spans="2:4" x14ac:dyDescent="0.2">
      <c r="C147" s="3">
        <v>128</v>
      </c>
      <c r="D147" s="3">
        <v>347</v>
      </c>
    </row>
    <row r="148" spans="2:4" x14ac:dyDescent="0.2">
      <c r="C148" s="3">
        <v>125</v>
      </c>
      <c r="D148" s="3">
        <v>339</v>
      </c>
    </row>
    <row r="149" spans="2:4" x14ac:dyDescent="0.2">
      <c r="C149" s="3">
        <v>119</v>
      </c>
      <c r="D149" s="3">
        <v>336</v>
      </c>
    </row>
    <row r="150" spans="2:4" x14ac:dyDescent="0.2">
      <c r="C150" s="3">
        <v>118</v>
      </c>
      <c r="D150" s="3">
        <v>321</v>
      </c>
    </row>
    <row r="151" spans="2:4" x14ac:dyDescent="0.2">
      <c r="C151" s="3">
        <v>118</v>
      </c>
      <c r="D151" s="3">
        <v>320</v>
      </c>
    </row>
    <row r="152" spans="2:4" x14ac:dyDescent="0.2">
      <c r="C152" s="3">
        <v>113</v>
      </c>
      <c r="D152" s="3">
        <v>307</v>
      </c>
    </row>
    <row r="153" spans="2:4" x14ac:dyDescent="0.2">
      <c r="C153" s="3">
        <v>107</v>
      </c>
      <c r="D153" s="3">
        <v>300</v>
      </c>
    </row>
    <row r="154" spans="2:4" x14ac:dyDescent="0.2">
      <c r="C154" s="3">
        <v>103</v>
      </c>
      <c r="D154" s="3">
        <v>293</v>
      </c>
    </row>
    <row r="155" spans="2:4" x14ac:dyDescent="0.2">
      <c r="C155" s="3">
        <v>95</v>
      </c>
      <c r="D155" s="3">
        <v>292</v>
      </c>
    </row>
    <row r="156" spans="2:4" x14ac:dyDescent="0.2">
      <c r="C156" s="3">
        <v>94</v>
      </c>
      <c r="D156" s="3">
        <v>286</v>
      </c>
    </row>
    <row r="157" spans="2:4" x14ac:dyDescent="0.2">
      <c r="C157" s="3">
        <v>91</v>
      </c>
      <c r="D157" s="3">
        <v>278</v>
      </c>
    </row>
    <row r="158" spans="2:4" x14ac:dyDescent="0.2">
      <c r="B158" s="9">
        <v>122</v>
      </c>
      <c r="C158" s="3">
        <v>85</v>
      </c>
      <c r="D158" s="3">
        <v>254</v>
      </c>
    </row>
    <row r="159" spans="2:4" x14ac:dyDescent="0.2">
      <c r="B159" s="9">
        <v>121</v>
      </c>
      <c r="C159" s="3">
        <v>70</v>
      </c>
      <c r="D159" s="3">
        <v>243</v>
      </c>
    </row>
    <row r="160" spans="2:4" x14ac:dyDescent="0.2">
      <c r="B160" s="3">
        <v>112</v>
      </c>
      <c r="C160" s="3">
        <v>47</v>
      </c>
      <c r="D160" s="3">
        <v>233</v>
      </c>
    </row>
    <row r="161" spans="2:4" x14ac:dyDescent="0.2">
      <c r="B161" s="3">
        <v>76</v>
      </c>
      <c r="C161" s="3">
        <v>45</v>
      </c>
      <c r="D161" s="3">
        <v>217</v>
      </c>
    </row>
    <row r="162" spans="2:4" x14ac:dyDescent="0.2">
      <c r="B162" s="3">
        <v>50</v>
      </c>
      <c r="C162" s="3">
        <v>36</v>
      </c>
      <c r="D162" s="3">
        <v>201</v>
      </c>
    </row>
    <row r="163" spans="2:4" x14ac:dyDescent="0.2">
      <c r="B163" s="3">
        <v>39</v>
      </c>
      <c r="C163" s="3">
        <v>32</v>
      </c>
      <c r="D163" s="3">
        <v>187</v>
      </c>
    </row>
    <row r="164" spans="2:4" x14ac:dyDescent="0.2">
      <c r="B164" s="3">
        <v>30</v>
      </c>
      <c r="C164" s="3">
        <v>27</v>
      </c>
      <c r="D164" s="3">
        <v>169</v>
      </c>
    </row>
    <row r="165" spans="2:4" x14ac:dyDescent="0.2">
      <c r="B165" s="3">
        <v>23</v>
      </c>
      <c r="C165" s="3">
        <v>16</v>
      </c>
      <c r="D165" s="3">
        <v>150</v>
      </c>
    </row>
    <row r="166" spans="2:4" x14ac:dyDescent="0.2">
      <c r="B166" s="3">
        <v>18</v>
      </c>
      <c r="C166" s="3">
        <v>13</v>
      </c>
      <c r="D166" s="3">
        <v>129</v>
      </c>
    </row>
    <row r="167" spans="2:4" x14ac:dyDescent="0.2">
      <c r="B167" s="3">
        <v>8</v>
      </c>
      <c r="C167" s="3">
        <v>8</v>
      </c>
      <c r="D167" s="3">
        <v>97</v>
      </c>
    </row>
    <row r="168" spans="2:4" x14ac:dyDescent="0.2">
      <c r="B168" s="3">
        <v>7</v>
      </c>
      <c r="C168" s="3">
        <v>0</v>
      </c>
      <c r="D168" s="3">
        <v>70</v>
      </c>
    </row>
    <row r="169" spans="2:4" x14ac:dyDescent="0.2">
      <c r="D169" s="3"/>
    </row>
    <row r="170" spans="2:4" x14ac:dyDescent="0.2">
      <c r="D170" s="3"/>
    </row>
    <row r="171" spans="2:4" x14ac:dyDescent="0.2">
      <c r="D171" s="3"/>
    </row>
    <row r="172" spans="2:4" x14ac:dyDescent="0.2">
      <c r="D172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66D6-39D1-774D-B2DB-03237508EBCD}">
  <dimension ref="A1:Z54"/>
  <sheetViews>
    <sheetView workbookViewId="0">
      <selection activeCell="H15" sqref="H15"/>
    </sheetView>
  </sheetViews>
  <sheetFormatPr baseColWidth="10" defaultRowHeight="16" x14ac:dyDescent="0.2"/>
  <sheetData>
    <row r="1" spans="10:26" x14ac:dyDescent="0.2">
      <c r="S1" s="1">
        <f t="shared" ref="S1:S32" si="0">S2+7</f>
        <v>45334</v>
      </c>
      <c r="Z1" s="4"/>
    </row>
    <row r="2" spans="10:26" x14ac:dyDescent="0.2">
      <c r="S2" s="1">
        <f t="shared" si="0"/>
        <v>45327</v>
      </c>
      <c r="Z2" s="4"/>
    </row>
    <row r="3" spans="10:26" x14ac:dyDescent="0.2">
      <c r="S3" s="1">
        <f t="shared" si="0"/>
        <v>45320</v>
      </c>
      <c r="Z3" s="4"/>
    </row>
    <row r="4" spans="10:26" x14ac:dyDescent="0.2">
      <c r="S4" s="1">
        <f t="shared" si="0"/>
        <v>45313</v>
      </c>
      <c r="Z4" s="4"/>
    </row>
    <row r="5" spans="10:26" x14ac:dyDescent="0.2">
      <c r="S5" s="1">
        <f t="shared" si="0"/>
        <v>45306</v>
      </c>
      <c r="Z5" s="4"/>
    </row>
    <row r="6" spans="10:26" x14ac:dyDescent="0.2">
      <c r="S6" s="1">
        <f t="shared" si="0"/>
        <v>45299</v>
      </c>
      <c r="Z6" s="4"/>
    </row>
    <row r="7" spans="10:26" x14ac:dyDescent="0.2">
      <c r="S7" s="1">
        <f t="shared" si="0"/>
        <v>45292</v>
      </c>
      <c r="Z7" s="4"/>
    </row>
    <row r="8" spans="10:26" x14ac:dyDescent="0.2">
      <c r="S8" s="1">
        <f t="shared" si="0"/>
        <v>45285</v>
      </c>
      <c r="Z8" s="4"/>
    </row>
    <row r="9" spans="10:26" x14ac:dyDescent="0.2">
      <c r="S9" s="1">
        <f t="shared" si="0"/>
        <v>45278</v>
      </c>
      <c r="Z9" s="4"/>
    </row>
    <row r="10" spans="10:26" x14ac:dyDescent="0.2">
      <c r="R10" s="6"/>
      <c r="S10" s="1">
        <f t="shared" si="0"/>
        <v>45271</v>
      </c>
      <c r="Z10" s="4"/>
    </row>
    <row r="11" spans="10:26" x14ac:dyDescent="0.2">
      <c r="J11" s="1">
        <f t="shared" ref="J11:J42" si="1">J12+7</f>
        <v>45628</v>
      </c>
      <c r="K11" s="3">
        <v>225</v>
      </c>
      <c r="L11" s="2">
        <v>64966</v>
      </c>
      <c r="M11" s="3">
        <v>1450</v>
      </c>
      <c r="N11" s="2">
        <v>515169</v>
      </c>
      <c r="O11" s="3">
        <f t="shared" ref="O11:O50" si="2">K11+M11</f>
        <v>1675</v>
      </c>
      <c r="P11" s="2">
        <f t="shared" ref="P11:P50" si="3">L11+N11</f>
        <v>580135</v>
      </c>
      <c r="Q11" s="6">
        <f>P11-P12</f>
        <v>248</v>
      </c>
      <c r="R11" s="6"/>
      <c r="S11" s="1">
        <f t="shared" si="0"/>
        <v>45264</v>
      </c>
      <c r="T11" s="3">
        <v>331</v>
      </c>
      <c r="U11" s="2">
        <v>84358</v>
      </c>
      <c r="V11" s="3">
        <v>1458</v>
      </c>
      <c r="W11" s="2">
        <v>497816</v>
      </c>
      <c r="X11" s="3">
        <f t="shared" ref="X11:X54" si="4">T11+V11</f>
        <v>1789</v>
      </c>
      <c r="Y11" s="2">
        <f t="shared" ref="Y11:Y54" si="5">U11+W11</f>
        <v>582174</v>
      </c>
      <c r="Z11" s="6">
        <f>Y11-Y12</f>
        <v>0</v>
      </c>
    </row>
    <row r="12" spans="10:26" x14ac:dyDescent="0.2">
      <c r="J12" s="1">
        <f t="shared" si="1"/>
        <v>45621</v>
      </c>
      <c r="K12" s="3">
        <v>223</v>
      </c>
      <c r="L12" s="2">
        <v>64718</v>
      </c>
      <c r="M12" s="3">
        <v>1450</v>
      </c>
      <c r="N12" s="2">
        <v>515169</v>
      </c>
      <c r="O12" s="3">
        <f t="shared" si="2"/>
        <v>1673</v>
      </c>
      <c r="P12" s="2">
        <f t="shared" si="3"/>
        <v>579887</v>
      </c>
      <c r="Q12" s="6">
        <f t="shared" ref="Q12:Q50" si="6">P12-P13</f>
        <v>0</v>
      </c>
      <c r="R12" s="6"/>
      <c r="S12" s="1">
        <f t="shared" si="0"/>
        <v>45257</v>
      </c>
      <c r="T12" s="3">
        <v>331</v>
      </c>
      <c r="U12" s="2">
        <v>84358</v>
      </c>
      <c r="V12" s="3">
        <v>1458</v>
      </c>
      <c r="W12" s="2">
        <v>497816</v>
      </c>
      <c r="X12" s="3">
        <f t="shared" si="4"/>
        <v>1789</v>
      </c>
      <c r="Y12" s="2">
        <f t="shared" si="5"/>
        <v>582174</v>
      </c>
      <c r="Z12" s="6">
        <f t="shared" ref="Z12:Z54" si="7">Y12-Y13</f>
        <v>167</v>
      </c>
    </row>
    <row r="13" spans="10:26" x14ac:dyDescent="0.2">
      <c r="J13" s="1">
        <f t="shared" si="1"/>
        <v>45614</v>
      </c>
      <c r="K13" s="3">
        <v>223</v>
      </c>
      <c r="L13" s="2">
        <v>64718</v>
      </c>
      <c r="M13" s="3">
        <v>1450</v>
      </c>
      <c r="N13" s="2">
        <v>515169</v>
      </c>
      <c r="O13" s="3">
        <f t="shared" si="2"/>
        <v>1673</v>
      </c>
      <c r="P13" s="2">
        <f t="shared" si="3"/>
        <v>579887</v>
      </c>
      <c r="Q13" s="6">
        <f t="shared" si="6"/>
        <v>0</v>
      </c>
      <c r="R13" s="6"/>
      <c r="S13" s="1">
        <f t="shared" si="0"/>
        <v>45250</v>
      </c>
      <c r="T13" s="3">
        <v>329</v>
      </c>
      <c r="U13" s="2">
        <v>84191</v>
      </c>
      <c r="V13" s="3">
        <v>1458</v>
      </c>
      <c r="W13" s="2">
        <v>497816</v>
      </c>
      <c r="X13" s="3">
        <f t="shared" si="4"/>
        <v>1787</v>
      </c>
      <c r="Y13" s="2">
        <f t="shared" si="5"/>
        <v>582007</v>
      </c>
      <c r="Z13" s="6">
        <f t="shared" si="7"/>
        <v>335</v>
      </c>
    </row>
    <row r="14" spans="10:26" x14ac:dyDescent="0.2">
      <c r="J14" s="1">
        <f t="shared" si="1"/>
        <v>45607</v>
      </c>
      <c r="K14" s="3">
        <v>223</v>
      </c>
      <c r="L14" s="2">
        <v>64718</v>
      </c>
      <c r="M14" s="3">
        <v>1450</v>
      </c>
      <c r="N14" s="2">
        <v>515169</v>
      </c>
      <c r="O14" s="3">
        <f t="shared" si="2"/>
        <v>1673</v>
      </c>
      <c r="P14" s="2">
        <f t="shared" si="3"/>
        <v>579887</v>
      </c>
      <c r="Q14" s="6">
        <f t="shared" si="6"/>
        <v>0</v>
      </c>
      <c r="R14" s="6"/>
      <c r="S14" s="1">
        <f t="shared" si="0"/>
        <v>45243</v>
      </c>
      <c r="T14" s="3">
        <v>325</v>
      </c>
      <c r="U14" s="2">
        <v>83856</v>
      </c>
      <c r="V14" s="3">
        <v>1458</v>
      </c>
      <c r="W14" s="2">
        <v>497816</v>
      </c>
      <c r="X14" s="3">
        <f t="shared" si="4"/>
        <v>1783</v>
      </c>
      <c r="Y14" s="2">
        <f t="shared" si="5"/>
        <v>581672</v>
      </c>
      <c r="Z14" s="6">
        <f t="shared" si="7"/>
        <v>0</v>
      </c>
    </row>
    <row r="15" spans="10:26" x14ac:dyDescent="0.2">
      <c r="J15" s="1">
        <f t="shared" si="1"/>
        <v>45600</v>
      </c>
      <c r="K15" s="3">
        <v>223</v>
      </c>
      <c r="L15" s="2">
        <v>64718</v>
      </c>
      <c r="M15" s="3">
        <v>1450</v>
      </c>
      <c r="N15" s="2">
        <v>515169</v>
      </c>
      <c r="O15" s="3">
        <f t="shared" si="2"/>
        <v>1673</v>
      </c>
      <c r="P15" s="2">
        <f t="shared" si="3"/>
        <v>579887</v>
      </c>
      <c r="Q15" s="6">
        <f t="shared" si="6"/>
        <v>616</v>
      </c>
      <c r="R15" s="6"/>
      <c r="S15" s="1">
        <f t="shared" si="0"/>
        <v>45236</v>
      </c>
      <c r="T15" s="3">
        <v>325</v>
      </c>
      <c r="U15" s="2">
        <v>83856</v>
      </c>
      <c r="V15" s="3">
        <v>1458</v>
      </c>
      <c r="W15" s="2">
        <v>497816</v>
      </c>
      <c r="X15" s="3">
        <f t="shared" si="4"/>
        <v>1783</v>
      </c>
      <c r="Y15" s="2">
        <f t="shared" si="5"/>
        <v>581672</v>
      </c>
      <c r="Z15" s="6">
        <f t="shared" si="7"/>
        <v>216</v>
      </c>
    </row>
    <row r="16" spans="10:26" x14ac:dyDescent="0.2">
      <c r="J16" s="1">
        <f t="shared" si="1"/>
        <v>45593</v>
      </c>
      <c r="K16" s="3">
        <v>221</v>
      </c>
      <c r="L16" s="2">
        <v>64102</v>
      </c>
      <c r="M16" s="3">
        <v>1450</v>
      </c>
      <c r="N16" s="2">
        <v>515169</v>
      </c>
      <c r="O16" s="3">
        <f t="shared" si="2"/>
        <v>1671</v>
      </c>
      <c r="P16" s="2">
        <f t="shared" si="3"/>
        <v>579271</v>
      </c>
      <c r="Q16" s="6">
        <f t="shared" si="6"/>
        <v>232</v>
      </c>
      <c r="R16" s="6"/>
      <c r="S16" s="1">
        <f t="shared" si="0"/>
        <v>45229</v>
      </c>
      <c r="T16" s="3">
        <v>323</v>
      </c>
      <c r="U16" s="2">
        <v>83640</v>
      </c>
      <c r="V16" s="3">
        <v>1458</v>
      </c>
      <c r="W16" s="2">
        <v>497816</v>
      </c>
      <c r="X16" s="3">
        <f t="shared" si="4"/>
        <v>1781</v>
      </c>
      <c r="Y16" s="2">
        <f t="shared" si="5"/>
        <v>581456</v>
      </c>
      <c r="Z16" s="6">
        <f t="shared" si="7"/>
        <v>167</v>
      </c>
    </row>
    <row r="17" spans="1:26" x14ac:dyDescent="0.2">
      <c r="J17" s="1">
        <f t="shared" si="1"/>
        <v>45586</v>
      </c>
      <c r="K17" s="3">
        <v>220</v>
      </c>
      <c r="L17" s="2">
        <v>63870</v>
      </c>
      <c r="M17" s="3">
        <v>1450</v>
      </c>
      <c r="N17" s="2">
        <v>515169</v>
      </c>
      <c r="O17" s="3">
        <f t="shared" si="2"/>
        <v>1670</v>
      </c>
      <c r="P17" s="2">
        <f t="shared" si="3"/>
        <v>579039</v>
      </c>
      <c r="Q17" s="6">
        <f t="shared" si="6"/>
        <v>1000</v>
      </c>
      <c r="R17" s="6"/>
      <c r="S17" s="1">
        <f t="shared" si="0"/>
        <v>45222</v>
      </c>
      <c r="T17" s="3">
        <v>321</v>
      </c>
      <c r="U17" s="2">
        <v>83473</v>
      </c>
      <c r="V17" s="3">
        <v>1458</v>
      </c>
      <c r="W17" s="2">
        <v>497816</v>
      </c>
      <c r="X17" s="3">
        <f t="shared" si="4"/>
        <v>1779</v>
      </c>
      <c r="Y17" s="2">
        <f t="shared" si="5"/>
        <v>581289</v>
      </c>
      <c r="Z17" s="6">
        <f t="shared" si="7"/>
        <v>735</v>
      </c>
    </row>
    <row r="18" spans="1:26" x14ac:dyDescent="0.2">
      <c r="J18" s="1">
        <f t="shared" si="1"/>
        <v>45579</v>
      </c>
      <c r="K18" s="3">
        <v>220</v>
      </c>
      <c r="L18" s="2">
        <v>63870</v>
      </c>
      <c r="M18" s="3">
        <v>1445</v>
      </c>
      <c r="N18" s="2">
        <v>514169</v>
      </c>
      <c r="O18" s="3">
        <f t="shared" si="2"/>
        <v>1665</v>
      </c>
      <c r="P18" s="2">
        <f t="shared" si="3"/>
        <v>578039</v>
      </c>
      <c r="Q18" s="6">
        <f t="shared" si="6"/>
        <v>480</v>
      </c>
      <c r="R18" s="6"/>
      <c r="S18" s="1">
        <f t="shared" si="0"/>
        <v>45215</v>
      </c>
      <c r="T18" s="3">
        <v>317</v>
      </c>
      <c r="U18" s="2">
        <v>82927</v>
      </c>
      <c r="V18" s="3">
        <v>1457</v>
      </c>
      <c r="W18" s="2">
        <v>497627</v>
      </c>
      <c r="X18" s="3">
        <f t="shared" si="4"/>
        <v>1774</v>
      </c>
      <c r="Y18" s="2">
        <f t="shared" si="5"/>
        <v>580554</v>
      </c>
      <c r="Z18" s="6">
        <f t="shared" si="7"/>
        <v>763</v>
      </c>
    </row>
    <row r="19" spans="1:26" x14ac:dyDescent="0.2">
      <c r="J19" s="1">
        <f t="shared" si="1"/>
        <v>45572</v>
      </c>
      <c r="K19" s="3">
        <v>218</v>
      </c>
      <c r="L19" s="2">
        <v>63390</v>
      </c>
      <c r="M19" s="3">
        <v>1445</v>
      </c>
      <c r="N19" s="2">
        <v>514169</v>
      </c>
      <c r="O19" s="3">
        <f t="shared" si="2"/>
        <v>1663</v>
      </c>
      <c r="P19" s="2">
        <f t="shared" si="3"/>
        <v>577559</v>
      </c>
      <c r="Q19" s="6">
        <f t="shared" si="6"/>
        <v>580</v>
      </c>
      <c r="R19" s="6"/>
      <c r="S19" s="1">
        <f t="shared" si="0"/>
        <v>45208</v>
      </c>
      <c r="T19" s="3">
        <v>313</v>
      </c>
      <c r="U19" s="2">
        <v>82164</v>
      </c>
      <c r="V19" s="3">
        <v>1457</v>
      </c>
      <c r="W19" s="2">
        <v>497627</v>
      </c>
      <c r="X19" s="3">
        <f t="shared" si="4"/>
        <v>1770</v>
      </c>
      <c r="Y19" s="2">
        <f t="shared" si="5"/>
        <v>579791</v>
      </c>
      <c r="Z19" s="6">
        <f t="shared" si="7"/>
        <v>0</v>
      </c>
    </row>
    <row r="20" spans="1:26" x14ac:dyDescent="0.2">
      <c r="J20" s="1">
        <f t="shared" si="1"/>
        <v>45565</v>
      </c>
      <c r="K20" s="3">
        <v>218</v>
      </c>
      <c r="L20" s="2">
        <v>63390</v>
      </c>
      <c r="M20" s="3">
        <v>1443</v>
      </c>
      <c r="N20" s="2">
        <v>513589</v>
      </c>
      <c r="O20" s="3">
        <f t="shared" si="2"/>
        <v>1661</v>
      </c>
      <c r="P20" s="2">
        <f t="shared" si="3"/>
        <v>576979</v>
      </c>
      <c r="Q20" s="6">
        <f t="shared" si="6"/>
        <v>200</v>
      </c>
      <c r="R20" s="6"/>
      <c r="S20" s="1">
        <f t="shared" si="0"/>
        <v>45201</v>
      </c>
      <c r="T20" s="3">
        <v>313</v>
      </c>
      <c r="U20" s="2">
        <v>82164</v>
      </c>
      <c r="V20" s="3">
        <v>1457</v>
      </c>
      <c r="W20" s="2">
        <v>497627</v>
      </c>
      <c r="X20" s="3">
        <f t="shared" si="4"/>
        <v>1770</v>
      </c>
      <c r="Y20" s="2">
        <f t="shared" si="5"/>
        <v>579791</v>
      </c>
      <c r="Z20" s="6">
        <f t="shared" si="7"/>
        <v>0</v>
      </c>
    </row>
    <row r="21" spans="1:26" x14ac:dyDescent="0.2">
      <c r="J21" s="1">
        <f t="shared" si="1"/>
        <v>45558</v>
      </c>
      <c r="K21" s="3">
        <v>217</v>
      </c>
      <c r="L21" s="2">
        <v>63190</v>
      </c>
      <c r="M21" s="3">
        <v>1443</v>
      </c>
      <c r="N21" s="2">
        <v>513589</v>
      </c>
      <c r="O21" s="3">
        <f t="shared" si="2"/>
        <v>1660</v>
      </c>
      <c r="P21" s="2">
        <f t="shared" si="3"/>
        <v>576779</v>
      </c>
      <c r="Q21" s="6">
        <f t="shared" si="6"/>
        <v>0</v>
      </c>
      <c r="R21" s="6"/>
      <c r="S21" s="1">
        <f t="shared" si="0"/>
        <v>45194</v>
      </c>
      <c r="T21" s="3">
        <v>313</v>
      </c>
      <c r="U21" s="2">
        <v>82164</v>
      </c>
      <c r="V21" s="3">
        <v>1457</v>
      </c>
      <c r="W21" s="2">
        <v>497627</v>
      </c>
      <c r="X21" s="3">
        <f t="shared" si="4"/>
        <v>1770</v>
      </c>
      <c r="Y21" s="2">
        <f t="shared" si="5"/>
        <v>579791</v>
      </c>
      <c r="Z21" s="6">
        <f t="shared" si="7"/>
        <v>0</v>
      </c>
    </row>
    <row r="22" spans="1:26" x14ac:dyDescent="0.2">
      <c r="J22" s="1">
        <f t="shared" si="1"/>
        <v>45551</v>
      </c>
      <c r="K22" s="3">
        <v>217</v>
      </c>
      <c r="L22" s="2">
        <v>63190</v>
      </c>
      <c r="M22" s="3">
        <v>1443</v>
      </c>
      <c r="N22" s="2">
        <v>513589</v>
      </c>
      <c r="O22" s="3">
        <f t="shared" si="2"/>
        <v>1660</v>
      </c>
      <c r="P22" s="2">
        <f t="shared" si="3"/>
        <v>576779</v>
      </c>
      <c r="Q22" s="6">
        <f t="shared" si="6"/>
        <v>1336</v>
      </c>
      <c r="R22" s="6"/>
      <c r="S22" s="1">
        <f t="shared" si="0"/>
        <v>45187</v>
      </c>
      <c r="T22" s="3">
        <v>313</v>
      </c>
      <c r="U22" s="2">
        <v>82164</v>
      </c>
      <c r="V22" s="3">
        <v>1457</v>
      </c>
      <c r="W22" s="2">
        <v>497627</v>
      </c>
      <c r="X22" s="3">
        <f t="shared" si="4"/>
        <v>1770</v>
      </c>
      <c r="Y22" s="2">
        <f t="shared" si="5"/>
        <v>579791</v>
      </c>
      <c r="Z22" s="6">
        <f t="shared" si="7"/>
        <v>2000</v>
      </c>
    </row>
    <row r="23" spans="1:26" x14ac:dyDescent="0.2">
      <c r="A23" s="14">
        <v>45908</v>
      </c>
      <c r="B23" s="9">
        <v>371</v>
      </c>
      <c r="C23" s="10">
        <v>116735</v>
      </c>
      <c r="D23" s="9">
        <v>1409</v>
      </c>
      <c r="E23" s="10">
        <v>544870</v>
      </c>
      <c r="F23" s="9">
        <f t="shared" ref="F23" si="8">B23+D23</f>
        <v>1780</v>
      </c>
      <c r="G23" s="10">
        <f t="shared" ref="G23" si="9">C23+E23</f>
        <v>661605</v>
      </c>
      <c r="H23" s="11">
        <f t="shared" ref="H23" si="10">G23-G24</f>
        <v>980</v>
      </c>
      <c r="J23" s="1">
        <f t="shared" si="1"/>
        <v>45544</v>
      </c>
      <c r="K23" s="3">
        <v>217</v>
      </c>
      <c r="L23" s="2">
        <v>63190</v>
      </c>
      <c r="M23" s="3">
        <v>1439</v>
      </c>
      <c r="N23" s="2">
        <v>512253</v>
      </c>
      <c r="O23" s="3">
        <f t="shared" si="2"/>
        <v>1656</v>
      </c>
      <c r="P23" s="2">
        <f t="shared" si="3"/>
        <v>575443</v>
      </c>
      <c r="Q23" s="6">
        <f t="shared" si="6"/>
        <v>279</v>
      </c>
      <c r="R23" s="6"/>
      <c r="S23" s="1">
        <f t="shared" si="0"/>
        <v>45180</v>
      </c>
      <c r="T23" s="3">
        <v>308</v>
      </c>
      <c r="U23" s="2">
        <v>81124</v>
      </c>
      <c r="V23" s="3">
        <v>1453</v>
      </c>
      <c r="W23" s="2">
        <v>496667</v>
      </c>
      <c r="X23" s="3">
        <f t="shared" si="4"/>
        <v>1761</v>
      </c>
      <c r="Y23" s="2">
        <f t="shared" si="5"/>
        <v>577791</v>
      </c>
      <c r="Z23" s="6">
        <f t="shared" si="7"/>
        <v>850</v>
      </c>
    </row>
    <row r="24" spans="1:26" x14ac:dyDescent="0.2">
      <c r="A24" s="14">
        <v>45901</v>
      </c>
      <c r="B24" s="9">
        <v>365</v>
      </c>
      <c r="C24" s="10">
        <v>115755</v>
      </c>
      <c r="D24" s="9">
        <v>1409</v>
      </c>
      <c r="E24" s="10">
        <v>544870</v>
      </c>
      <c r="F24" s="9">
        <f t="shared" ref="F24" si="11">B24+D24</f>
        <v>1774</v>
      </c>
      <c r="G24" s="10">
        <f t="shared" ref="G24" si="12">C24+E24</f>
        <v>660625</v>
      </c>
      <c r="H24" s="11">
        <f t="shared" ref="H24" si="13">G24-G25</f>
        <v>4362</v>
      </c>
      <c r="J24" s="1">
        <f t="shared" si="1"/>
        <v>45537</v>
      </c>
      <c r="K24" s="3">
        <v>215</v>
      </c>
      <c r="L24" s="2">
        <v>62911</v>
      </c>
      <c r="M24" s="3">
        <v>1439</v>
      </c>
      <c r="N24" s="2">
        <v>512253</v>
      </c>
      <c r="O24" s="3">
        <f t="shared" si="2"/>
        <v>1654</v>
      </c>
      <c r="P24" s="2">
        <f t="shared" si="3"/>
        <v>575164</v>
      </c>
      <c r="Q24" s="6">
        <f t="shared" si="6"/>
        <v>0</v>
      </c>
      <c r="R24" s="6"/>
      <c r="S24" s="1">
        <f t="shared" si="0"/>
        <v>45173</v>
      </c>
      <c r="T24" s="3">
        <v>303</v>
      </c>
      <c r="U24" s="2">
        <v>80274</v>
      </c>
      <c r="V24" s="3">
        <v>1453</v>
      </c>
      <c r="W24" s="2">
        <v>496667</v>
      </c>
      <c r="X24" s="3">
        <f t="shared" si="4"/>
        <v>1756</v>
      </c>
      <c r="Y24" s="2">
        <f t="shared" si="5"/>
        <v>576941</v>
      </c>
      <c r="Z24" s="6">
        <f t="shared" si="7"/>
        <v>0</v>
      </c>
    </row>
    <row r="25" spans="1:26" x14ac:dyDescent="0.2">
      <c r="A25" s="14">
        <v>45894</v>
      </c>
      <c r="B25" s="9">
        <v>348</v>
      </c>
      <c r="C25" s="10">
        <v>111393</v>
      </c>
      <c r="D25" s="9">
        <v>1409</v>
      </c>
      <c r="E25" s="10">
        <v>544870</v>
      </c>
      <c r="F25" s="9">
        <f t="shared" ref="F25" si="14">B25+D25</f>
        <v>1757</v>
      </c>
      <c r="G25" s="10">
        <f t="shared" ref="G25" si="15">C25+E25</f>
        <v>656263</v>
      </c>
      <c r="H25" s="11">
        <f t="shared" ref="H25" si="16">G25-G26</f>
        <v>2343</v>
      </c>
      <c r="J25" s="1">
        <f t="shared" si="1"/>
        <v>45530</v>
      </c>
      <c r="K25" s="3">
        <v>215</v>
      </c>
      <c r="L25" s="2">
        <v>62911</v>
      </c>
      <c r="M25" s="3">
        <v>1439</v>
      </c>
      <c r="N25" s="2">
        <v>512253</v>
      </c>
      <c r="O25" s="3">
        <f t="shared" si="2"/>
        <v>1654</v>
      </c>
      <c r="P25" s="2">
        <f t="shared" si="3"/>
        <v>575164</v>
      </c>
      <c r="Q25" s="6">
        <f t="shared" si="6"/>
        <v>1222</v>
      </c>
      <c r="R25" s="6"/>
      <c r="S25" s="1">
        <f t="shared" si="0"/>
        <v>45166</v>
      </c>
      <c r="T25" s="3">
        <v>303</v>
      </c>
      <c r="U25" s="2">
        <v>80274</v>
      </c>
      <c r="V25" s="3">
        <v>1453</v>
      </c>
      <c r="W25" s="2">
        <v>496667</v>
      </c>
      <c r="X25" s="3">
        <f t="shared" si="4"/>
        <v>1756</v>
      </c>
      <c r="Y25" s="2">
        <f t="shared" si="5"/>
        <v>576941</v>
      </c>
      <c r="Z25" s="6">
        <f t="shared" si="7"/>
        <v>1281</v>
      </c>
    </row>
    <row r="26" spans="1:26" x14ac:dyDescent="0.2">
      <c r="A26" s="14">
        <v>45887</v>
      </c>
      <c r="B26" s="9">
        <v>340</v>
      </c>
      <c r="C26" s="10">
        <v>109050</v>
      </c>
      <c r="D26" s="9">
        <v>1409</v>
      </c>
      <c r="E26" s="10">
        <v>544870</v>
      </c>
      <c r="F26" s="9">
        <f t="shared" ref="F26" si="17">B26+D26</f>
        <v>1749</v>
      </c>
      <c r="G26" s="10">
        <f t="shared" ref="G26" si="18">C26+E26</f>
        <v>653920</v>
      </c>
      <c r="H26" s="11">
        <f t="shared" ref="H26" si="19">G26-G27</f>
        <v>1047</v>
      </c>
      <c r="J26" s="1">
        <f t="shared" si="1"/>
        <v>45523</v>
      </c>
      <c r="K26" s="3">
        <v>212</v>
      </c>
      <c r="L26" s="2">
        <v>61689</v>
      </c>
      <c r="M26" s="3">
        <v>1439</v>
      </c>
      <c r="N26" s="2">
        <v>512253</v>
      </c>
      <c r="O26" s="3">
        <f t="shared" si="2"/>
        <v>1651</v>
      </c>
      <c r="P26" s="2">
        <f t="shared" si="3"/>
        <v>573942</v>
      </c>
      <c r="Q26" s="6">
        <f t="shared" si="6"/>
        <v>868</v>
      </c>
      <c r="R26" s="6"/>
      <c r="S26" s="1">
        <f t="shared" si="0"/>
        <v>45159</v>
      </c>
      <c r="T26" s="3">
        <v>301</v>
      </c>
      <c r="U26" s="2">
        <v>79693</v>
      </c>
      <c r="V26" s="3">
        <v>1451</v>
      </c>
      <c r="W26" s="2">
        <v>495967</v>
      </c>
      <c r="X26" s="3">
        <f t="shared" si="4"/>
        <v>1752</v>
      </c>
      <c r="Y26" s="2">
        <f t="shared" si="5"/>
        <v>575660</v>
      </c>
      <c r="Z26" s="6">
        <f t="shared" si="7"/>
        <v>310</v>
      </c>
    </row>
    <row r="27" spans="1:26" x14ac:dyDescent="0.2">
      <c r="A27" s="14">
        <v>45880</v>
      </c>
      <c r="B27" s="9">
        <v>337</v>
      </c>
      <c r="C27" s="10">
        <v>108343</v>
      </c>
      <c r="D27" s="9">
        <v>1408</v>
      </c>
      <c r="E27" s="10">
        <v>544530</v>
      </c>
      <c r="F27" s="9">
        <f t="shared" ref="F27" si="20">B27+D27</f>
        <v>1745</v>
      </c>
      <c r="G27" s="10">
        <f t="shared" ref="G27" si="21">C27+E27</f>
        <v>652873</v>
      </c>
      <c r="H27" s="11">
        <f t="shared" ref="H27" si="22">G27-G28</f>
        <v>1811</v>
      </c>
      <c r="J27" s="1">
        <f t="shared" si="1"/>
        <v>45516</v>
      </c>
      <c r="K27" s="3">
        <v>212</v>
      </c>
      <c r="L27" s="2">
        <v>61689</v>
      </c>
      <c r="M27" s="3">
        <v>1437</v>
      </c>
      <c r="N27" s="2">
        <v>511385</v>
      </c>
      <c r="O27" s="3">
        <f t="shared" si="2"/>
        <v>1649</v>
      </c>
      <c r="P27" s="2">
        <f t="shared" si="3"/>
        <v>573074</v>
      </c>
      <c r="Q27" s="6">
        <f t="shared" si="6"/>
        <v>1350</v>
      </c>
      <c r="R27" s="6"/>
      <c r="S27" s="1">
        <f t="shared" si="0"/>
        <v>45152</v>
      </c>
      <c r="T27" s="3">
        <v>299</v>
      </c>
      <c r="U27" s="2">
        <v>79383</v>
      </c>
      <c r="V27" s="3">
        <v>1451</v>
      </c>
      <c r="W27" s="2">
        <v>495967</v>
      </c>
      <c r="X27" s="3">
        <f t="shared" si="4"/>
        <v>1750</v>
      </c>
      <c r="Y27" s="2">
        <f t="shared" si="5"/>
        <v>575350</v>
      </c>
      <c r="Z27" s="6">
        <f t="shared" si="7"/>
        <v>1180</v>
      </c>
    </row>
    <row r="28" spans="1:26" x14ac:dyDescent="0.2">
      <c r="A28" s="14">
        <v>45873</v>
      </c>
      <c r="B28" s="9">
        <v>330</v>
      </c>
      <c r="C28" s="10">
        <v>106532</v>
      </c>
      <c r="D28" s="9">
        <v>1408</v>
      </c>
      <c r="E28" s="10">
        <v>544530</v>
      </c>
      <c r="F28" s="9">
        <f t="shared" ref="F28" si="23">B28+D28</f>
        <v>1738</v>
      </c>
      <c r="G28" s="10">
        <f t="shared" ref="G28" si="24">C28+E28</f>
        <v>651062</v>
      </c>
      <c r="H28" s="11">
        <f t="shared" ref="H28" si="25">G28-G29</f>
        <v>262</v>
      </c>
      <c r="J28" s="1">
        <f t="shared" si="1"/>
        <v>45509</v>
      </c>
      <c r="K28" s="3">
        <v>208</v>
      </c>
      <c r="L28" s="2">
        <v>60339</v>
      </c>
      <c r="M28" s="3">
        <v>1437</v>
      </c>
      <c r="N28" s="2">
        <v>511385</v>
      </c>
      <c r="O28" s="3">
        <f t="shared" si="2"/>
        <v>1645</v>
      </c>
      <c r="P28" s="2">
        <f t="shared" si="3"/>
        <v>571724</v>
      </c>
      <c r="Q28" s="6">
        <f t="shared" si="6"/>
        <v>480</v>
      </c>
      <c r="R28" s="6"/>
      <c r="S28" s="1">
        <f t="shared" si="0"/>
        <v>45145</v>
      </c>
      <c r="T28" s="3">
        <v>295</v>
      </c>
      <c r="U28" s="2">
        <v>78203</v>
      </c>
      <c r="V28" s="3">
        <v>1451</v>
      </c>
      <c r="W28" s="2">
        <v>495967</v>
      </c>
      <c r="X28" s="3">
        <f t="shared" si="4"/>
        <v>1746</v>
      </c>
      <c r="Y28" s="2">
        <f t="shared" si="5"/>
        <v>574170</v>
      </c>
      <c r="Z28" s="6">
        <f t="shared" si="7"/>
        <v>1259</v>
      </c>
    </row>
    <row r="29" spans="1:26" x14ac:dyDescent="0.2">
      <c r="A29" s="14">
        <v>45866</v>
      </c>
      <c r="B29" s="9">
        <v>328</v>
      </c>
      <c r="C29" s="10">
        <v>105620</v>
      </c>
      <c r="D29" s="9">
        <v>1410</v>
      </c>
      <c r="E29" s="10">
        <v>545180</v>
      </c>
      <c r="F29" s="9">
        <f t="shared" ref="F29" si="26">B29+D29</f>
        <v>1738</v>
      </c>
      <c r="G29" s="10">
        <f t="shared" ref="G29" si="27">C29+E29</f>
        <v>650800</v>
      </c>
      <c r="H29" s="11">
        <f t="shared" ref="H29" si="28">G29-G30</f>
        <v>3313</v>
      </c>
      <c r="J29" s="1">
        <f t="shared" si="1"/>
        <v>45502</v>
      </c>
      <c r="K29" s="3">
        <v>206</v>
      </c>
      <c r="L29" s="2">
        <v>59859</v>
      </c>
      <c r="M29" s="3">
        <v>1437</v>
      </c>
      <c r="N29" s="2">
        <v>511385</v>
      </c>
      <c r="O29" s="3">
        <f t="shared" si="2"/>
        <v>1643</v>
      </c>
      <c r="P29" s="2">
        <f t="shared" si="3"/>
        <v>571244</v>
      </c>
      <c r="Q29" s="6">
        <f t="shared" si="6"/>
        <v>0</v>
      </c>
      <c r="R29" s="6"/>
      <c r="S29" s="1">
        <f t="shared" si="0"/>
        <v>45138</v>
      </c>
      <c r="T29" s="3">
        <v>291</v>
      </c>
      <c r="U29" s="2">
        <v>77524</v>
      </c>
      <c r="V29" s="3">
        <v>1449</v>
      </c>
      <c r="W29" s="2">
        <v>495387</v>
      </c>
      <c r="X29" s="3">
        <f t="shared" si="4"/>
        <v>1740</v>
      </c>
      <c r="Y29" s="2">
        <f t="shared" si="5"/>
        <v>572911</v>
      </c>
      <c r="Z29" s="6">
        <f t="shared" si="7"/>
        <v>2065</v>
      </c>
    </row>
    <row r="30" spans="1:26" x14ac:dyDescent="0.2">
      <c r="A30" s="14">
        <v>45859</v>
      </c>
      <c r="B30" s="9">
        <v>320</v>
      </c>
      <c r="C30" s="10">
        <v>102875</v>
      </c>
      <c r="D30" s="9">
        <v>1410</v>
      </c>
      <c r="E30" s="10">
        <v>544612</v>
      </c>
      <c r="F30" s="9">
        <f t="shared" ref="F30" si="29">B30+D30</f>
        <v>1730</v>
      </c>
      <c r="G30" s="10">
        <f t="shared" ref="G30" si="30">C30+E30</f>
        <v>647487</v>
      </c>
      <c r="H30" s="11">
        <f t="shared" ref="H30" si="31">G30-G31</f>
        <v>3024</v>
      </c>
      <c r="J30" s="1">
        <f t="shared" si="1"/>
        <v>45495</v>
      </c>
      <c r="K30" s="3">
        <v>204</v>
      </c>
      <c r="L30" s="2">
        <v>59859</v>
      </c>
      <c r="M30" s="3">
        <v>1437</v>
      </c>
      <c r="N30" s="2">
        <v>511385</v>
      </c>
      <c r="O30" s="3">
        <f t="shared" si="2"/>
        <v>1641</v>
      </c>
      <c r="P30" s="2">
        <f t="shared" si="3"/>
        <v>571244</v>
      </c>
      <c r="Q30" s="6">
        <f t="shared" si="6"/>
        <v>839</v>
      </c>
      <c r="R30" s="6"/>
      <c r="S30" s="1">
        <f t="shared" si="0"/>
        <v>45131</v>
      </c>
      <c r="T30" s="3">
        <v>284</v>
      </c>
      <c r="U30" s="2">
        <v>75939</v>
      </c>
      <c r="V30" s="3">
        <v>1447</v>
      </c>
      <c r="W30" s="2">
        <v>494907</v>
      </c>
      <c r="X30" s="3">
        <f t="shared" si="4"/>
        <v>1731</v>
      </c>
      <c r="Y30" s="2">
        <f t="shared" si="5"/>
        <v>570846</v>
      </c>
      <c r="Z30" s="6">
        <f t="shared" si="7"/>
        <v>1539</v>
      </c>
    </row>
    <row r="31" spans="1:26" x14ac:dyDescent="0.2">
      <c r="A31" s="14">
        <v>45852</v>
      </c>
      <c r="B31" s="9">
        <v>313</v>
      </c>
      <c r="C31" s="10">
        <v>101057</v>
      </c>
      <c r="D31" s="9">
        <v>1404</v>
      </c>
      <c r="E31" s="10">
        <v>543406</v>
      </c>
      <c r="F31" s="9">
        <f t="shared" ref="F31" si="32">B31+D31</f>
        <v>1717</v>
      </c>
      <c r="G31" s="10">
        <f t="shared" ref="G31" si="33">C31+E31</f>
        <v>644463</v>
      </c>
      <c r="H31" s="11">
        <f t="shared" ref="H31" si="34">G31-G32</f>
        <v>-6111</v>
      </c>
      <c r="J31" s="1">
        <f t="shared" si="1"/>
        <v>45488</v>
      </c>
      <c r="K31" s="3">
        <v>202</v>
      </c>
      <c r="L31" s="2">
        <v>59020</v>
      </c>
      <c r="M31" s="3">
        <v>1437</v>
      </c>
      <c r="N31" s="2">
        <v>511385</v>
      </c>
      <c r="O31" s="3">
        <f t="shared" si="2"/>
        <v>1639</v>
      </c>
      <c r="P31" s="2">
        <f t="shared" si="3"/>
        <v>570405</v>
      </c>
      <c r="Q31" s="6">
        <f t="shared" si="6"/>
        <v>1012</v>
      </c>
      <c r="R31" s="6"/>
      <c r="S31" s="1">
        <f t="shared" si="0"/>
        <v>45124</v>
      </c>
      <c r="T31" s="3">
        <v>276</v>
      </c>
      <c r="U31" s="2">
        <v>74400</v>
      </c>
      <c r="V31" s="3">
        <v>1447</v>
      </c>
      <c r="W31" s="2">
        <v>494907</v>
      </c>
      <c r="X31" s="3">
        <f t="shared" si="4"/>
        <v>1723</v>
      </c>
      <c r="Y31" s="2">
        <f t="shared" si="5"/>
        <v>569307</v>
      </c>
      <c r="Z31" s="6">
        <f t="shared" si="7"/>
        <v>1210</v>
      </c>
    </row>
    <row r="32" spans="1:26" x14ac:dyDescent="0.2">
      <c r="A32" s="14">
        <v>45845</v>
      </c>
      <c r="B32" s="9">
        <v>309</v>
      </c>
      <c r="C32" s="10">
        <v>100229</v>
      </c>
      <c r="D32" s="9">
        <v>1402</v>
      </c>
      <c r="E32" s="10">
        <v>550345</v>
      </c>
      <c r="F32" s="9">
        <f t="shared" ref="F32:G32" si="35">B32+D32</f>
        <v>1711</v>
      </c>
      <c r="G32" s="10">
        <f t="shared" si="35"/>
        <v>650574</v>
      </c>
      <c r="H32" s="11">
        <f t="shared" ref="H32" si="36">G32-G33</f>
        <v>1146</v>
      </c>
      <c r="J32" s="1">
        <f t="shared" si="1"/>
        <v>45481</v>
      </c>
      <c r="K32" s="3">
        <v>200</v>
      </c>
      <c r="L32" s="2">
        <v>58440</v>
      </c>
      <c r="M32" s="3">
        <v>1435</v>
      </c>
      <c r="N32" s="2">
        <v>510953</v>
      </c>
      <c r="O32" s="3">
        <f t="shared" si="2"/>
        <v>1635</v>
      </c>
      <c r="P32" s="2">
        <f t="shared" si="3"/>
        <v>569393</v>
      </c>
      <c r="Q32" s="6">
        <f t="shared" si="6"/>
        <v>1085</v>
      </c>
      <c r="R32" s="6"/>
      <c r="S32" s="1">
        <f t="shared" si="0"/>
        <v>45117</v>
      </c>
      <c r="T32" s="3">
        <v>272</v>
      </c>
      <c r="U32" s="2">
        <v>73190</v>
      </c>
      <c r="V32" s="3">
        <v>1447</v>
      </c>
      <c r="W32" s="2">
        <v>494907</v>
      </c>
      <c r="X32" s="3">
        <f t="shared" si="4"/>
        <v>1719</v>
      </c>
      <c r="Y32" s="2">
        <f t="shared" si="5"/>
        <v>568097</v>
      </c>
      <c r="Z32" s="6">
        <f t="shared" si="7"/>
        <v>2285</v>
      </c>
    </row>
    <row r="33" spans="1:26" x14ac:dyDescent="0.2">
      <c r="A33" s="14">
        <v>45838</v>
      </c>
      <c r="B33" s="9">
        <v>307</v>
      </c>
      <c r="C33" s="10">
        <v>99549</v>
      </c>
      <c r="D33" s="9">
        <v>1400</v>
      </c>
      <c r="E33" s="10">
        <v>549879</v>
      </c>
      <c r="F33" s="9">
        <f t="shared" ref="F33" si="37">B33+D33</f>
        <v>1707</v>
      </c>
      <c r="G33" s="10">
        <f t="shared" ref="G33" si="38">C33+E33</f>
        <v>649428</v>
      </c>
      <c r="H33" s="11">
        <f t="shared" ref="H33:H40" si="39">G33-G34</f>
        <v>3940</v>
      </c>
      <c r="J33" s="1">
        <f t="shared" si="1"/>
        <v>45474</v>
      </c>
      <c r="K33" s="3">
        <v>193</v>
      </c>
      <c r="L33" s="2">
        <v>57355</v>
      </c>
      <c r="M33" s="3">
        <v>1435</v>
      </c>
      <c r="N33" s="2">
        <v>510953</v>
      </c>
      <c r="O33" s="3">
        <f t="shared" si="2"/>
        <v>1628</v>
      </c>
      <c r="P33" s="2">
        <f t="shared" si="3"/>
        <v>568308</v>
      </c>
      <c r="Q33" s="6">
        <f t="shared" si="6"/>
        <v>0</v>
      </c>
      <c r="R33" s="6"/>
      <c r="S33" s="1">
        <f t="shared" ref="S33:S53" si="40">S34+7</f>
        <v>45110</v>
      </c>
      <c r="T33" s="3">
        <v>268</v>
      </c>
      <c r="U33" s="2">
        <v>71780</v>
      </c>
      <c r="V33" s="3">
        <v>1442</v>
      </c>
      <c r="W33" s="2">
        <v>494032</v>
      </c>
      <c r="X33" s="3">
        <f t="shared" si="4"/>
        <v>1710</v>
      </c>
      <c r="Y33" s="2">
        <f t="shared" si="5"/>
        <v>565812</v>
      </c>
      <c r="Z33" s="6">
        <f t="shared" si="7"/>
        <v>0</v>
      </c>
    </row>
    <row r="34" spans="1:26" x14ac:dyDescent="0.2">
      <c r="A34" s="14">
        <v>45831</v>
      </c>
      <c r="B34" s="9">
        <v>293</v>
      </c>
      <c r="C34" s="10">
        <v>96149</v>
      </c>
      <c r="D34" s="9">
        <v>1398</v>
      </c>
      <c r="E34" s="10">
        <v>549339</v>
      </c>
      <c r="F34" s="9">
        <f t="shared" ref="F34" si="41">B34+D34</f>
        <v>1691</v>
      </c>
      <c r="G34" s="10">
        <f t="shared" ref="G34" si="42">C34+E34</f>
        <v>645488</v>
      </c>
      <c r="H34" s="11">
        <f t="shared" si="39"/>
        <v>11616</v>
      </c>
      <c r="J34" s="1">
        <f t="shared" si="1"/>
        <v>45467</v>
      </c>
      <c r="K34" s="3">
        <v>193</v>
      </c>
      <c r="L34" s="2">
        <v>57355</v>
      </c>
      <c r="M34" s="3">
        <v>1435</v>
      </c>
      <c r="N34" s="2">
        <v>510953</v>
      </c>
      <c r="O34" s="3">
        <f t="shared" si="2"/>
        <v>1628</v>
      </c>
      <c r="P34" s="2">
        <f t="shared" si="3"/>
        <v>568308</v>
      </c>
      <c r="Q34" s="6">
        <f t="shared" si="6"/>
        <v>385</v>
      </c>
      <c r="R34" s="6"/>
      <c r="S34" s="1">
        <f t="shared" si="40"/>
        <v>45103</v>
      </c>
      <c r="T34" s="3">
        <v>268</v>
      </c>
      <c r="U34" s="2">
        <v>71780</v>
      </c>
      <c r="V34" s="3">
        <v>1442</v>
      </c>
      <c r="W34" s="2">
        <v>494032</v>
      </c>
      <c r="X34" s="3">
        <f t="shared" si="4"/>
        <v>1710</v>
      </c>
      <c r="Y34" s="2">
        <f t="shared" si="5"/>
        <v>565812</v>
      </c>
      <c r="Z34" s="6">
        <f t="shared" si="7"/>
        <v>360</v>
      </c>
    </row>
    <row r="35" spans="1:26" x14ac:dyDescent="0.2">
      <c r="A35" s="14">
        <v>45824</v>
      </c>
      <c r="B35" s="9">
        <v>255</v>
      </c>
      <c r="C35" s="10">
        <v>85954</v>
      </c>
      <c r="D35" s="9">
        <v>1398</v>
      </c>
      <c r="E35" s="10">
        <v>547918</v>
      </c>
      <c r="F35" s="9">
        <f t="shared" ref="F35:G35" si="43">B35+D35</f>
        <v>1653</v>
      </c>
      <c r="G35" s="10">
        <f t="shared" si="43"/>
        <v>633872</v>
      </c>
      <c r="H35" s="11">
        <f t="shared" si="39"/>
        <v>8198</v>
      </c>
      <c r="J35" s="1">
        <f t="shared" si="1"/>
        <v>45460</v>
      </c>
      <c r="K35" s="3">
        <v>193</v>
      </c>
      <c r="L35" s="2">
        <v>57355</v>
      </c>
      <c r="M35" s="3">
        <v>1434</v>
      </c>
      <c r="N35" s="2">
        <v>510568</v>
      </c>
      <c r="O35" s="3">
        <f t="shared" si="2"/>
        <v>1627</v>
      </c>
      <c r="P35" s="2">
        <f t="shared" si="3"/>
        <v>567923</v>
      </c>
      <c r="Q35" s="6">
        <f t="shared" si="6"/>
        <v>6547</v>
      </c>
      <c r="R35" s="6"/>
      <c r="S35" s="1">
        <f t="shared" si="40"/>
        <v>45096</v>
      </c>
      <c r="T35" s="3">
        <v>266</v>
      </c>
      <c r="U35" s="2">
        <v>71420</v>
      </c>
      <c r="V35" s="3">
        <v>1442</v>
      </c>
      <c r="W35" s="2">
        <v>494032</v>
      </c>
      <c r="X35" s="3">
        <f t="shared" si="4"/>
        <v>1708</v>
      </c>
      <c r="Y35" s="2">
        <f t="shared" si="5"/>
        <v>565452</v>
      </c>
      <c r="Z35" s="6">
        <f t="shared" si="7"/>
        <v>5725</v>
      </c>
    </row>
    <row r="36" spans="1:26" x14ac:dyDescent="0.2">
      <c r="A36" s="14">
        <v>45817</v>
      </c>
      <c r="B36" s="9">
        <v>242</v>
      </c>
      <c r="C36" s="10">
        <v>81344</v>
      </c>
      <c r="D36" s="9">
        <v>1420</v>
      </c>
      <c r="E36" s="10">
        <v>544330</v>
      </c>
      <c r="F36" s="9">
        <f t="shared" ref="F36" si="44">B36+D36</f>
        <v>1662</v>
      </c>
      <c r="G36" s="10">
        <f t="shared" ref="G36" si="45">C36+E36</f>
        <v>625674</v>
      </c>
      <c r="H36" s="11">
        <f t="shared" si="39"/>
        <v>8911</v>
      </c>
      <c r="J36" s="1">
        <f t="shared" si="1"/>
        <v>45453</v>
      </c>
      <c r="K36" s="3">
        <v>187</v>
      </c>
      <c r="L36" s="2">
        <v>55826</v>
      </c>
      <c r="M36" s="3">
        <v>1418</v>
      </c>
      <c r="N36" s="2">
        <v>505550</v>
      </c>
      <c r="O36" s="3">
        <f t="shared" si="2"/>
        <v>1605</v>
      </c>
      <c r="P36" s="2">
        <f t="shared" si="3"/>
        <v>561376</v>
      </c>
      <c r="Q36" s="6">
        <f t="shared" si="6"/>
        <v>7447</v>
      </c>
      <c r="R36" s="6"/>
      <c r="S36" s="1">
        <f t="shared" si="40"/>
        <v>45089</v>
      </c>
      <c r="T36" s="3">
        <v>264</v>
      </c>
      <c r="U36" s="2">
        <v>70745</v>
      </c>
      <c r="V36" s="3">
        <v>1427</v>
      </c>
      <c r="W36" s="2">
        <v>488982</v>
      </c>
      <c r="X36" s="3">
        <f t="shared" si="4"/>
        <v>1691</v>
      </c>
      <c r="Y36" s="2">
        <f t="shared" si="5"/>
        <v>559727</v>
      </c>
      <c r="Z36" s="6">
        <f t="shared" si="7"/>
        <v>4928</v>
      </c>
    </row>
    <row r="37" spans="1:26" x14ac:dyDescent="0.2">
      <c r="A37" s="14">
        <v>45810</v>
      </c>
      <c r="B37" s="9">
        <v>228</v>
      </c>
      <c r="C37" s="10">
        <v>76919</v>
      </c>
      <c r="D37" s="9">
        <v>1385</v>
      </c>
      <c r="E37" s="10">
        <v>539844</v>
      </c>
      <c r="F37" s="9">
        <f t="shared" ref="F37" si="46">B37+D37</f>
        <v>1613</v>
      </c>
      <c r="G37" s="10">
        <f t="shared" ref="G37" si="47">C37+E37</f>
        <v>616763</v>
      </c>
      <c r="H37" s="11">
        <f t="shared" si="39"/>
        <v>12192</v>
      </c>
      <c r="J37" s="1">
        <f t="shared" si="1"/>
        <v>45446</v>
      </c>
      <c r="K37" s="3">
        <v>172</v>
      </c>
      <c r="L37" s="2">
        <v>51234</v>
      </c>
      <c r="M37" s="3">
        <v>1411</v>
      </c>
      <c r="N37" s="2">
        <v>502695</v>
      </c>
      <c r="O37" s="3">
        <f t="shared" si="2"/>
        <v>1583</v>
      </c>
      <c r="P37" s="2">
        <f t="shared" si="3"/>
        <v>553929</v>
      </c>
      <c r="Q37" s="6">
        <f t="shared" si="6"/>
        <v>8109</v>
      </c>
      <c r="R37" s="6"/>
      <c r="S37" s="1">
        <f t="shared" si="40"/>
        <v>45082</v>
      </c>
      <c r="T37" s="3">
        <v>252</v>
      </c>
      <c r="U37" s="2">
        <v>67156</v>
      </c>
      <c r="V37" s="3">
        <v>1421</v>
      </c>
      <c r="W37" s="2">
        <v>487643</v>
      </c>
      <c r="X37" s="3">
        <f t="shared" si="4"/>
        <v>1673</v>
      </c>
      <c r="Y37" s="2">
        <f t="shared" si="5"/>
        <v>554799</v>
      </c>
      <c r="Z37" s="6">
        <f t="shared" si="7"/>
        <v>940</v>
      </c>
    </row>
    <row r="38" spans="1:26" x14ac:dyDescent="0.2">
      <c r="A38" s="14">
        <v>45803</v>
      </c>
      <c r="B38" s="9">
        <v>209</v>
      </c>
      <c r="C38" s="10">
        <v>70102</v>
      </c>
      <c r="D38" s="9">
        <v>1379</v>
      </c>
      <c r="E38" s="10">
        <v>534469</v>
      </c>
      <c r="F38" s="9">
        <f t="shared" ref="F38:G38" si="48">B38+D38</f>
        <v>1588</v>
      </c>
      <c r="G38" s="10">
        <f t="shared" si="48"/>
        <v>604571</v>
      </c>
      <c r="H38" s="11">
        <f t="shared" si="39"/>
        <v>13383</v>
      </c>
      <c r="J38" s="1">
        <f t="shared" si="1"/>
        <v>45439</v>
      </c>
      <c r="K38" s="3">
        <v>160</v>
      </c>
      <c r="L38" s="2">
        <v>48485</v>
      </c>
      <c r="M38" s="3">
        <v>1395</v>
      </c>
      <c r="N38" s="2">
        <v>497335</v>
      </c>
      <c r="O38" s="3">
        <f t="shared" si="2"/>
        <v>1555</v>
      </c>
      <c r="P38" s="2">
        <f t="shared" si="3"/>
        <v>545820</v>
      </c>
      <c r="Q38" s="6">
        <f t="shared" si="6"/>
        <v>52486</v>
      </c>
      <c r="R38" s="6"/>
      <c r="S38" s="1">
        <f t="shared" si="40"/>
        <v>45075</v>
      </c>
      <c r="T38" s="3">
        <v>250</v>
      </c>
      <c r="U38" s="2">
        <v>66526</v>
      </c>
      <c r="V38" s="3">
        <v>1419</v>
      </c>
      <c r="W38" s="2">
        <v>487333</v>
      </c>
      <c r="X38" s="3">
        <f t="shared" si="4"/>
        <v>1669</v>
      </c>
      <c r="Y38" s="2">
        <f t="shared" si="5"/>
        <v>553859</v>
      </c>
      <c r="Z38" s="6">
        <f t="shared" si="7"/>
        <v>2306</v>
      </c>
    </row>
    <row r="39" spans="1:26" x14ac:dyDescent="0.2">
      <c r="A39" s="1">
        <v>45796</v>
      </c>
      <c r="B39" s="9">
        <v>188</v>
      </c>
      <c r="C39" s="10">
        <v>61902</v>
      </c>
      <c r="D39" s="9">
        <v>1373</v>
      </c>
      <c r="E39" s="10">
        <v>529286</v>
      </c>
      <c r="F39" s="9">
        <f t="shared" ref="F39" si="49">B39+D39</f>
        <v>1561</v>
      </c>
      <c r="G39" s="10">
        <f t="shared" ref="G39" si="50">C39+E39</f>
        <v>591188</v>
      </c>
      <c r="H39" s="11">
        <f t="shared" si="39"/>
        <v>11082</v>
      </c>
      <c r="J39" s="1">
        <f t="shared" si="1"/>
        <v>45432</v>
      </c>
      <c r="K39" s="3">
        <v>127</v>
      </c>
      <c r="L39" s="2">
        <v>40518</v>
      </c>
      <c r="M39" s="3">
        <v>1267</v>
      </c>
      <c r="N39" s="2">
        <v>452816</v>
      </c>
      <c r="O39" s="3">
        <f t="shared" si="2"/>
        <v>1394</v>
      </c>
      <c r="P39" s="2">
        <f t="shared" si="3"/>
        <v>493334</v>
      </c>
      <c r="Q39" s="6">
        <f t="shared" si="6"/>
        <v>84293</v>
      </c>
      <c r="R39" s="6"/>
      <c r="S39" s="1">
        <f t="shared" si="40"/>
        <v>45068</v>
      </c>
      <c r="T39" s="3">
        <v>243</v>
      </c>
      <c r="U39" s="2">
        <v>65360</v>
      </c>
      <c r="V39" s="3">
        <v>1415</v>
      </c>
      <c r="W39" s="2">
        <v>486193</v>
      </c>
      <c r="X39" s="3">
        <f t="shared" si="4"/>
        <v>1658</v>
      </c>
      <c r="Y39" s="2">
        <f t="shared" si="5"/>
        <v>551553</v>
      </c>
      <c r="Z39" s="6">
        <f t="shared" si="7"/>
        <v>3822</v>
      </c>
    </row>
    <row r="40" spans="1:26" x14ac:dyDescent="0.2">
      <c r="A40" s="1">
        <v>45789</v>
      </c>
      <c r="B40" s="9">
        <v>165</v>
      </c>
      <c r="C40" s="10">
        <v>54301</v>
      </c>
      <c r="D40" s="9">
        <v>1365</v>
      </c>
      <c r="E40" s="10">
        <v>525805</v>
      </c>
      <c r="F40" s="9">
        <f t="shared" ref="F40:F50" si="51">B40+D40</f>
        <v>1530</v>
      </c>
      <c r="G40" s="10">
        <f t="shared" ref="G40:G50" si="52">C40+E40</f>
        <v>580106</v>
      </c>
      <c r="H40" s="11">
        <f t="shared" si="39"/>
        <v>6180</v>
      </c>
      <c r="I40" s="11"/>
      <c r="J40" s="1">
        <f t="shared" si="1"/>
        <v>45425</v>
      </c>
      <c r="K40" s="3">
        <v>113</v>
      </c>
      <c r="L40" s="2">
        <v>36672</v>
      </c>
      <c r="M40" s="3">
        <v>1031</v>
      </c>
      <c r="N40" s="2">
        <v>372369</v>
      </c>
      <c r="O40" s="3">
        <f t="shared" si="2"/>
        <v>1144</v>
      </c>
      <c r="P40" s="2">
        <f t="shared" si="3"/>
        <v>409041</v>
      </c>
      <c r="Q40" s="6">
        <f t="shared" si="6"/>
        <v>82849</v>
      </c>
      <c r="R40" s="6"/>
      <c r="S40" s="1">
        <f t="shared" si="40"/>
        <v>45061</v>
      </c>
      <c r="T40" s="3">
        <v>231</v>
      </c>
      <c r="U40" s="2">
        <v>62238</v>
      </c>
      <c r="V40" s="3">
        <v>1413</v>
      </c>
      <c r="W40" s="2">
        <v>485493</v>
      </c>
      <c r="X40" s="3">
        <f t="shared" si="4"/>
        <v>1644</v>
      </c>
      <c r="Y40" s="2">
        <f t="shared" si="5"/>
        <v>547731</v>
      </c>
      <c r="Z40" s="6">
        <f t="shared" si="7"/>
        <v>5890</v>
      </c>
    </row>
    <row r="41" spans="1:26" x14ac:dyDescent="0.2">
      <c r="A41" s="1">
        <v>45782</v>
      </c>
      <c r="B41" s="9">
        <v>157</v>
      </c>
      <c r="C41" s="10">
        <v>51765</v>
      </c>
      <c r="D41" s="9">
        <v>1358</v>
      </c>
      <c r="E41" s="10">
        <v>522161</v>
      </c>
      <c r="F41" s="9">
        <f t="shared" si="51"/>
        <v>1515</v>
      </c>
      <c r="G41" s="10">
        <f t="shared" si="52"/>
        <v>573926</v>
      </c>
      <c r="H41" s="11">
        <f t="shared" ref="H41:H50" si="53">G41-G42</f>
        <v>32141</v>
      </c>
      <c r="I41" s="11"/>
      <c r="J41" s="1">
        <f t="shared" si="1"/>
        <v>45418</v>
      </c>
      <c r="K41" s="3">
        <v>98</v>
      </c>
      <c r="L41" s="2">
        <v>31472</v>
      </c>
      <c r="M41" s="3">
        <v>806</v>
      </c>
      <c r="N41" s="2">
        <v>294720</v>
      </c>
      <c r="O41" s="3">
        <f t="shared" si="2"/>
        <v>904</v>
      </c>
      <c r="P41" s="2">
        <f t="shared" si="3"/>
        <v>326192</v>
      </c>
      <c r="Q41" s="6">
        <f t="shared" si="6"/>
        <v>121581</v>
      </c>
      <c r="R41" s="6"/>
      <c r="S41" s="1">
        <f t="shared" si="40"/>
        <v>45054</v>
      </c>
      <c r="T41" s="3">
        <v>213</v>
      </c>
      <c r="U41" s="2">
        <v>56828</v>
      </c>
      <c r="V41" s="3">
        <v>1411</v>
      </c>
      <c r="W41" s="2">
        <v>485013</v>
      </c>
      <c r="X41" s="3">
        <f t="shared" si="4"/>
        <v>1624</v>
      </c>
      <c r="Y41" s="2">
        <f t="shared" si="5"/>
        <v>541841</v>
      </c>
      <c r="Z41" s="6">
        <f t="shared" si="7"/>
        <v>5250</v>
      </c>
    </row>
    <row r="42" spans="1:26" x14ac:dyDescent="0.2">
      <c r="A42" s="1">
        <f>A43+7</f>
        <v>45775</v>
      </c>
      <c r="B42" s="3">
        <v>118</v>
      </c>
      <c r="C42" s="2">
        <v>38918</v>
      </c>
      <c r="D42" s="3">
        <v>1300</v>
      </c>
      <c r="E42" s="2">
        <v>502867</v>
      </c>
      <c r="F42" s="3">
        <f t="shared" si="51"/>
        <v>1418</v>
      </c>
      <c r="G42" s="2">
        <f t="shared" si="52"/>
        <v>541785</v>
      </c>
      <c r="H42" s="11">
        <f t="shared" si="53"/>
        <v>103007</v>
      </c>
      <c r="I42" s="5"/>
      <c r="J42" s="1">
        <f t="shared" si="1"/>
        <v>45411</v>
      </c>
      <c r="K42" s="3">
        <v>86</v>
      </c>
      <c r="L42" s="2">
        <v>26557</v>
      </c>
      <c r="M42" s="3">
        <v>476</v>
      </c>
      <c r="N42" s="2">
        <v>178054</v>
      </c>
      <c r="O42" s="3">
        <f t="shared" si="2"/>
        <v>562</v>
      </c>
      <c r="P42" s="2">
        <f t="shared" si="3"/>
        <v>204611</v>
      </c>
      <c r="Q42" s="6">
        <f t="shared" si="6"/>
        <v>31946</v>
      </c>
      <c r="R42" s="6"/>
      <c r="S42" s="1">
        <f t="shared" si="40"/>
        <v>45047</v>
      </c>
      <c r="T42" s="3">
        <v>203</v>
      </c>
      <c r="U42" s="2">
        <v>54498</v>
      </c>
      <c r="V42" s="3">
        <v>1403</v>
      </c>
      <c r="W42" s="2">
        <v>482093</v>
      </c>
      <c r="X42" s="3">
        <f t="shared" si="4"/>
        <v>1606</v>
      </c>
      <c r="Y42" s="2">
        <f t="shared" si="5"/>
        <v>536591</v>
      </c>
      <c r="Z42" s="6">
        <f t="shared" si="7"/>
        <v>4131</v>
      </c>
    </row>
    <row r="43" spans="1:26" x14ac:dyDescent="0.2">
      <c r="A43" s="1">
        <v>45768</v>
      </c>
      <c r="B43" s="3">
        <v>60</v>
      </c>
      <c r="C43" s="2">
        <v>20782</v>
      </c>
      <c r="D43" s="3">
        <v>1067</v>
      </c>
      <c r="E43" s="2">
        <v>417996</v>
      </c>
      <c r="F43" s="3">
        <f t="shared" si="51"/>
        <v>1127</v>
      </c>
      <c r="G43" s="2">
        <f t="shared" si="52"/>
        <v>438778</v>
      </c>
      <c r="H43" s="11">
        <f t="shared" si="53"/>
        <v>66413</v>
      </c>
      <c r="I43" s="5"/>
      <c r="J43" s="1">
        <v>45404</v>
      </c>
      <c r="K43" s="3">
        <v>86</v>
      </c>
      <c r="L43" s="2">
        <v>26557</v>
      </c>
      <c r="M43" s="3">
        <v>389</v>
      </c>
      <c r="N43" s="2">
        <v>146108</v>
      </c>
      <c r="O43" s="3">
        <f t="shared" si="2"/>
        <v>475</v>
      </c>
      <c r="P43" s="2">
        <f t="shared" si="3"/>
        <v>172665</v>
      </c>
      <c r="Q43" s="6">
        <f t="shared" si="6"/>
        <v>46938</v>
      </c>
      <c r="R43" s="6"/>
      <c r="S43" s="1">
        <f t="shared" si="40"/>
        <v>45040</v>
      </c>
      <c r="T43" s="3">
        <v>190</v>
      </c>
      <c r="U43" s="2">
        <v>51654</v>
      </c>
      <c r="V43" s="3">
        <v>1398</v>
      </c>
      <c r="W43" s="2">
        <v>480806</v>
      </c>
      <c r="X43" s="3">
        <f t="shared" si="4"/>
        <v>1588</v>
      </c>
      <c r="Y43" s="2">
        <f t="shared" si="5"/>
        <v>532460</v>
      </c>
      <c r="Z43" s="6">
        <f t="shared" si="7"/>
        <v>11363</v>
      </c>
    </row>
    <row r="44" spans="1:26" x14ac:dyDescent="0.2">
      <c r="A44" s="1">
        <v>45761</v>
      </c>
      <c r="B44" s="3">
        <v>54</v>
      </c>
      <c r="C44" s="2">
        <v>19061</v>
      </c>
      <c r="D44" s="3">
        <v>893</v>
      </c>
      <c r="E44" s="2">
        <v>353304</v>
      </c>
      <c r="F44" s="3">
        <f t="shared" si="51"/>
        <v>947</v>
      </c>
      <c r="G44" s="2">
        <f t="shared" si="52"/>
        <v>372365</v>
      </c>
      <c r="H44" s="11">
        <f t="shared" si="53"/>
        <v>45183</v>
      </c>
      <c r="I44" s="5"/>
      <c r="J44" s="1">
        <f>J43-7</f>
        <v>45397</v>
      </c>
      <c r="K44" s="3">
        <v>66</v>
      </c>
      <c r="L44" s="2">
        <v>20302</v>
      </c>
      <c r="M44" s="3">
        <v>283</v>
      </c>
      <c r="N44" s="2">
        <v>105425</v>
      </c>
      <c r="O44" s="3">
        <f t="shared" si="2"/>
        <v>349</v>
      </c>
      <c r="P44" s="2">
        <f t="shared" si="3"/>
        <v>125727</v>
      </c>
      <c r="Q44" s="6">
        <f t="shared" si="6"/>
        <v>39503</v>
      </c>
      <c r="R44" s="6"/>
      <c r="S44" s="1">
        <f t="shared" si="40"/>
        <v>45033</v>
      </c>
      <c r="T44" s="3">
        <v>159</v>
      </c>
      <c r="U44" s="2">
        <v>42701</v>
      </c>
      <c r="V44" s="3">
        <v>1389</v>
      </c>
      <c r="W44" s="2">
        <v>478396</v>
      </c>
      <c r="X44" s="3">
        <f t="shared" si="4"/>
        <v>1548</v>
      </c>
      <c r="Y44" s="2">
        <f t="shared" si="5"/>
        <v>521097</v>
      </c>
      <c r="Z44" s="6">
        <f t="shared" si="7"/>
        <v>10049</v>
      </c>
    </row>
    <row r="45" spans="1:26" x14ac:dyDescent="0.2">
      <c r="A45" s="1">
        <v>45754</v>
      </c>
      <c r="B45" s="3">
        <v>44</v>
      </c>
      <c r="C45" s="2">
        <v>14651</v>
      </c>
      <c r="D45" s="3">
        <v>785</v>
      </c>
      <c r="E45" s="2">
        <v>312531</v>
      </c>
      <c r="F45" s="3">
        <f t="shared" si="51"/>
        <v>829</v>
      </c>
      <c r="G45" s="2">
        <f t="shared" si="52"/>
        <v>327182</v>
      </c>
      <c r="H45" s="11">
        <f t="shared" si="53"/>
        <v>55237</v>
      </c>
      <c r="I45" s="5"/>
      <c r="J45" s="1">
        <f>J44-7</f>
        <v>45390</v>
      </c>
      <c r="K45" s="3">
        <v>54</v>
      </c>
      <c r="L45" s="2">
        <v>17576</v>
      </c>
      <c r="M45" s="3">
        <v>181</v>
      </c>
      <c r="N45" s="2">
        <v>68648</v>
      </c>
      <c r="O45" s="3">
        <f t="shared" si="2"/>
        <v>235</v>
      </c>
      <c r="P45" s="2">
        <f t="shared" si="3"/>
        <v>86224</v>
      </c>
      <c r="Q45" s="6">
        <f t="shared" si="6"/>
        <v>57902</v>
      </c>
      <c r="R45" s="4"/>
      <c r="S45" s="1">
        <f t="shared" si="40"/>
        <v>45026</v>
      </c>
      <c r="T45" s="3">
        <v>142</v>
      </c>
      <c r="U45" s="2">
        <v>39344</v>
      </c>
      <c r="V45" s="3">
        <v>1365</v>
      </c>
      <c r="W45" s="2">
        <v>471704</v>
      </c>
      <c r="X45" s="3">
        <f t="shared" si="4"/>
        <v>1507</v>
      </c>
      <c r="Y45" s="2">
        <f t="shared" si="5"/>
        <v>511048</v>
      </c>
      <c r="Z45" s="6">
        <f t="shared" si="7"/>
        <v>8561</v>
      </c>
    </row>
    <row r="46" spans="1:26" x14ac:dyDescent="0.2">
      <c r="A46" s="1">
        <v>45747</v>
      </c>
      <c r="B46" s="3">
        <v>38</v>
      </c>
      <c r="C46" s="2">
        <v>13163</v>
      </c>
      <c r="D46" s="3">
        <v>636</v>
      </c>
      <c r="E46" s="2">
        <v>258782</v>
      </c>
      <c r="F46" s="3">
        <f t="shared" si="51"/>
        <v>674</v>
      </c>
      <c r="G46" s="2">
        <f t="shared" si="52"/>
        <v>271945</v>
      </c>
      <c r="H46" s="11">
        <f t="shared" si="53"/>
        <v>78516</v>
      </c>
      <c r="I46" s="5"/>
      <c r="J46" s="1">
        <f>J45-7</f>
        <v>45383</v>
      </c>
      <c r="K46" s="3">
        <v>2</v>
      </c>
      <c r="L46" s="2">
        <v>648</v>
      </c>
      <c r="M46" s="3">
        <v>68</v>
      </c>
      <c r="N46" s="2">
        <v>27674</v>
      </c>
      <c r="O46" s="3">
        <f t="shared" si="2"/>
        <v>70</v>
      </c>
      <c r="P46" s="2">
        <f t="shared" si="3"/>
        <v>28322</v>
      </c>
      <c r="Q46" s="6">
        <f t="shared" si="6"/>
        <v>9548</v>
      </c>
      <c r="S46" s="1">
        <f t="shared" si="40"/>
        <v>45019</v>
      </c>
      <c r="T46" s="3">
        <v>128</v>
      </c>
      <c r="U46" s="2">
        <v>36969</v>
      </c>
      <c r="V46" s="3">
        <v>1345</v>
      </c>
      <c r="W46" s="2">
        <v>465518</v>
      </c>
      <c r="X46" s="3">
        <f t="shared" si="4"/>
        <v>1473</v>
      </c>
      <c r="Y46" s="2">
        <f t="shared" si="5"/>
        <v>502487</v>
      </c>
      <c r="Z46" s="6">
        <f t="shared" si="7"/>
        <v>12395</v>
      </c>
    </row>
    <row r="47" spans="1:26" x14ac:dyDescent="0.2">
      <c r="A47" s="1">
        <f>A46-7</f>
        <v>45740</v>
      </c>
      <c r="B47" s="3">
        <v>24</v>
      </c>
      <c r="C47" s="2">
        <v>7172</v>
      </c>
      <c r="D47" s="3">
        <v>449</v>
      </c>
      <c r="E47" s="2">
        <v>186257</v>
      </c>
      <c r="F47" s="3">
        <f t="shared" si="51"/>
        <v>473</v>
      </c>
      <c r="G47" s="2">
        <f t="shared" si="52"/>
        <v>193429</v>
      </c>
      <c r="H47" s="11">
        <f t="shared" si="53"/>
        <v>96280</v>
      </c>
      <c r="I47" s="5"/>
      <c r="J47" s="1">
        <f>J46-7</f>
        <v>45376</v>
      </c>
      <c r="K47" s="3">
        <v>0</v>
      </c>
      <c r="L47" s="2">
        <v>0</v>
      </c>
      <c r="M47" s="3">
        <v>45</v>
      </c>
      <c r="N47" s="2">
        <v>18774</v>
      </c>
      <c r="O47" s="3">
        <f t="shared" si="2"/>
        <v>45</v>
      </c>
      <c r="P47" s="2">
        <f t="shared" si="3"/>
        <v>18774</v>
      </c>
      <c r="Q47" s="6">
        <f t="shared" si="6"/>
        <v>15084</v>
      </c>
      <c r="S47" s="1">
        <f t="shared" si="40"/>
        <v>45012</v>
      </c>
      <c r="T47" s="3">
        <v>103</v>
      </c>
      <c r="U47" s="2">
        <v>31355</v>
      </c>
      <c r="V47" s="3">
        <v>1317</v>
      </c>
      <c r="W47" s="2">
        <v>458737</v>
      </c>
      <c r="X47" s="3">
        <f t="shared" si="4"/>
        <v>1420</v>
      </c>
      <c r="Y47" s="2">
        <f t="shared" si="5"/>
        <v>490092</v>
      </c>
      <c r="Z47" s="6">
        <f t="shared" si="7"/>
        <v>13889</v>
      </c>
    </row>
    <row r="48" spans="1:26" x14ac:dyDescent="0.2">
      <c r="A48" s="1">
        <f>A47-7</f>
        <v>45733</v>
      </c>
      <c r="B48" s="3">
        <v>19</v>
      </c>
      <c r="C48" s="2">
        <v>5802</v>
      </c>
      <c r="D48" s="3">
        <v>220</v>
      </c>
      <c r="E48" s="2">
        <v>91347</v>
      </c>
      <c r="F48" s="3">
        <f t="shared" si="51"/>
        <v>239</v>
      </c>
      <c r="G48" s="2">
        <f t="shared" si="52"/>
        <v>97149</v>
      </c>
      <c r="H48" s="11">
        <f t="shared" si="53"/>
        <v>57658</v>
      </c>
      <c r="J48" s="1">
        <f t="shared" ref="J48:J50" si="54">J47-7</f>
        <v>45369</v>
      </c>
      <c r="K48" s="3">
        <v>0</v>
      </c>
      <c r="L48" s="2">
        <v>0</v>
      </c>
      <c r="M48" s="3">
        <v>10</v>
      </c>
      <c r="N48" s="2">
        <v>3690</v>
      </c>
      <c r="O48" s="3">
        <f t="shared" si="2"/>
        <v>10</v>
      </c>
      <c r="P48" s="2">
        <f t="shared" si="3"/>
        <v>3690</v>
      </c>
      <c r="Q48" s="6">
        <f t="shared" si="6"/>
        <v>1730</v>
      </c>
      <c r="S48" s="1">
        <f t="shared" si="40"/>
        <v>45005</v>
      </c>
      <c r="T48" s="3">
        <v>92</v>
      </c>
      <c r="U48" s="2">
        <v>28290</v>
      </c>
      <c r="V48" s="3">
        <v>1281</v>
      </c>
      <c r="W48" s="2">
        <v>447913</v>
      </c>
      <c r="X48" s="3">
        <f t="shared" si="4"/>
        <v>1373</v>
      </c>
      <c r="Y48" s="2">
        <f t="shared" si="5"/>
        <v>476203</v>
      </c>
      <c r="Z48" s="6">
        <f t="shared" si="7"/>
        <v>79256</v>
      </c>
    </row>
    <row r="49" spans="1:26" x14ac:dyDescent="0.2">
      <c r="A49" s="1">
        <f>A48-7</f>
        <v>45726</v>
      </c>
      <c r="B49" s="3">
        <v>15</v>
      </c>
      <c r="C49" s="2">
        <v>4992</v>
      </c>
      <c r="D49" s="3">
        <v>83</v>
      </c>
      <c r="E49" s="2">
        <v>34499</v>
      </c>
      <c r="F49" s="3">
        <f t="shared" si="51"/>
        <v>98</v>
      </c>
      <c r="G49" s="2">
        <f t="shared" si="52"/>
        <v>39491</v>
      </c>
      <c r="H49" s="11">
        <f t="shared" si="53"/>
        <v>17874</v>
      </c>
      <c r="J49" s="1">
        <f t="shared" si="54"/>
        <v>45362</v>
      </c>
      <c r="K49" s="3">
        <v>0</v>
      </c>
      <c r="L49" s="2">
        <v>0</v>
      </c>
      <c r="M49" s="3">
        <v>4</v>
      </c>
      <c r="N49" s="2">
        <v>1960</v>
      </c>
      <c r="O49" s="3">
        <f t="shared" si="2"/>
        <v>4</v>
      </c>
      <c r="P49" s="2">
        <f t="shared" si="3"/>
        <v>1960</v>
      </c>
      <c r="Q49" s="6">
        <f t="shared" si="6"/>
        <v>980</v>
      </c>
      <c r="S49" s="1">
        <f t="shared" si="40"/>
        <v>44998</v>
      </c>
      <c r="T49" s="3">
        <v>76</v>
      </c>
      <c r="U49" s="2">
        <v>24583</v>
      </c>
      <c r="V49" s="3">
        <v>1056</v>
      </c>
      <c r="W49" s="2">
        <v>372364</v>
      </c>
      <c r="X49" s="3">
        <f t="shared" si="4"/>
        <v>1132</v>
      </c>
      <c r="Y49" s="2">
        <f t="shared" si="5"/>
        <v>396947</v>
      </c>
      <c r="Z49" s="6">
        <f t="shared" si="7"/>
        <v>74162</v>
      </c>
    </row>
    <row r="50" spans="1:26" x14ac:dyDescent="0.2">
      <c r="A50" s="1">
        <f>A49-7</f>
        <v>45719</v>
      </c>
      <c r="B50" s="3">
        <v>13</v>
      </c>
      <c r="C50" s="2">
        <v>4342</v>
      </c>
      <c r="D50" s="3">
        <v>41</v>
      </c>
      <c r="E50" s="2">
        <v>17275</v>
      </c>
      <c r="F50" s="3">
        <f t="shared" si="51"/>
        <v>54</v>
      </c>
      <c r="G50" s="2">
        <f t="shared" si="52"/>
        <v>21617</v>
      </c>
      <c r="H50" s="11">
        <f t="shared" si="53"/>
        <v>21617</v>
      </c>
      <c r="J50" s="1">
        <f t="shared" si="54"/>
        <v>45355</v>
      </c>
      <c r="K50" s="3">
        <v>0</v>
      </c>
      <c r="L50" s="2">
        <v>0</v>
      </c>
      <c r="M50" s="3">
        <v>2</v>
      </c>
      <c r="N50" s="2">
        <v>980</v>
      </c>
      <c r="O50" s="3">
        <f t="shared" si="2"/>
        <v>2</v>
      </c>
      <c r="P50" s="2">
        <f t="shared" si="3"/>
        <v>980</v>
      </c>
      <c r="Q50" s="6">
        <f t="shared" si="6"/>
        <v>980</v>
      </c>
      <c r="S50" s="1">
        <f t="shared" si="40"/>
        <v>44991</v>
      </c>
      <c r="T50" s="3">
        <v>69</v>
      </c>
      <c r="U50" s="2">
        <v>22847</v>
      </c>
      <c r="V50" s="3">
        <v>834</v>
      </c>
      <c r="W50" s="2">
        <v>299938</v>
      </c>
      <c r="X50" s="3">
        <f t="shared" si="4"/>
        <v>903</v>
      </c>
      <c r="Y50" s="2">
        <f t="shared" si="5"/>
        <v>322785</v>
      </c>
      <c r="Z50" s="6">
        <f t="shared" si="7"/>
        <v>63207</v>
      </c>
    </row>
    <row r="51" spans="1:26" x14ac:dyDescent="0.2">
      <c r="S51" s="1">
        <f t="shared" si="40"/>
        <v>44984</v>
      </c>
      <c r="T51" s="3">
        <v>41</v>
      </c>
      <c r="U51" s="2">
        <v>14159</v>
      </c>
      <c r="V51" s="3">
        <v>674</v>
      </c>
      <c r="W51" s="2">
        <v>245419</v>
      </c>
      <c r="X51" s="3">
        <f t="shared" si="4"/>
        <v>715</v>
      </c>
      <c r="Y51" s="2">
        <f t="shared" si="5"/>
        <v>259578</v>
      </c>
      <c r="Z51" s="6">
        <f t="shared" si="7"/>
        <v>48557</v>
      </c>
    </row>
    <row r="52" spans="1:26" x14ac:dyDescent="0.2">
      <c r="S52" s="1">
        <f t="shared" si="40"/>
        <v>44977</v>
      </c>
      <c r="T52" s="3">
        <v>29</v>
      </c>
      <c r="U52" s="2">
        <v>10245</v>
      </c>
      <c r="V52" s="3">
        <v>546</v>
      </c>
      <c r="W52" s="2">
        <v>200776</v>
      </c>
      <c r="X52" s="3">
        <f t="shared" si="4"/>
        <v>575</v>
      </c>
      <c r="Y52" s="2">
        <f t="shared" si="5"/>
        <v>211021</v>
      </c>
      <c r="Z52" s="6">
        <f t="shared" si="7"/>
        <v>46452</v>
      </c>
    </row>
    <row r="53" spans="1:26" x14ac:dyDescent="0.2">
      <c r="S53" s="1">
        <f t="shared" si="40"/>
        <v>44970</v>
      </c>
      <c r="T53" s="3">
        <v>24</v>
      </c>
      <c r="U53" s="2">
        <v>8520</v>
      </c>
      <c r="V53" s="3">
        <v>423</v>
      </c>
      <c r="W53" s="2">
        <v>156049</v>
      </c>
      <c r="X53" s="3">
        <f t="shared" si="4"/>
        <v>447</v>
      </c>
      <c r="Y53" s="2">
        <f t="shared" si="5"/>
        <v>164569</v>
      </c>
      <c r="Z53" s="6">
        <f t="shared" si="7"/>
        <v>63139</v>
      </c>
    </row>
    <row r="54" spans="1:26" x14ac:dyDescent="0.2">
      <c r="B54" s="12"/>
      <c r="S54" s="1">
        <v>44963</v>
      </c>
      <c r="T54" s="3">
        <v>12</v>
      </c>
      <c r="U54" s="2">
        <v>3590</v>
      </c>
      <c r="V54" s="3">
        <v>266</v>
      </c>
      <c r="W54" s="2">
        <v>97840</v>
      </c>
      <c r="X54" s="3">
        <f t="shared" si="4"/>
        <v>278</v>
      </c>
      <c r="Y54" s="2">
        <f t="shared" si="5"/>
        <v>101430</v>
      </c>
      <c r="Z54" s="6">
        <f t="shared" si="7"/>
        <v>101430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B670-0FD9-9447-B1FA-E997C5CBBF00}">
  <dimension ref="A1:Z118"/>
  <sheetViews>
    <sheetView topLeftCell="A77" workbookViewId="0">
      <selection activeCell="I84" sqref="I84"/>
    </sheetView>
  </sheetViews>
  <sheetFormatPr baseColWidth="10" defaultRowHeight="16" x14ac:dyDescent="0.2"/>
  <cols>
    <col min="2" max="2" width="13" bestFit="1" customWidth="1"/>
  </cols>
  <sheetData>
    <row r="1" spans="10:26" x14ac:dyDescent="0.2">
      <c r="S1" s="1">
        <f t="shared" ref="S1:S32" si="0">S2+7</f>
        <v>45334</v>
      </c>
      <c r="Z1" s="4"/>
    </row>
    <row r="2" spans="10:26" x14ac:dyDescent="0.2">
      <c r="S2" s="1">
        <f t="shared" si="0"/>
        <v>45327</v>
      </c>
      <c r="Z2" s="4"/>
    </row>
    <row r="3" spans="10:26" x14ac:dyDescent="0.2">
      <c r="S3" s="1">
        <f t="shared" si="0"/>
        <v>45320</v>
      </c>
      <c r="Z3" s="4"/>
    </row>
    <row r="4" spans="10:26" x14ac:dyDescent="0.2">
      <c r="S4" s="1">
        <f t="shared" si="0"/>
        <v>45313</v>
      </c>
      <c r="Z4" s="4"/>
    </row>
    <row r="5" spans="10:26" x14ac:dyDescent="0.2">
      <c r="S5" s="1">
        <f t="shared" si="0"/>
        <v>45306</v>
      </c>
      <c r="Z5" s="4"/>
    </row>
    <row r="6" spans="10:26" x14ac:dyDescent="0.2">
      <c r="S6" s="1">
        <f t="shared" si="0"/>
        <v>45299</v>
      </c>
      <c r="Z6" s="4"/>
    </row>
    <row r="7" spans="10:26" x14ac:dyDescent="0.2">
      <c r="S7" s="1">
        <f t="shared" si="0"/>
        <v>45292</v>
      </c>
      <c r="Z7" s="4"/>
    </row>
    <row r="8" spans="10:26" x14ac:dyDescent="0.2">
      <c r="S8" s="1">
        <f t="shared" si="0"/>
        <v>45285</v>
      </c>
      <c r="Z8" s="4"/>
    </row>
    <row r="9" spans="10:26" x14ac:dyDescent="0.2">
      <c r="S9" s="1">
        <f t="shared" si="0"/>
        <v>45278</v>
      </c>
      <c r="Z9" s="4"/>
    </row>
    <row r="10" spans="10:26" x14ac:dyDescent="0.2">
      <c r="R10" s="6"/>
      <c r="S10" s="1">
        <f t="shared" si="0"/>
        <v>45271</v>
      </c>
      <c r="Z10" s="4"/>
    </row>
    <row r="11" spans="10:26" x14ac:dyDescent="0.2">
      <c r="J11" s="1">
        <f t="shared" ref="J11:J42" si="1">J12+7</f>
        <v>45628</v>
      </c>
      <c r="K11" s="3">
        <v>225</v>
      </c>
      <c r="L11" s="2">
        <v>64966</v>
      </c>
      <c r="M11" s="3">
        <v>1450</v>
      </c>
      <c r="N11" s="2">
        <v>515169</v>
      </c>
      <c r="O11" s="3">
        <f t="shared" ref="O11:O50" si="2">K11+M11</f>
        <v>1675</v>
      </c>
      <c r="P11" s="2">
        <f t="shared" ref="P11:P50" si="3">L11+N11</f>
        <v>580135</v>
      </c>
      <c r="Q11" s="6">
        <f>P11-P12</f>
        <v>248</v>
      </c>
      <c r="R11" s="6"/>
      <c r="S11" s="1">
        <f t="shared" si="0"/>
        <v>45264</v>
      </c>
      <c r="T11" s="3">
        <v>331</v>
      </c>
      <c r="U11" s="2">
        <v>84358</v>
      </c>
      <c r="V11" s="3">
        <v>1458</v>
      </c>
      <c r="W11" s="2">
        <v>497816</v>
      </c>
      <c r="X11" s="3">
        <f t="shared" ref="X11:X54" si="4">T11+V11</f>
        <v>1789</v>
      </c>
      <c r="Y11" s="2">
        <f t="shared" ref="Y11:Y54" si="5">U11+W11</f>
        <v>582174</v>
      </c>
      <c r="Z11" s="6">
        <f>Y11-Y12</f>
        <v>0</v>
      </c>
    </row>
    <row r="12" spans="10:26" x14ac:dyDescent="0.2">
      <c r="J12" s="1">
        <f t="shared" si="1"/>
        <v>45621</v>
      </c>
      <c r="K12" s="3">
        <v>223</v>
      </c>
      <c r="L12" s="2">
        <v>64718</v>
      </c>
      <c r="M12" s="3">
        <v>1450</v>
      </c>
      <c r="N12" s="2">
        <v>515169</v>
      </c>
      <c r="O12" s="3">
        <f t="shared" si="2"/>
        <v>1673</v>
      </c>
      <c r="P12" s="2">
        <f t="shared" si="3"/>
        <v>579887</v>
      </c>
      <c r="Q12" s="6">
        <f t="shared" ref="Q12:Q50" si="6">P12-P13</f>
        <v>0</v>
      </c>
      <c r="R12" s="6"/>
      <c r="S12" s="1">
        <f t="shared" si="0"/>
        <v>45257</v>
      </c>
      <c r="T12" s="3">
        <v>331</v>
      </c>
      <c r="U12" s="2">
        <v>84358</v>
      </c>
      <c r="V12" s="3">
        <v>1458</v>
      </c>
      <c r="W12" s="2">
        <v>497816</v>
      </c>
      <c r="X12" s="3">
        <f t="shared" si="4"/>
        <v>1789</v>
      </c>
      <c r="Y12" s="2">
        <f t="shared" si="5"/>
        <v>582174</v>
      </c>
      <c r="Z12" s="6">
        <f t="shared" ref="Z12:Z54" si="7">Y12-Y13</f>
        <v>167</v>
      </c>
    </row>
    <row r="13" spans="10:26" x14ac:dyDescent="0.2">
      <c r="J13" s="1">
        <f t="shared" si="1"/>
        <v>45614</v>
      </c>
      <c r="K13" s="3">
        <v>223</v>
      </c>
      <c r="L13" s="2">
        <v>64718</v>
      </c>
      <c r="M13" s="3">
        <v>1450</v>
      </c>
      <c r="N13" s="2">
        <v>515169</v>
      </c>
      <c r="O13" s="3">
        <f t="shared" si="2"/>
        <v>1673</v>
      </c>
      <c r="P13" s="2">
        <f t="shared" si="3"/>
        <v>579887</v>
      </c>
      <c r="Q13" s="6">
        <f t="shared" si="6"/>
        <v>0</v>
      </c>
      <c r="R13" s="6"/>
      <c r="S13" s="1">
        <f t="shared" si="0"/>
        <v>45250</v>
      </c>
      <c r="T13" s="3">
        <v>329</v>
      </c>
      <c r="U13" s="2">
        <v>84191</v>
      </c>
      <c r="V13" s="3">
        <v>1458</v>
      </c>
      <c r="W13" s="2">
        <v>497816</v>
      </c>
      <c r="X13" s="3">
        <f t="shared" si="4"/>
        <v>1787</v>
      </c>
      <c r="Y13" s="2">
        <f t="shared" si="5"/>
        <v>582007</v>
      </c>
      <c r="Z13" s="6">
        <f t="shared" si="7"/>
        <v>335</v>
      </c>
    </row>
    <row r="14" spans="10:26" x14ac:dyDescent="0.2">
      <c r="J14" s="1">
        <f t="shared" si="1"/>
        <v>45607</v>
      </c>
      <c r="K14" s="3">
        <v>223</v>
      </c>
      <c r="L14" s="2">
        <v>64718</v>
      </c>
      <c r="M14" s="3">
        <v>1450</v>
      </c>
      <c r="N14" s="2">
        <v>515169</v>
      </c>
      <c r="O14" s="3">
        <f t="shared" si="2"/>
        <v>1673</v>
      </c>
      <c r="P14" s="2">
        <f t="shared" si="3"/>
        <v>579887</v>
      </c>
      <c r="Q14" s="6">
        <f t="shared" si="6"/>
        <v>0</v>
      </c>
      <c r="R14" s="6"/>
      <c r="S14" s="1">
        <f t="shared" si="0"/>
        <v>45243</v>
      </c>
      <c r="T14" s="3">
        <v>325</v>
      </c>
      <c r="U14" s="2">
        <v>83856</v>
      </c>
      <c r="V14" s="3">
        <v>1458</v>
      </c>
      <c r="W14" s="2">
        <v>497816</v>
      </c>
      <c r="X14" s="3">
        <f t="shared" si="4"/>
        <v>1783</v>
      </c>
      <c r="Y14" s="2">
        <f t="shared" si="5"/>
        <v>581672</v>
      </c>
      <c r="Z14" s="6">
        <f t="shared" si="7"/>
        <v>0</v>
      </c>
    </row>
    <row r="15" spans="10:26" x14ac:dyDescent="0.2">
      <c r="J15" s="1">
        <f t="shared" si="1"/>
        <v>45600</v>
      </c>
      <c r="K15" s="3">
        <v>223</v>
      </c>
      <c r="L15" s="2">
        <v>64718</v>
      </c>
      <c r="M15" s="3">
        <v>1450</v>
      </c>
      <c r="N15" s="2">
        <v>515169</v>
      </c>
      <c r="O15" s="3">
        <f t="shared" si="2"/>
        <v>1673</v>
      </c>
      <c r="P15" s="2">
        <f t="shared" si="3"/>
        <v>579887</v>
      </c>
      <c r="Q15" s="6">
        <f t="shared" si="6"/>
        <v>616</v>
      </c>
      <c r="R15" s="6"/>
      <c r="S15" s="1">
        <f t="shared" si="0"/>
        <v>45236</v>
      </c>
      <c r="T15" s="3">
        <v>325</v>
      </c>
      <c r="U15" s="2">
        <v>83856</v>
      </c>
      <c r="V15" s="3">
        <v>1458</v>
      </c>
      <c r="W15" s="2">
        <v>497816</v>
      </c>
      <c r="X15" s="3">
        <f t="shared" si="4"/>
        <v>1783</v>
      </c>
      <c r="Y15" s="2">
        <f t="shared" si="5"/>
        <v>581672</v>
      </c>
      <c r="Z15" s="6">
        <f t="shared" si="7"/>
        <v>216</v>
      </c>
    </row>
    <row r="16" spans="10:26" x14ac:dyDescent="0.2">
      <c r="J16" s="1">
        <f t="shared" si="1"/>
        <v>45593</v>
      </c>
      <c r="K16" s="3">
        <v>221</v>
      </c>
      <c r="L16" s="2">
        <v>64102</v>
      </c>
      <c r="M16" s="3">
        <v>1450</v>
      </c>
      <c r="N16" s="2">
        <v>515169</v>
      </c>
      <c r="O16" s="3">
        <f t="shared" si="2"/>
        <v>1671</v>
      </c>
      <c r="P16" s="2">
        <f t="shared" si="3"/>
        <v>579271</v>
      </c>
      <c r="Q16" s="6">
        <f t="shared" si="6"/>
        <v>232</v>
      </c>
      <c r="R16" s="6"/>
      <c r="S16" s="1">
        <f t="shared" si="0"/>
        <v>45229</v>
      </c>
      <c r="T16" s="3">
        <v>323</v>
      </c>
      <c r="U16" s="2">
        <v>83640</v>
      </c>
      <c r="V16" s="3">
        <v>1458</v>
      </c>
      <c r="W16" s="2">
        <v>497816</v>
      </c>
      <c r="X16" s="3">
        <f t="shared" si="4"/>
        <v>1781</v>
      </c>
      <c r="Y16" s="2">
        <f t="shared" si="5"/>
        <v>581456</v>
      </c>
      <c r="Z16" s="6">
        <f t="shared" si="7"/>
        <v>167</v>
      </c>
    </row>
    <row r="17" spans="10:26" x14ac:dyDescent="0.2">
      <c r="J17" s="1">
        <f t="shared" si="1"/>
        <v>45586</v>
      </c>
      <c r="K17" s="3">
        <v>220</v>
      </c>
      <c r="L17" s="2">
        <v>63870</v>
      </c>
      <c r="M17" s="3">
        <v>1450</v>
      </c>
      <c r="N17" s="2">
        <v>515169</v>
      </c>
      <c r="O17" s="3">
        <f t="shared" si="2"/>
        <v>1670</v>
      </c>
      <c r="P17" s="2">
        <f t="shared" si="3"/>
        <v>579039</v>
      </c>
      <c r="Q17" s="6">
        <f t="shared" si="6"/>
        <v>1000</v>
      </c>
      <c r="R17" s="6"/>
      <c r="S17" s="1">
        <f t="shared" si="0"/>
        <v>45222</v>
      </c>
      <c r="T17" s="3">
        <v>321</v>
      </c>
      <c r="U17" s="2">
        <v>83473</v>
      </c>
      <c r="V17" s="3">
        <v>1458</v>
      </c>
      <c r="W17" s="2">
        <v>497816</v>
      </c>
      <c r="X17" s="3">
        <f t="shared" si="4"/>
        <v>1779</v>
      </c>
      <c r="Y17" s="2">
        <f t="shared" si="5"/>
        <v>581289</v>
      </c>
      <c r="Z17" s="6">
        <f t="shared" si="7"/>
        <v>735</v>
      </c>
    </row>
    <row r="18" spans="10:26" x14ac:dyDescent="0.2">
      <c r="J18" s="1">
        <f t="shared" si="1"/>
        <v>45579</v>
      </c>
      <c r="K18" s="3">
        <v>220</v>
      </c>
      <c r="L18" s="2">
        <v>63870</v>
      </c>
      <c r="M18" s="3">
        <v>1445</v>
      </c>
      <c r="N18" s="2">
        <v>514169</v>
      </c>
      <c r="O18" s="3">
        <f t="shared" si="2"/>
        <v>1665</v>
      </c>
      <c r="P18" s="2">
        <f t="shared" si="3"/>
        <v>578039</v>
      </c>
      <c r="Q18" s="6">
        <f t="shared" si="6"/>
        <v>480</v>
      </c>
      <c r="R18" s="6"/>
      <c r="S18" s="1">
        <f t="shared" si="0"/>
        <v>45215</v>
      </c>
      <c r="T18" s="3">
        <v>317</v>
      </c>
      <c r="U18" s="2">
        <v>82927</v>
      </c>
      <c r="V18" s="3">
        <v>1457</v>
      </c>
      <c r="W18" s="2">
        <v>497627</v>
      </c>
      <c r="X18" s="3">
        <f t="shared" si="4"/>
        <v>1774</v>
      </c>
      <c r="Y18" s="2">
        <f t="shared" si="5"/>
        <v>580554</v>
      </c>
      <c r="Z18" s="6">
        <f t="shared" si="7"/>
        <v>763</v>
      </c>
    </row>
    <row r="19" spans="10:26" x14ac:dyDescent="0.2">
      <c r="J19" s="1">
        <f t="shared" si="1"/>
        <v>45572</v>
      </c>
      <c r="K19" s="3">
        <v>218</v>
      </c>
      <c r="L19" s="2">
        <v>63390</v>
      </c>
      <c r="M19" s="3">
        <v>1445</v>
      </c>
      <c r="N19" s="2">
        <v>514169</v>
      </c>
      <c r="O19" s="3">
        <f t="shared" si="2"/>
        <v>1663</v>
      </c>
      <c r="P19" s="2">
        <f t="shared" si="3"/>
        <v>577559</v>
      </c>
      <c r="Q19" s="6">
        <f t="shared" si="6"/>
        <v>580</v>
      </c>
      <c r="R19" s="6"/>
      <c r="S19" s="1">
        <f t="shared" si="0"/>
        <v>45208</v>
      </c>
      <c r="T19" s="3">
        <v>313</v>
      </c>
      <c r="U19" s="2">
        <v>82164</v>
      </c>
      <c r="V19" s="3">
        <v>1457</v>
      </c>
      <c r="W19" s="2">
        <v>497627</v>
      </c>
      <c r="X19" s="3">
        <f t="shared" si="4"/>
        <v>1770</v>
      </c>
      <c r="Y19" s="2">
        <f t="shared" si="5"/>
        <v>579791</v>
      </c>
      <c r="Z19" s="6">
        <f t="shared" si="7"/>
        <v>0</v>
      </c>
    </row>
    <row r="20" spans="10:26" x14ac:dyDescent="0.2">
      <c r="J20" s="1">
        <f t="shared" si="1"/>
        <v>45565</v>
      </c>
      <c r="K20" s="3">
        <v>218</v>
      </c>
      <c r="L20" s="2">
        <v>63390</v>
      </c>
      <c r="M20" s="3">
        <v>1443</v>
      </c>
      <c r="N20" s="2">
        <v>513589</v>
      </c>
      <c r="O20" s="3">
        <f t="shared" si="2"/>
        <v>1661</v>
      </c>
      <c r="P20" s="2">
        <f t="shared" si="3"/>
        <v>576979</v>
      </c>
      <c r="Q20" s="6">
        <f t="shared" si="6"/>
        <v>200</v>
      </c>
      <c r="R20" s="6"/>
      <c r="S20" s="1">
        <f t="shared" si="0"/>
        <v>45201</v>
      </c>
      <c r="T20" s="3">
        <v>313</v>
      </c>
      <c r="U20" s="2">
        <v>82164</v>
      </c>
      <c r="V20" s="3">
        <v>1457</v>
      </c>
      <c r="W20" s="2">
        <v>497627</v>
      </c>
      <c r="X20" s="3">
        <f t="shared" si="4"/>
        <v>1770</v>
      </c>
      <c r="Y20" s="2">
        <f t="shared" si="5"/>
        <v>579791</v>
      </c>
      <c r="Z20" s="6">
        <f t="shared" si="7"/>
        <v>0</v>
      </c>
    </row>
    <row r="21" spans="10:26" x14ac:dyDescent="0.2">
      <c r="J21" s="1">
        <f t="shared" si="1"/>
        <v>45558</v>
      </c>
      <c r="K21" s="3">
        <v>217</v>
      </c>
      <c r="L21" s="2">
        <v>63190</v>
      </c>
      <c r="M21" s="3">
        <v>1443</v>
      </c>
      <c r="N21" s="2">
        <v>513589</v>
      </c>
      <c r="O21" s="3">
        <f t="shared" si="2"/>
        <v>1660</v>
      </c>
      <c r="P21" s="2">
        <f t="shared" si="3"/>
        <v>576779</v>
      </c>
      <c r="Q21" s="6">
        <f t="shared" si="6"/>
        <v>0</v>
      </c>
      <c r="R21" s="6"/>
      <c r="S21" s="1">
        <f t="shared" si="0"/>
        <v>45194</v>
      </c>
      <c r="T21" s="3">
        <v>313</v>
      </c>
      <c r="U21" s="2">
        <v>82164</v>
      </c>
      <c r="V21" s="3">
        <v>1457</v>
      </c>
      <c r="W21" s="2">
        <v>497627</v>
      </c>
      <c r="X21" s="3">
        <f t="shared" si="4"/>
        <v>1770</v>
      </c>
      <c r="Y21" s="2">
        <f t="shared" si="5"/>
        <v>579791</v>
      </c>
      <c r="Z21" s="6">
        <f t="shared" si="7"/>
        <v>0</v>
      </c>
    </row>
    <row r="22" spans="10:26" x14ac:dyDescent="0.2">
      <c r="J22" s="1">
        <f t="shared" si="1"/>
        <v>45551</v>
      </c>
      <c r="K22" s="3">
        <v>217</v>
      </c>
      <c r="L22" s="2">
        <v>63190</v>
      </c>
      <c r="M22" s="3">
        <v>1443</v>
      </c>
      <c r="N22" s="2">
        <v>513589</v>
      </c>
      <c r="O22" s="3">
        <f t="shared" si="2"/>
        <v>1660</v>
      </c>
      <c r="P22" s="2">
        <f t="shared" si="3"/>
        <v>576779</v>
      </c>
      <c r="Q22" s="6">
        <f t="shared" si="6"/>
        <v>1336</v>
      </c>
      <c r="R22" s="6"/>
      <c r="S22" s="1">
        <f t="shared" si="0"/>
        <v>45187</v>
      </c>
      <c r="T22" s="3">
        <v>313</v>
      </c>
      <c r="U22" s="2">
        <v>82164</v>
      </c>
      <c r="V22" s="3">
        <v>1457</v>
      </c>
      <c r="W22" s="2">
        <v>497627</v>
      </c>
      <c r="X22" s="3">
        <f t="shared" si="4"/>
        <v>1770</v>
      </c>
      <c r="Y22" s="2">
        <f t="shared" si="5"/>
        <v>579791</v>
      </c>
      <c r="Z22" s="6">
        <f t="shared" si="7"/>
        <v>2000</v>
      </c>
    </row>
    <row r="23" spans="10:26" x14ac:dyDescent="0.2">
      <c r="J23" s="1">
        <f t="shared" si="1"/>
        <v>45544</v>
      </c>
      <c r="K23" s="3">
        <v>217</v>
      </c>
      <c r="L23" s="2">
        <v>63190</v>
      </c>
      <c r="M23" s="3">
        <v>1439</v>
      </c>
      <c r="N23" s="2">
        <v>512253</v>
      </c>
      <c r="O23" s="3">
        <f t="shared" si="2"/>
        <v>1656</v>
      </c>
      <c r="P23" s="2">
        <f t="shared" si="3"/>
        <v>575443</v>
      </c>
      <c r="Q23" s="6">
        <f t="shared" si="6"/>
        <v>279</v>
      </c>
      <c r="R23" s="6"/>
      <c r="S23" s="1">
        <f t="shared" si="0"/>
        <v>45180</v>
      </c>
      <c r="T23" s="3">
        <v>308</v>
      </c>
      <c r="U23" s="2">
        <v>81124</v>
      </c>
      <c r="V23" s="3">
        <v>1453</v>
      </c>
      <c r="W23" s="2">
        <v>496667</v>
      </c>
      <c r="X23" s="3">
        <f t="shared" si="4"/>
        <v>1761</v>
      </c>
      <c r="Y23" s="2">
        <f t="shared" si="5"/>
        <v>577791</v>
      </c>
      <c r="Z23" s="6">
        <f t="shared" si="7"/>
        <v>850</v>
      </c>
    </row>
    <row r="24" spans="10:26" x14ac:dyDescent="0.2">
      <c r="J24" s="1">
        <f t="shared" si="1"/>
        <v>45537</v>
      </c>
      <c r="K24" s="3">
        <v>215</v>
      </c>
      <c r="L24" s="2">
        <v>62911</v>
      </c>
      <c r="M24" s="3">
        <v>1439</v>
      </c>
      <c r="N24" s="2">
        <v>512253</v>
      </c>
      <c r="O24" s="3">
        <f t="shared" si="2"/>
        <v>1654</v>
      </c>
      <c r="P24" s="2">
        <f t="shared" si="3"/>
        <v>575164</v>
      </c>
      <c r="Q24" s="6">
        <f t="shared" si="6"/>
        <v>0</v>
      </c>
      <c r="R24" s="6"/>
      <c r="S24" s="1">
        <f t="shared" si="0"/>
        <v>45173</v>
      </c>
      <c r="T24" s="3">
        <v>303</v>
      </c>
      <c r="U24" s="2">
        <v>80274</v>
      </c>
      <c r="V24" s="3">
        <v>1453</v>
      </c>
      <c r="W24" s="2">
        <v>496667</v>
      </c>
      <c r="X24" s="3">
        <f t="shared" si="4"/>
        <v>1756</v>
      </c>
      <c r="Y24" s="2">
        <f t="shared" si="5"/>
        <v>576941</v>
      </c>
      <c r="Z24" s="6">
        <f t="shared" si="7"/>
        <v>0</v>
      </c>
    </row>
    <row r="25" spans="10:26" x14ac:dyDescent="0.2">
      <c r="J25" s="1">
        <f t="shared" si="1"/>
        <v>45530</v>
      </c>
      <c r="K25" s="3">
        <v>215</v>
      </c>
      <c r="L25" s="2">
        <v>62911</v>
      </c>
      <c r="M25" s="3">
        <v>1439</v>
      </c>
      <c r="N25" s="2">
        <v>512253</v>
      </c>
      <c r="O25" s="3">
        <f t="shared" si="2"/>
        <v>1654</v>
      </c>
      <c r="P25" s="2">
        <f t="shared" si="3"/>
        <v>575164</v>
      </c>
      <c r="Q25" s="6">
        <f t="shared" si="6"/>
        <v>1222</v>
      </c>
      <c r="R25" s="6"/>
      <c r="S25" s="1">
        <f t="shared" si="0"/>
        <v>45166</v>
      </c>
      <c r="T25" s="3">
        <v>303</v>
      </c>
      <c r="U25" s="2">
        <v>80274</v>
      </c>
      <c r="V25" s="3">
        <v>1453</v>
      </c>
      <c r="W25" s="2">
        <v>496667</v>
      </c>
      <c r="X25" s="3">
        <f t="shared" si="4"/>
        <v>1756</v>
      </c>
      <c r="Y25" s="2">
        <f t="shared" si="5"/>
        <v>576941</v>
      </c>
      <c r="Z25" s="6">
        <f t="shared" si="7"/>
        <v>1281</v>
      </c>
    </row>
    <row r="26" spans="10:26" x14ac:dyDescent="0.2">
      <c r="J26" s="1">
        <f t="shared" si="1"/>
        <v>45523</v>
      </c>
      <c r="K26" s="3">
        <v>212</v>
      </c>
      <c r="L26" s="2">
        <v>61689</v>
      </c>
      <c r="M26" s="3">
        <v>1439</v>
      </c>
      <c r="N26" s="2">
        <v>512253</v>
      </c>
      <c r="O26" s="3">
        <f t="shared" si="2"/>
        <v>1651</v>
      </c>
      <c r="P26" s="2">
        <f t="shared" si="3"/>
        <v>573942</v>
      </c>
      <c r="Q26" s="6">
        <f t="shared" si="6"/>
        <v>868</v>
      </c>
      <c r="R26" s="6"/>
      <c r="S26" s="1">
        <f t="shared" si="0"/>
        <v>45159</v>
      </c>
      <c r="T26" s="3">
        <v>301</v>
      </c>
      <c r="U26" s="2">
        <v>79693</v>
      </c>
      <c r="V26" s="3">
        <v>1451</v>
      </c>
      <c r="W26" s="2">
        <v>495967</v>
      </c>
      <c r="X26" s="3">
        <f t="shared" si="4"/>
        <v>1752</v>
      </c>
      <c r="Y26" s="2">
        <f t="shared" si="5"/>
        <v>575660</v>
      </c>
      <c r="Z26" s="6">
        <f t="shared" si="7"/>
        <v>310</v>
      </c>
    </row>
    <row r="27" spans="10:26" x14ac:dyDescent="0.2">
      <c r="J27" s="1">
        <f t="shared" si="1"/>
        <v>45516</v>
      </c>
      <c r="K27" s="3">
        <v>212</v>
      </c>
      <c r="L27" s="2">
        <v>61689</v>
      </c>
      <c r="M27" s="3">
        <v>1437</v>
      </c>
      <c r="N27" s="2">
        <v>511385</v>
      </c>
      <c r="O27" s="3">
        <f t="shared" si="2"/>
        <v>1649</v>
      </c>
      <c r="P27" s="2">
        <f t="shared" si="3"/>
        <v>573074</v>
      </c>
      <c r="Q27" s="6">
        <f t="shared" si="6"/>
        <v>1350</v>
      </c>
      <c r="R27" s="6"/>
      <c r="S27" s="1">
        <f t="shared" si="0"/>
        <v>45152</v>
      </c>
      <c r="T27" s="3">
        <v>299</v>
      </c>
      <c r="U27" s="2">
        <v>79383</v>
      </c>
      <c r="V27" s="3">
        <v>1451</v>
      </c>
      <c r="W27" s="2">
        <v>495967</v>
      </c>
      <c r="X27" s="3">
        <f t="shared" si="4"/>
        <v>1750</v>
      </c>
      <c r="Y27" s="2">
        <f t="shared" si="5"/>
        <v>575350</v>
      </c>
      <c r="Z27" s="6">
        <f t="shared" si="7"/>
        <v>1180</v>
      </c>
    </row>
    <row r="28" spans="10:26" x14ac:dyDescent="0.2">
      <c r="J28" s="1">
        <f t="shared" si="1"/>
        <v>45509</v>
      </c>
      <c r="K28" s="3">
        <v>208</v>
      </c>
      <c r="L28" s="2">
        <v>60339</v>
      </c>
      <c r="M28" s="3">
        <v>1437</v>
      </c>
      <c r="N28" s="2">
        <v>511385</v>
      </c>
      <c r="O28" s="3">
        <f t="shared" si="2"/>
        <v>1645</v>
      </c>
      <c r="P28" s="2">
        <f t="shared" si="3"/>
        <v>571724</v>
      </c>
      <c r="Q28" s="6">
        <f t="shared" si="6"/>
        <v>480</v>
      </c>
      <c r="R28" s="6"/>
      <c r="S28" s="1">
        <f t="shared" si="0"/>
        <v>45145</v>
      </c>
      <c r="T28" s="3">
        <v>295</v>
      </c>
      <c r="U28" s="2">
        <v>78203</v>
      </c>
      <c r="V28" s="3">
        <v>1451</v>
      </c>
      <c r="W28" s="2">
        <v>495967</v>
      </c>
      <c r="X28" s="3">
        <f t="shared" si="4"/>
        <v>1746</v>
      </c>
      <c r="Y28" s="2">
        <f t="shared" si="5"/>
        <v>574170</v>
      </c>
      <c r="Z28" s="6">
        <f t="shared" si="7"/>
        <v>1259</v>
      </c>
    </row>
    <row r="29" spans="10:26" x14ac:dyDescent="0.2">
      <c r="J29" s="1">
        <f t="shared" si="1"/>
        <v>45502</v>
      </c>
      <c r="K29" s="3">
        <v>206</v>
      </c>
      <c r="L29" s="2">
        <v>59859</v>
      </c>
      <c r="M29" s="3">
        <v>1437</v>
      </c>
      <c r="N29" s="2">
        <v>511385</v>
      </c>
      <c r="O29" s="3">
        <f t="shared" si="2"/>
        <v>1643</v>
      </c>
      <c r="P29" s="2">
        <f t="shared" si="3"/>
        <v>571244</v>
      </c>
      <c r="Q29" s="6">
        <f t="shared" si="6"/>
        <v>0</v>
      </c>
      <c r="R29" s="6"/>
      <c r="S29" s="1">
        <f t="shared" si="0"/>
        <v>45138</v>
      </c>
      <c r="T29" s="3">
        <v>291</v>
      </c>
      <c r="U29" s="2">
        <v>77524</v>
      </c>
      <c r="V29" s="3">
        <v>1449</v>
      </c>
      <c r="W29" s="2">
        <v>495387</v>
      </c>
      <c r="X29" s="3">
        <f t="shared" si="4"/>
        <v>1740</v>
      </c>
      <c r="Y29" s="2">
        <f t="shared" si="5"/>
        <v>572911</v>
      </c>
      <c r="Z29" s="6">
        <f t="shared" si="7"/>
        <v>2065</v>
      </c>
    </row>
    <row r="30" spans="10:26" x14ac:dyDescent="0.2">
      <c r="J30" s="1">
        <f t="shared" si="1"/>
        <v>45495</v>
      </c>
      <c r="K30" s="3">
        <v>204</v>
      </c>
      <c r="L30" s="2">
        <v>59859</v>
      </c>
      <c r="M30" s="3">
        <v>1437</v>
      </c>
      <c r="N30" s="2">
        <v>511385</v>
      </c>
      <c r="O30" s="3">
        <f t="shared" si="2"/>
        <v>1641</v>
      </c>
      <c r="P30" s="2">
        <f t="shared" si="3"/>
        <v>571244</v>
      </c>
      <c r="Q30" s="6">
        <f t="shared" si="6"/>
        <v>839</v>
      </c>
      <c r="R30" s="6"/>
      <c r="S30" s="1">
        <f t="shared" si="0"/>
        <v>45131</v>
      </c>
      <c r="T30" s="3">
        <v>284</v>
      </c>
      <c r="U30" s="2">
        <v>75939</v>
      </c>
      <c r="V30" s="3">
        <v>1447</v>
      </c>
      <c r="W30" s="2">
        <v>494907</v>
      </c>
      <c r="X30" s="3">
        <f t="shared" si="4"/>
        <v>1731</v>
      </c>
      <c r="Y30" s="2">
        <f t="shared" si="5"/>
        <v>570846</v>
      </c>
      <c r="Z30" s="6">
        <f t="shared" si="7"/>
        <v>1539</v>
      </c>
    </row>
    <row r="31" spans="10:26" x14ac:dyDescent="0.2">
      <c r="J31" s="1">
        <f t="shared" si="1"/>
        <v>45488</v>
      </c>
      <c r="K31" s="3">
        <v>202</v>
      </c>
      <c r="L31" s="2">
        <v>59020</v>
      </c>
      <c r="M31" s="3">
        <v>1437</v>
      </c>
      <c r="N31" s="2">
        <v>511385</v>
      </c>
      <c r="O31" s="3">
        <f t="shared" si="2"/>
        <v>1639</v>
      </c>
      <c r="P31" s="2">
        <f t="shared" si="3"/>
        <v>570405</v>
      </c>
      <c r="Q31" s="6">
        <f t="shared" si="6"/>
        <v>1012</v>
      </c>
      <c r="R31" s="6"/>
      <c r="S31" s="1">
        <f t="shared" si="0"/>
        <v>45124</v>
      </c>
      <c r="T31" s="3">
        <v>276</v>
      </c>
      <c r="U31" s="2">
        <v>74400</v>
      </c>
      <c r="V31" s="3">
        <v>1447</v>
      </c>
      <c r="W31" s="2">
        <v>494907</v>
      </c>
      <c r="X31" s="3">
        <f t="shared" si="4"/>
        <v>1723</v>
      </c>
      <c r="Y31" s="2">
        <f t="shared" si="5"/>
        <v>569307</v>
      </c>
      <c r="Z31" s="6">
        <f t="shared" si="7"/>
        <v>1210</v>
      </c>
    </row>
    <row r="32" spans="10:26" x14ac:dyDescent="0.2">
      <c r="J32" s="1">
        <f t="shared" si="1"/>
        <v>45481</v>
      </c>
      <c r="K32" s="3">
        <v>200</v>
      </c>
      <c r="L32" s="2">
        <v>58440</v>
      </c>
      <c r="M32" s="3">
        <v>1435</v>
      </c>
      <c r="N32" s="2">
        <v>510953</v>
      </c>
      <c r="O32" s="3">
        <f t="shared" si="2"/>
        <v>1635</v>
      </c>
      <c r="P32" s="2">
        <f t="shared" si="3"/>
        <v>569393</v>
      </c>
      <c r="Q32" s="6">
        <f t="shared" si="6"/>
        <v>1085</v>
      </c>
      <c r="R32" s="6"/>
      <c r="S32" s="1">
        <f t="shared" si="0"/>
        <v>45117</v>
      </c>
      <c r="T32" s="3">
        <v>272</v>
      </c>
      <c r="U32" s="2">
        <v>73190</v>
      </c>
      <c r="V32" s="3">
        <v>1447</v>
      </c>
      <c r="W32" s="2">
        <v>494907</v>
      </c>
      <c r="X32" s="3">
        <f t="shared" si="4"/>
        <v>1719</v>
      </c>
      <c r="Y32" s="2">
        <f t="shared" si="5"/>
        <v>568097</v>
      </c>
      <c r="Z32" s="6">
        <f t="shared" si="7"/>
        <v>2285</v>
      </c>
    </row>
    <row r="33" spans="1:26" x14ac:dyDescent="0.2">
      <c r="J33" s="1">
        <f t="shared" si="1"/>
        <v>45474</v>
      </c>
      <c r="K33" s="3">
        <v>193</v>
      </c>
      <c r="L33" s="2">
        <v>57355</v>
      </c>
      <c r="M33" s="3">
        <v>1435</v>
      </c>
      <c r="N33" s="2">
        <v>510953</v>
      </c>
      <c r="O33" s="3">
        <f t="shared" si="2"/>
        <v>1628</v>
      </c>
      <c r="P33" s="2">
        <f t="shared" si="3"/>
        <v>568308</v>
      </c>
      <c r="Q33" s="6">
        <f t="shared" si="6"/>
        <v>0</v>
      </c>
      <c r="R33" s="6"/>
      <c r="S33" s="1">
        <f t="shared" ref="S33:S53" si="8">S34+7</f>
        <v>45110</v>
      </c>
      <c r="T33" s="3">
        <v>268</v>
      </c>
      <c r="U33" s="2">
        <v>71780</v>
      </c>
      <c r="V33" s="3">
        <v>1442</v>
      </c>
      <c r="W33" s="2">
        <v>494032</v>
      </c>
      <c r="X33" s="3">
        <f t="shared" si="4"/>
        <v>1710</v>
      </c>
      <c r="Y33" s="2">
        <f t="shared" si="5"/>
        <v>565812</v>
      </c>
      <c r="Z33" s="6">
        <f t="shared" si="7"/>
        <v>0</v>
      </c>
    </row>
    <row r="34" spans="1:26" x14ac:dyDescent="0.2">
      <c r="J34" s="1">
        <f t="shared" si="1"/>
        <v>45467</v>
      </c>
      <c r="K34" s="3">
        <v>193</v>
      </c>
      <c r="L34" s="2">
        <v>57355</v>
      </c>
      <c r="M34" s="3">
        <v>1435</v>
      </c>
      <c r="N34" s="2">
        <v>510953</v>
      </c>
      <c r="O34" s="3">
        <f t="shared" si="2"/>
        <v>1628</v>
      </c>
      <c r="P34" s="2">
        <f t="shared" si="3"/>
        <v>568308</v>
      </c>
      <c r="Q34" s="6">
        <f t="shared" si="6"/>
        <v>385</v>
      </c>
      <c r="R34" s="6"/>
      <c r="S34" s="1">
        <f t="shared" si="8"/>
        <v>45103</v>
      </c>
      <c r="T34" s="3">
        <v>268</v>
      </c>
      <c r="U34" s="2">
        <v>71780</v>
      </c>
      <c r="V34" s="3">
        <v>1442</v>
      </c>
      <c r="W34" s="2">
        <v>494032</v>
      </c>
      <c r="X34" s="3">
        <f t="shared" si="4"/>
        <v>1710</v>
      </c>
      <c r="Y34" s="2">
        <f t="shared" si="5"/>
        <v>565812</v>
      </c>
      <c r="Z34" s="6">
        <f t="shared" si="7"/>
        <v>360</v>
      </c>
    </row>
    <row r="35" spans="1:26" x14ac:dyDescent="0.2">
      <c r="J35" s="1">
        <f t="shared" si="1"/>
        <v>45460</v>
      </c>
      <c r="K35" s="3">
        <v>193</v>
      </c>
      <c r="L35" s="2">
        <v>57355</v>
      </c>
      <c r="M35" s="3">
        <v>1434</v>
      </c>
      <c r="N35" s="2">
        <v>510568</v>
      </c>
      <c r="O35" s="3">
        <f t="shared" si="2"/>
        <v>1627</v>
      </c>
      <c r="P35" s="2">
        <f t="shared" si="3"/>
        <v>567923</v>
      </c>
      <c r="Q35" s="6">
        <f t="shared" si="6"/>
        <v>6547</v>
      </c>
      <c r="R35" s="6"/>
      <c r="S35" s="1">
        <f t="shared" si="8"/>
        <v>45096</v>
      </c>
      <c r="T35" s="3">
        <v>266</v>
      </c>
      <c r="U35" s="2">
        <v>71420</v>
      </c>
      <c r="V35" s="3">
        <v>1442</v>
      </c>
      <c r="W35" s="2">
        <v>494032</v>
      </c>
      <c r="X35" s="3">
        <f t="shared" si="4"/>
        <v>1708</v>
      </c>
      <c r="Y35" s="2">
        <f t="shared" si="5"/>
        <v>565452</v>
      </c>
      <c r="Z35" s="6">
        <f t="shared" si="7"/>
        <v>5725</v>
      </c>
    </row>
    <row r="36" spans="1:26" x14ac:dyDescent="0.2">
      <c r="J36" s="1">
        <f t="shared" si="1"/>
        <v>45453</v>
      </c>
      <c r="K36" s="3">
        <v>187</v>
      </c>
      <c r="L36" s="2">
        <v>55826</v>
      </c>
      <c r="M36" s="3">
        <v>1418</v>
      </c>
      <c r="N36" s="2">
        <v>505550</v>
      </c>
      <c r="O36" s="3">
        <f t="shared" si="2"/>
        <v>1605</v>
      </c>
      <c r="P36" s="2">
        <f t="shared" si="3"/>
        <v>561376</v>
      </c>
      <c r="Q36" s="6">
        <f t="shared" si="6"/>
        <v>7447</v>
      </c>
      <c r="R36" s="6"/>
      <c r="S36" s="1">
        <f t="shared" si="8"/>
        <v>45089</v>
      </c>
      <c r="T36" s="3">
        <v>264</v>
      </c>
      <c r="U36" s="2">
        <v>70745</v>
      </c>
      <c r="V36" s="3">
        <v>1427</v>
      </c>
      <c r="W36" s="2">
        <v>488982</v>
      </c>
      <c r="X36" s="3">
        <f t="shared" si="4"/>
        <v>1691</v>
      </c>
      <c r="Y36" s="2">
        <f t="shared" si="5"/>
        <v>559727</v>
      </c>
      <c r="Z36" s="6">
        <f t="shared" si="7"/>
        <v>4928</v>
      </c>
    </row>
    <row r="37" spans="1:26" x14ac:dyDescent="0.2">
      <c r="J37" s="1">
        <f t="shared" si="1"/>
        <v>45446</v>
      </c>
      <c r="K37" s="3">
        <v>172</v>
      </c>
      <c r="L37" s="2">
        <v>51234</v>
      </c>
      <c r="M37" s="3">
        <v>1411</v>
      </c>
      <c r="N37" s="2">
        <v>502695</v>
      </c>
      <c r="O37" s="3">
        <f t="shared" si="2"/>
        <v>1583</v>
      </c>
      <c r="P37" s="2">
        <f t="shared" si="3"/>
        <v>553929</v>
      </c>
      <c r="Q37" s="6">
        <f t="shared" si="6"/>
        <v>8109</v>
      </c>
      <c r="R37" s="6"/>
      <c r="S37" s="1">
        <f t="shared" si="8"/>
        <v>45082</v>
      </c>
      <c r="T37" s="3">
        <v>252</v>
      </c>
      <c r="U37" s="2">
        <v>67156</v>
      </c>
      <c r="V37" s="3">
        <v>1421</v>
      </c>
      <c r="W37" s="2">
        <v>487643</v>
      </c>
      <c r="X37" s="3">
        <f t="shared" si="4"/>
        <v>1673</v>
      </c>
      <c r="Y37" s="2">
        <f t="shared" si="5"/>
        <v>554799</v>
      </c>
      <c r="Z37" s="6">
        <f t="shared" si="7"/>
        <v>940</v>
      </c>
    </row>
    <row r="38" spans="1:26" x14ac:dyDescent="0.2">
      <c r="J38" s="1">
        <f t="shared" si="1"/>
        <v>45439</v>
      </c>
      <c r="K38" s="3">
        <v>160</v>
      </c>
      <c r="L38" s="2">
        <v>48485</v>
      </c>
      <c r="M38" s="3">
        <v>1395</v>
      </c>
      <c r="N38" s="2">
        <v>497335</v>
      </c>
      <c r="O38" s="3">
        <f t="shared" si="2"/>
        <v>1555</v>
      </c>
      <c r="P38" s="2">
        <f t="shared" si="3"/>
        <v>545820</v>
      </c>
      <c r="Q38" s="6">
        <f t="shared" si="6"/>
        <v>52486</v>
      </c>
      <c r="R38" s="6"/>
      <c r="S38" s="1">
        <f t="shared" si="8"/>
        <v>45075</v>
      </c>
      <c r="T38" s="3">
        <v>250</v>
      </c>
      <c r="U38" s="2">
        <v>66526</v>
      </c>
      <c r="V38" s="3">
        <v>1419</v>
      </c>
      <c r="W38" s="2">
        <v>487333</v>
      </c>
      <c r="X38" s="3">
        <f t="shared" si="4"/>
        <v>1669</v>
      </c>
      <c r="Y38" s="2">
        <f t="shared" si="5"/>
        <v>553859</v>
      </c>
      <c r="Z38" s="6">
        <f t="shared" si="7"/>
        <v>2306</v>
      </c>
    </row>
    <row r="39" spans="1:26" x14ac:dyDescent="0.2">
      <c r="J39" s="1">
        <f t="shared" si="1"/>
        <v>45432</v>
      </c>
      <c r="K39" s="3">
        <v>127</v>
      </c>
      <c r="L39" s="2">
        <v>40518</v>
      </c>
      <c r="M39" s="3">
        <v>1267</v>
      </c>
      <c r="N39" s="2">
        <v>452816</v>
      </c>
      <c r="O39" s="3">
        <f t="shared" si="2"/>
        <v>1394</v>
      </c>
      <c r="P39" s="2">
        <f t="shared" si="3"/>
        <v>493334</v>
      </c>
      <c r="Q39" s="6">
        <f t="shared" si="6"/>
        <v>84293</v>
      </c>
      <c r="R39" s="6"/>
      <c r="S39" s="1">
        <f t="shared" si="8"/>
        <v>45068</v>
      </c>
      <c r="T39" s="3">
        <v>243</v>
      </c>
      <c r="U39" s="2">
        <v>65360</v>
      </c>
      <c r="V39" s="3">
        <v>1415</v>
      </c>
      <c r="W39" s="2">
        <v>486193</v>
      </c>
      <c r="X39" s="3">
        <f t="shared" si="4"/>
        <v>1658</v>
      </c>
      <c r="Y39" s="2">
        <f t="shared" si="5"/>
        <v>551553</v>
      </c>
      <c r="Z39" s="6">
        <f t="shared" si="7"/>
        <v>3822</v>
      </c>
    </row>
    <row r="40" spans="1:26" x14ac:dyDescent="0.2">
      <c r="A40" s="1">
        <v>45789</v>
      </c>
      <c r="B40" s="9">
        <v>165</v>
      </c>
      <c r="C40" s="10">
        <v>54301</v>
      </c>
      <c r="D40" s="9">
        <v>1365</v>
      </c>
      <c r="E40" s="10">
        <v>525805</v>
      </c>
      <c r="F40" s="9">
        <f t="shared" ref="F40:F50" si="9">B40+D40</f>
        <v>1530</v>
      </c>
      <c r="G40" s="10">
        <f t="shared" ref="G40:G50" si="10">C40+E40</f>
        <v>580106</v>
      </c>
      <c r="H40" s="11">
        <f>G40-G41</f>
        <v>6180</v>
      </c>
      <c r="I40" s="11"/>
      <c r="J40" s="1">
        <f t="shared" si="1"/>
        <v>45425</v>
      </c>
      <c r="K40" s="3">
        <v>113</v>
      </c>
      <c r="L40" s="2">
        <v>36672</v>
      </c>
      <c r="M40" s="3">
        <v>1031</v>
      </c>
      <c r="N40" s="2">
        <v>372369</v>
      </c>
      <c r="O40" s="3">
        <f t="shared" si="2"/>
        <v>1144</v>
      </c>
      <c r="P40" s="2">
        <f t="shared" si="3"/>
        <v>409041</v>
      </c>
      <c r="Q40" s="6">
        <f t="shared" si="6"/>
        <v>82849</v>
      </c>
      <c r="R40" s="6"/>
      <c r="S40" s="1">
        <f t="shared" si="8"/>
        <v>45061</v>
      </c>
      <c r="T40" s="3">
        <v>231</v>
      </c>
      <c r="U40" s="2">
        <v>62238</v>
      </c>
      <c r="V40" s="3">
        <v>1413</v>
      </c>
      <c r="W40" s="2">
        <v>485493</v>
      </c>
      <c r="X40" s="3">
        <f t="shared" si="4"/>
        <v>1644</v>
      </c>
      <c r="Y40" s="2">
        <f t="shared" si="5"/>
        <v>547731</v>
      </c>
      <c r="Z40" s="6">
        <f t="shared" si="7"/>
        <v>5890</v>
      </c>
    </row>
    <row r="41" spans="1:26" x14ac:dyDescent="0.2">
      <c r="A41" s="1">
        <v>45782</v>
      </c>
      <c r="B41" s="9">
        <v>157</v>
      </c>
      <c r="C41" s="10">
        <v>51765</v>
      </c>
      <c r="D41" s="9">
        <v>1358</v>
      </c>
      <c r="E41" s="10">
        <v>522161</v>
      </c>
      <c r="F41" s="9">
        <f t="shared" si="9"/>
        <v>1515</v>
      </c>
      <c r="G41" s="10">
        <f t="shared" si="10"/>
        <v>573926</v>
      </c>
      <c r="H41" s="11">
        <f t="shared" ref="H41:H50" si="11">G41-G42</f>
        <v>32141</v>
      </c>
      <c r="I41" s="11"/>
      <c r="J41" s="1">
        <f t="shared" si="1"/>
        <v>45418</v>
      </c>
      <c r="K41" s="3">
        <v>98</v>
      </c>
      <c r="L41" s="2">
        <v>31472</v>
      </c>
      <c r="M41" s="3">
        <v>806</v>
      </c>
      <c r="N41" s="2">
        <v>294720</v>
      </c>
      <c r="O41" s="3">
        <f t="shared" si="2"/>
        <v>904</v>
      </c>
      <c r="P41" s="2">
        <f t="shared" si="3"/>
        <v>326192</v>
      </c>
      <c r="Q41" s="6">
        <f t="shared" si="6"/>
        <v>121581</v>
      </c>
      <c r="R41" s="6"/>
      <c r="S41" s="1">
        <f t="shared" si="8"/>
        <v>45054</v>
      </c>
      <c r="T41" s="3">
        <v>213</v>
      </c>
      <c r="U41" s="2">
        <v>56828</v>
      </c>
      <c r="V41" s="3">
        <v>1411</v>
      </c>
      <c r="W41" s="2">
        <v>485013</v>
      </c>
      <c r="X41" s="3">
        <f t="shared" si="4"/>
        <v>1624</v>
      </c>
      <c r="Y41" s="2">
        <f t="shared" si="5"/>
        <v>541841</v>
      </c>
      <c r="Z41" s="6">
        <f t="shared" si="7"/>
        <v>5250</v>
      </c>
    </row>
    <row r="42" spans="1:26" x14ac:dyDescent="0.2">
      <c r="A42" s="1">
        <f>A43+7</f>
        <v>45775</v>
      </c>
      <c r="B42" s="3">
        <v>118</v>
      </c>
      <c r="C42" s="2">
        <v>38918</v>
      </c>
      <c r="D42" s="3">
        <v>1300</v>
      </c>
      <c r="E42" s="2">
        <v>502867</v>
      </c>
      <c r="F42" s="3">
        <f t="shared" si="9"/>
        <v>1418</v>
      </c>
      <c r="G42" s="2">
        <f t="shared" si="10"/>
        <v>541785</v>
      </c>
      <c r="H42" s="11">
        <f t="shared" si="11"/>
        <v>103007</v>
      </c>
      <c r="I42" s="5"/>
      <c r="J42" s="1">
        <f t="shared" si="1"/>
        <v>45411</v>
      </c>
      <c r="K42" s="3">
        <v>86</v>
      </c>
      <c r="L42" s="2">
        <v>26557</v>
      </c>
      <c r="M42" s="3">
        <v>476</v>
      </c>
      <c r="N42" s="2">
        <v>178054</v>
      </c>
      <c r="O42" s="3">
        <f t="shared" si="2"/>
        <v>562</v>
      </c>
      <c r="P42" s="2">
        <f t="shared" si="3"/>
        <v>204611</v>
      </c>
      <c r="Q42" s="6">
        <f t="shared" si="6"/>
        <v>31946</v>
      </c>
      <c r="R42" s="6"/>
      <c r="S42" s="1">
        <f t="shared" si="8"/>
        <v>45047</v>
      </c>
      <c r="T42" s="3">
        <v>203</v>
      </c>
      <c r="U42" s="2">
        <v>54498</v>
      </c>
      <c r="V42" s="3">
        <v>1403</v>
      </c>
      <c r="W42" s="2">
        <v>482093</v>
      </c>
      <c r="X42" s="3">
        <f t="shared" si="4"/>
        <v>1606</v>
      </c>
      <c r="Y42" s="2">
        <f t="shared" si="5"/>
        <v>536591</v>
      </c>
      <c r="Z42" s="6">
        <f t="shared" si="7"/>
        <v>4131</v>
      </c>
    </row>
    <row r="43" spans="1:26" x14ac:dyDescent="0.2">
      <c r="A43" s="1">
        <v>45768</v>
      </c>
      <c r="B43" s="3">
        <v>60</v>
      </c>
      <c r="C43" s="2">
        <v>20782</v>
      </c>
      <c r="D43" s="3">
        <v>1067</v>
      </c>
      <c r="E43" s="2">
        <v>417996</v>
      </c>
      <c r="F43" s="3">
        <f t="shared" si="9"/>
        <v>1127</v>
      </c>
      <c r="G43" s="2">
        <f t="shared" si="10"/>
        <v>438778</v>
      </c>
      <c r="H43" s="11">
        <f t="shared" si="11"/>
        <v>66413</v>
      </c>
      <c r="I43" s="5"/>
      <c r="J43" s="1">
        <v>45404</v>
      </c>
      <c r="K43" s="3">
        <v>86</v>
      </c>
      <c r="L43" s="2">
        <v>26557</v>
      </c>
      <c r="M43" s="3">
        <v>389</v>
      </c>
      <c r="N43" s="2">
        <v>146108</v>
      </c>
      <c r="O43" s="3">
        <f t="shared" si="2"/>
        <v>475</v>
      </c>
      <c r="P43" s="2">
        <f t="shared" si="3"/>
        <v>172665</v>
      </c>
      <c r="Q43" s="6">
        <f t="shared" si="6"/>
        <v>46938</v>
      </c>
      <c r="R43" s="6"/>
      <c r="S43" s="1">
        <f t="shared" si="8"/>
        <v>45040</v>
      </c>
      <c r="T43" s="3">
        <v>190</v>
      </c>
      <c r="U43" s="2">
        <v>51654</v>
      </c>
      <c r="V43" s="3">
        <v>1398</v>
      </c>
      <c r="W43" s="2">
        <v>480806</v>
      </c>
      <c r="X43" s="3">
        <f t="shared" si="4"/>
        <v>1588</v>
      </c>
      <c r="Y43" s="2">
        <f t="shared" si="5"/>
        <v>532460</v>
      </c>
      <c r="Z43" s="6">
        <f t="shared" si="7"/>
        <v>11363</v>
      </c>
    </row>
    <row r="44" spans="1:26" x14ac:dyDescent="0.2">
      <c r="A44" s="1">
        <v>45761</v>
      </c>
      <c r="B44" s="3">
        <v>54</v>
      </c>
      <c r="C44" s="2">
        <v>19061</v>
      </c>
      <c r="D44" s="3">
        <v>893</v>
      </c>
      <c r="E44" s="2">
        <v>353304</v>
      </c>
      <c r="F44" s="3">
        <f t="shared" si="9"/>
        <v>947</v>
      </c>
      <c r="G44" s="2">
        <f t="shared" si="10"/>
        <v>372365</v>
      </c>
      <c r="H44" s="11">
        <f t="shared" si="11"/>
        <v>45183</v>
      </c>
      <c r="I44" s="5"/>
      <c r="J44" s="1">
        <f>J43-7</f>
        <v>45397</v>
      </c>
      <c r="K44" s="3">
        <v>66</v>
      </c>
      <c r="L44" s="2">
        <v>20302</v>
      </c>
      <c r="M44" s="3">
        <v>283</v>
      </c>
      <c r="N44" s="2">
        <v>105425</v>
      </c>
      <c r="O44" s="3">
        <f t="shared" si="2"/>
        <v>349</v>
      </c>
      <c r="P44" s="2">
        <f t="shared" si="3"/>
        <v>125727</v>
      </c>
      <c r="Q44" s="6">
        <f t="shared" si="6"/>
        <v>39503</v>
      </c>
      <c r="R44" s="6"/>
      <c r="S44" s="1">
        <f t="shared" si="8"/>
        <v>45033</v>
      </c>
      <c r="T44" s="3">
        <v>159</v>
      </c>
      <c r="U44" s="2">
        <v>42701</v>
      </c>
      <c r="V44" s="3">
        <v>1389</v>
      </c>
      <c r="W44" s="2">
        <v>478396</v>
      </c>
      <c r="X44" s="3">
        <f t="shared" si="4"/>
        <v>1548</v>
      </c>
      <c r="Y44" s="2">
        <f t="shared" si="5"/>
        <v>521097</v>
      </c>
      <c r="Z44" s="6">
        <f t="shared" si="7"/>
        <v>10049</v>
      </c>
    </row>
    <row r="45" spans="1:26" x14ac:dyDescent="0.2">
      <c r="A45" s="1">
        <v>45754</v>
      </c>
      <c r="B45" s="3">
        <v>44</v>
      </c>
      <c r="C45" s="2">
        <v>14651</v>
      </c>
      <c r="D45" s="3">
        <v>785</v>
      </c>
      <c r="E45" s="2">
        <v>312531</v>
      </c>
      <c r="F45" s="3">
        <f t="shared" si="9"/>
        <v>829</v>
      </c>
      <c r="G45" s="2">
        <f t="shared" si="10"/>
        <v>327182</v>
      </c>
      <c r="H45" s="11">
        <f t="shared" si="11"/>
        <v>55237</v>
      </c>
      <c r="I45" s="5"/>
      <c r="J45" s="1">
        <f>J44-7</f>
        <v>45390</v>
      </c>
      <c r="K45" s="3">
        <v>54</v>
      </c>
      <c r="L45" s="2">
        <v>17576</v>
      </c>
      <c r="M45" s="3">
        <v>181</v>
      </c>
      <c r="N45" s="2">
        <v>68648</v>
      </c>
      <c r="O45" s="3">
        <f t="shared" si="2"/>
        <v>235</v>
      </c>
      <c r="P45" s="2">
        <f t="shared" si="3"/>
        <v>86224</v>
      </c>
      <c r="Q45" s="6">
        <f t="shared" si="6"/>
        <v>57902</v>
      </c>
      <c r="R45" s="4"/>
      <c r="S45" s="1">
        <f t="shared" si="8"/>
        <v>45026</v>
      </c>
      <c r="T45" s="3">
        <v>142</v>
      </c>
      <c r="U45" s="2">
        <v>39344</v>
      </c>
      <c r="V45" s="3">
        <v>1365</v>
      </c>
      <c r="W45" s="2">
        <v>471704</v>
      </c>
      <c r="X45" s="3">
        <f t="shared" si="4"/>
        <v>1507</v>
      </c>
      <c r="Y45" s="2">
        <f t="shared" si="5"/>
        <v>511048</v>
      </c>
      <c r="Z45" s="6">
        <f t="shared" si="7"/>
        <v>8561</v>
      </c>
    </row>
    <row r="46" spans="1:26" x14ac:dyDescent="0.2">
      <c r="A46" s="1">
        <v>45747</v>
      </c>
      <c r="B46" s="3">
        <v>38</v>
      </c>
      <c r="C46" s="2">
        <v>13163</v>
      </c>
      <c r="D46" s="3">
        <v>636</v>
      </c>
      <c r="E46" s="2">
        <v>258782</v>
      </c>
      <c r="F46" s="3">
        <f t="shared" si="9"/>
        <v>674</v>
      </c>
      <c r="G46" s="2">
        <f t="shared" si="10"/>
        <v>271945</v>
      </c>
      <c r="H46" s="11">
        <f t="shared" si="11"/>
        <v>78516</v>
      </c>
      <c r="I46" s="5"/>
      <c r="J46" s="1">
        <f>J45-7</f>
        <v>45383</v>
      </c>
      <c r="K46" s="3">
        <v>2</v>
      </c>
      <c r="L46" s="2">
        <v>648</v>
      </c>
      <c r="M46" s="3">
        <v>68</v>
      </c>
      <c r="N46" s="2">
        <v>27674</v>
      </c>
      <c r="O46" s="3">
        <f t="shared" si="2"/>
        <v>70</v>
      </c>
      <c r="P46" s="2">
        <f t="shared" si="3"/>
        <v>28322</v>
      </c>
      <c r="Q46" s="6">
        <f t="shared" si="6"/>
        <v>9548</v>
      </c>
      <c r="S46" s="1">
        <f t="shared" si="8"/>
        <v>45019</v>
      </c>
      <c r="T46" s="3">
        <v>128</v>
      </c>
      <c r="U46" s="2">
        <v>36969</v>
      </c>
      <c r="V46" s="3">
        <v>1345</v>
      </c>
      <c r="W46" s="2">
        <v>465518</v>
      </c>
      <c r="X46" s="3">
        <f t="shared" si="4"/>
        <v>1473</v>
      </c>
      <c r="Y46" s="2">
        <f t="shared" si="5"/>
        <v>502487</v>
      </c>
      <c r="Z46" s="6">
        <f t="shared" si="7"/>
        <v>12395</v>
      </c>
    </row>
    <row r="47" spans="1:26" x14ac:dyDescent="0.2">
      <c r="A47" s="1">
        <f>A46-7</f>
        <v>45740</v>
      </c>
      <c r="B47" s="3">
        <v>24</v>
      </c>
      <c r="C47" s="2">
        <v>7172</v>
      </c>
      <c r="D47" s="3">
        <v>449</v>
      </c>
      <c r="E47" s="2">
        <v>186257</v>
      </c>
      <c r="F47" s="3">
        <f t="shared" si="9"/>
        <v>473</v>
      </c>
      <c r="G47" s="2">
        <f t="shared" si="10"/>
        <v>193429</v>
      </c>
      <c r="H47" s="11">
        <f t="shared" si="11"/>
        <v>96280</v>
      </c>
      <c r="I47" s="5"/>
      <c r="J47" s="1">
        <f>J46-7</f>
        <v>45376</v>
      </c>
      <c r="K47" s="3">
        <v>0</v>
      </c>
      <c r="L47" s="2">
        <v>0</v>
      </c>
      <c r="M47" s="3">
        <v>45</v>
      </c>
      <c r="N47" s="2">
        <v>18774</v>
      </c>
      <c r="O47" s="3">
        <f t="shared" si="2"/>
        <v>45</v>
      </c>
      <c r="P47" s="2">
        <f t="shared" si="3"/>
        <v>18774</v>
      </c>
      <c r="Q47" s="6">
        <f t="shared" si="6"/>
        <v>15084</v>
      </c>
      <c r="S47" s="1">
        <f t="shared" si="8"/>
        <v>45012</v>
      </c>
      <c r="T47" s="3">
        <v>103</v>
      </c>
      <c r="U47" s="2">
        <v>31355</v>
      </c>
      <c r="V47" s="3">
        <v>1317</v>
      </c>
      <c r="W47" s="2">
        <v>458737</v>
      </c>
      <c r="X47" s="3">
        <f t="shared" si="4"/>
        <v>1420</v>
      </c>
      <c r="Y47" s="2">
        <f t="shared" si="5"/>
        <v>490092</v>
      </c>
      <c r="Z47" s="6">
        <f t="shared" si="7"/>
        <v>13889</v>
      </c>
    </row>
    <row r="48" spans="1:26" x14ac:dyDescent="0.2">
      <c r="A48" s="1">
        <f>A47-7</f>
        <v>45733</v>
      </c>
      <c r="B48" s="3">
        <v>19</v>
      </c>
      <c r="C48" s="2">
        <v>5802</v>
      </c>
      <c r="D48" s="3">
        <v>220</v>
      </c>
      <c r="E48" s="2">
        <v>91347</v>
      </c>
      <c r="F48" s="3">
        <f t="shared" si="9"/>
        <v>239</v>
      </c>
      <c r="G48" s="2">
        <f t="shared" si="10"/>
        <v>97149</v>
      </c>
      <c r="H48" s="11">
        <f t="shared" si="11"/>
        <v>57658</v>
      </c>
      <c r="J48" s="1">
        <f t="shared" ref="J48:J50" si="12">J47-7</f>
        <v>45369</v>
      </c>
      <c r="K48" s="3">
        <v>0</v>
      </c>
      <c r="L48" s="2">
        <v>0</v>
      </c>
      <c r="M48" s="3">
        <v>10</v>
      </c>
      <c r="N48" s="2">
        <v>3690</v>
      </c>
      <c r="O48" s="3">
        <f t="shared" si="2"/>
        <v>10</v>
      </c>
      <c r="P48" s="2">
        <f t="shared" si="3"/>
        <v>3690</v>
      </c>
      <c r="Q48" s="6">
        <f t="shared" si="6"/>
        <v>1730</v>
      </c>
      <c r="S48" s="1">
        <f t="shared" si="8"/>
        <v>45005</v>
      </c>
      <c r="T48" s="3">
        <v>92</v>
      </c>
      <c r="U48" s="2">
        <v>28290</v>
      </c>
      <c r="V48" s="3">
        <v>1281</v>
      </c>
      <c r="W48" s="2">
        <v>447913</v>
      </c>
      <c r="X48" s="3">
        <f t="shared" si="4"/>
        <v>1373</v>
      </c>
      <c r="Y48" s="2">
        <f t="shared" si="5"/>
        <v>476203</v>
      </c>
      <c r="Z48" s="6">
        <f t="shared" si="7"/>
        <v>79256</v>
      </c>
    </row>
    <row r="49" spans="1:26" x14ac:dyDescent="0.2">
      <c r="A49" s="1">
        <f>A48-7</f>
        <v>45726</v>
      </c>
      <c r="B49" s="3">
        <v>15</v>
      </c>
      <c r="C49" s="2">
        <v>4992</v>
      </c>
      <c r="D49" s="3">
        <v>83</v>
      </c>
      <c r="E49" s="2">
        <v>34499</v>
      </c>
      <c r="F49" s="3">
        <f t="shared" si="9"/>
        <v>98</v>
      </c>
      <c r="G49" s="2">
        <f t="shared" si="10"/>
        <v>39491</v>
      </c>
      <c r="H49" s="11">
        <f t="shared" si="11"/>
        <v>17874</v>
      </c>
      <c r="J49" s="1">
        <f t="shared" si="12"/>
        <v>45362</v>
      </c>
      <c r="K49" s="3">
        <v>0</v>
      </c>
      <c r="L49" s="2">
        <v>0</v>
      </c>
      <c r="M49" s="3">
        <v>4</v>
      </c>
      <c r="N49" s="2">
        <v>1960</v>
      </c>
      <c r="O49" s="3">
        <f t="shared" si="2"/>
        <v>4</v>
      </c>
      <c r="P49" s="2">
        <f t="shared" si="3"/>
        <v>1960</v>
      </c>
      <c r="Q49" s="6">
        <f t="shared" si="6"/>
        <v>980</v>
      </c>
      <c r="S49" s="1">
        <f t="shared" si="8"/>
        <v>44998</v>
      </c>
      <c r="T49" s="3">
        <v>76</v>
      </c>
      <c r="U49" s="2">
        <v>24583</v>
      </c>
      <c r="V49" s="3">
        <v>1056</v>
      </c>
      <c r="W49" s="2">
        <v>372364</v>
      </c>
      <c r="X49" s="3">
        <f t="shared" si="4"/>
        <v>1132</v>
      </c>
      <c r="Y49" s="2">
        <f t="shared" si="5"/>
        <v>396947</v>
      </c>
      <c r="Z49" s="6">
        <f t="shared" si="7"/>
        <v>74162</v>
      </c>
    </row>
    <row r="50" spans="1:26" x14ac:dyDescent="0.2">
      <c r="A50" s="1">
        <f>A49-7</f>
        <v>45719</v>
      </c>
      <c r="B50" s="3">
        <v>13</v>
      </c>
      <c r="C50" s="2">
        <v>4342</v>
      </c>
      <c r="D50" s="3">
        <v>41</v>
      </c>
      <c r="E50" s="2">
        <v>17275</v>
      </c>
      <c r="F50" s="3">
        <f t="shared" si="9"/>
        <v>54</v>
      </c>
      <c r="G50" s="2">
        <f t="shared" si="10"/>
        <v>21617</v>
      </c>
      <c r="H50" s="11">
        <f t="shared" si="11"/>
        <v>21617</v>
      </c>
      <c r="J50" s="1">
        <f t="shared" si="12"/>
        <v>45355</v>
      </c>
      <c r="K50" s="3">
        <v>0</v>
      </c>
      <c r="L50" s="2">
        <v>0</v>
      </c>
      <c r="M50" s="3">
        <v>2</v>
      </c>
      <c r="N50" s="2">
        <v>980</v>
      </c>
      <c r="O50" s="3">
        <f t="shared" si="2"/>
        <v>2</v>
      </c>
      <c r="P50" s="2">
        <f t="shared" si="3"/>
        <v>980</v>
      </c>
      <c r="Q50" s="6">
        <f t="shared" si="6"/>
        <v>980</v>
      </c>
      <c r="S50" s="1">
        <f t="shared" si="8"/>
        <v>44991</v>
      </c>
      <c r="T50" s="3">
        <v>69</v>
      </c>
      <c r="U50" s="2">
        <v>22847</v>
      </c>
      <c r="V50" s="3">
        <v>834</v>
      </c>
      <c r="W50" s="2">
        <v>299938</v>
      </c>
      <c r="X50" s="3">
        <f t="shared" si="4"/>
        <v>903</v>
      </c>
      <c r="Y50" s="2">
        <f t="shared" si="5"/>
        <v>322785</v>
      </c>
      <c r="Z50" s="6">
        <f t="shared" si="7"/>
        <v>63207</v>
      </c>
    </row>
    <row r="51" spans="1:26" x14ac:dyDescent="0.2">
      <c r="S51" s="1">
        <f t="shared" si="8"/>
        <v>44984</v>
      </c>
      <c r="T51" s="3">
        <v>41</v>
      </c>
      <c r="U51" s="2">
        <v>14159</v>
      </c>
      <c r="V51" s="3">
        <v>674</v>
      </c>
      <c r="W51" s="2">
        <v>245419</v>
      </c>
      <c r="X51" s="3">
        <f t="shared" si="4"/>
        <v>715</v>
      </c>
      <c r="Y51" s="2">
        <f t="shared" si="5"/>
        <v>259578</v>
      </c>
      <c r="Z51" s="6">
        <f t="shared" si="7"/>
        <v>48557</v>
      </c>
    </row>
    <row r="52" spans="1:26" x14ac:dyDescent="0.2">
      <c r="S52" s="1">
        <f t="shared" si="8"/>
        <v>44977</v>
      </c>
      <c r="T52" s="3">
        <v>29</v>
      </c>
      <c r="U52" s="2">
        <v>10245</v>
      </c>
      <c r="V52" s="3">
        <v>546</v>
      </c>
      <c r="W52" s="2">
        <v>200776</v>
      </c>
      <c r="X52" s="3">
        <f t="shared" si="4"/>
        <v>575</v>
      </c>
      <c r="Y52" s="2">
        <f t="shared" si="5"/>
        <v>211021</v>
      </c>
      <c r="Z52" s="6">
        <f t="shared" si="7"/>
        <v>46452</v>
      </c>
    </row>
    <row r="53" spans="1:26" x14ac:dyDescent="0.2">
      <c r="S53" s="1">
        <f t="shared" si="8"/>
        <v>44970</v>
      </c>
      <c r="T53" s="3">
        <v>24</v>
      </c>
      <c r="U53" s="2">
        <v>8520</v>
      </c>
      <c r="V53" s="3">
        <v>423</v>
      </c>
      <c r="W53" s="2">
        <v>156049</v>
      </c>
      <c r="X53" s="3">
        <f t="shared" si="4"/>
        <v>447</v>
      </c>
      <c r="Y53" s="2">
        <f t="shared" si="5"/>
        <v>164569</v>
      </c>
      <c r="Z53" s="6">
        <f t="shared" si="7"/>
        <v>63139</v>
      </c>
    </row>
    <row r="54" spans="1:26" x14ac:dyDescent="0.2">
      <c r="S54" s="1">
        <v>44963</v>
      </c>
      <c r="T54" s="3">
        <v>12</v>
      </c>
      <c r="U54" s="2">
        <v>3590</v>
      </c>
      <c r="V54" s="3">
        <v>266</v>
      </c>
      <c r="W54" s="2">
        <v>97840</v>
      </c>
      <c r="X54" s="3">
        <f t="shared" si="4"/>
        <v>278</v>
      </c>
      <c r="Y54" s="2">
        <f t="shared" si="5"/>
        <v>101430</v>
      </c>
      <c r="Z54" s="6">
        <f t="shared" si="7"/>
        <v>101430</v>
      </c>
    </row>
    <row r="74" spans="2:4" x14ac:dyDescent="0.2">
      <c r="B74" s="3" t="s">
        <v>2</v>
      </c>
      <c r="C74" t="s">
        <v>26</v>
      </c>
      <c r="D74" t="s">
        <v>27</v>
      </c>
    </row>
    <row r="75" spans="2:4" x14ac:dyDescent="0.2">
      <c r="C75" s="3">
        <v>225</v>
      </c>
      <c r="D75" s="3">
        <v>331</v>
      </c>
    </row>
    <row r="76" spans="2:4" x14ac:dyDescent="0.2">
      <c r="C76" s="3">
        <v>223</v>
      </c>
      <c r="D76" s="3">
        <v>331</v>
      </c>
    </row>
    <row r="77" spans="2:4" x14ac:dyDescent="0.2">
      <c r="C77" s="3">
        <v>223</v>
      </c>
      <c r="D77" s="3">
        <v>329</v>
      </c>
    </row>
    <row r="78" spans="2:4" x14ac:dyDescent="0.2">
      <c r="C78" s="3">
        <v>223</v>
      </c>
      <c r="D78" s="3">
        <v>325</v>
      </c>
    </row>
    <row r="79" spans="2:4" x14ac:dyDescent="0.2">
      <c r="C79" s="3">
        <v>223</v>
      </c>
      <c r="D79" s="3">
        <v>325</v>
      </c>
    </row>
    <row r="80" spans="2:4" x14ac:dyDescent="0.2">
      <c r="C80" s="3">
        <v>221</v>
      </c>
      <c r="D80" s="3">
        <v>323</v>
      </c>
    </row>
    <row r="81" spans="3:4" x14ac:dyDescent="0.2">
      <c r="C81" s="3">
        <v>220</v>
      </c>
      <c r="D81" s="3">
        <v>321</v>
      </c>
    </row>
    <row r="82" spans="3:4" x14ac:dyDescent="0.2">
      <c r="C82" s="3">
        <v>220</v>
      </c>
      <c r="D82" s="3">
        <v>317</v>
      </c>
    </row>
    <row r="83" spans="3:4" x14ac:dyDescent="0.2">
      <c r="C83" s="3">
        <v>218</v>
      </c>
      <c r="D83" s="3">
        <v>313</v>
      </c>
    </row>
    <row r="84" spans="3:4" x14ac:dyDescent="0.2">
      <c r="C84" s="3">
        <v>218</v>
      </c>
      <c r="D84" s="3">
        <v>313</v>
      </c>
    </row>
    <row r="85" spans="3:4" x14ac:dyDescent="0.2">
      <c r="C85" s="3">
        <v>217</v>
      </c>
      <c r="D85" s="3">
        <v>313</v>
      </c>
    </row>
    <row r="86" spans="3:4" x14ac:dyDescent="0.2">
      <c r="C86" s="3">
        <v>217</v>
      </c>
      <c r="D86" s="3">
        <v>313</v>
      </c>
    </row>
    <row r="87" spans="3:4" x14ac:dyDescent="0.2">
      <c r="C87" s="3">
        <v>217</v>
      </c>
      <c r="D87" s="3">
        <v>308</v>
      </c>
    </row>
    <row r="88" spans="3:4" x14ac:dyDescent="0.2">
      <c r="C88" s="3">
        <v>215</v>
      </c>
      <c r="D88" s="3">
        <v>303</v>
      </c>
    </row>
    <row r="89" spans="3:4" x14ac:dyDescent="0.2">
      <c r="C89" s="3">
        <v>215</v>
      </c>
      <c r="D89" s="3">
        <v>303</v>
      </c>
    </row>
    <row r="90" spans="3:4" x14ac:dyDescent="0.2">
      <c r="C90" s="3">
        <v>212</v>
      </c>
      <c r="D90" s="3">
        <v>301</v>
      </c>
    </row>
    <row r="91" spans="3:4" x14ac:dyDescent="0.2">
      <c r="C91" s="3">
        <v>212</v>
      </c>
      <c r="D91" s="3">
        <v>299</v>
      </c>
    </row>
    <row r="92" spans="3:4" x14ac:dyDescent="0.2">
      <c r="C92" s="3">
        <v>208</v>
      </c>
      <c r="D92" s="3">
        <v>295</v>
      </c>
    </row>
    <row r="93" spans="3:4" x14ac:dyDescent="0.2">
      <c r="C93" s="3">
        <v>206</v>
      </c>
      <c r="D93" s="3">
        <v>291</v>
      </c>
    </row>
    <row r="94" spans="3:4" x14ac:dyDescent="0.2">
      <c r="C94" s="3">
        <v>204</v>
      </c>
      <c r="D94" s="3">
        <v>284</v>
      </c>
    </row>
    <row r="95" spans="3:4" x14ac:dyDescent="0.2">
      <c r="C95" s="3">
        <v>202</v>
      </c>
      <c r="D95" s="3">
        <v>276</v>
      </c>
    </row>
    <row r="96" spans="3:4" x14ac:dyDescent="0.2">
      <c r="C96" s="3">
        <v>200</v>
      </c>
      <c r="D96" s="3">
        <v>272</v>
      </c>
    </row>
    <row r="97" spans="2:4" x14ac:dyDescent="0.2">
      <c r="C97" s="3">
        <v>193</v>
      </c>
      <c r="D97" s="3">
        <v>268</v>
      </c>
    </row>
    <row r="98" spans="2:4" x14ac:dyDescent="0.2">
      <c r="C98" s="3">
        <v>193</v>
      </c>
      <c r="D98" s="3">
        <v>268</v>
      </c>
    </row>
    <row r="99" spans="2:4" x14ac:dyDescent="0.2">
      <c r="C99" s="3">
        <v>193</v>
      </c>
      <c r="D99" s="3">
        <v>266</v>
      </c>
    </row>
    <row r="100" spans="2:4" x14ac:dyDescent="0.2">
      <c r="C100" s="3">
        <v>187</v>
      </c>
      <c r="D100" s="3">
        <v>264</v>
      </c>
    </row>
    <row r="101" spans="2:4" x14ac:dyDescent="0.2">
      <c r="C101" s="3">
        <v>172</v>
      </c>
      <c r="D101" s="3">
        <v>252</v>
      </c>
    </row>
    <row r="102" spans="2:4" x14ac:dyDescent="0.2">
      <c r="C102" s="3">
        <v>160</v>
      </c>
      <c r="D102" s="3">
        <v>250</v>
      </c>
    </row>
    <row r="103" spans="2:4" x14ac:dyDescent="0.2">
      <c r="C103" s="3">
        <v>127</v>
      </c>
      <c r="D103" s="3">
        <v>243</v>
      </c>
    </row>
    <row r="104" spans="2:4" x14ac:dyDescent="0.2">
      <c r="B104" s="9">
        <v>165</v>
      </c>
      <c r="C104" s="3">
        <v>113</v>
      </c>
      <c r="D104" s="3">
        <v>231</v>
      </c>
    </row>
    <row r="105" spans="2:4" x14ac:dyDescent="0.2">
      <c r="B105" s="9">
        <v>157</v>
      </c>
      <c r="C105" s="3">
        <v>98</v>
      </c>
      <c r="D105" s="3">
        <v>213</v>
      </c>
    </row>
    <row r="106" spans="2:4" x14ac:dyDescent="0.2">
      <c r="B106" s="3">
        <v>118</v>
      </c>
      <c r="C106" s="3">
        <v>86</v>
      </c>
      <c r="D106" s="3">
        <v>203</v>
      </c>
    </row>
    <row r="107" spans="2:4" x14ac:dyDescent="0.2">
      <c r="B107" s="3">
        <v>60</v>
      </c>
      <c r="C107" s="3">
        <v>86</v>
      </c>
      <c r="D107" s="3">
        <v>190</v>
      </c>
    </row>
    <row r="108" spans="2:4" x14ac:dyDescent="0.2">
      <c r="B108" s="3">
        <v>54</v>
      </c>
      <c r="C108" s="3">
        <v>66</v>
      </c>
      <c r="D108" s="3">
        <v>159</v>
      </c>
    </row>
    <row r="109" spans="2:4" x14ac:dyDescent="0.2">
      <c r="B109" s="3">
        <v>44</v>
      </c>
      <c r="C109" s="3">
        <v>54</v>
      </c>
      <c r="D109" s="3">
        <v>142</v>
      </c>
    </row>
    <row r="110" spans="2:4" x14ac:dyDescent="0.2">
      <c r="B110" s="3">
        <v>38</v>
      </c>
      <c r="C110" s="3">
        <v>2</v>
      </c>
      <c r="D110" s="3">
        <v>128</v>
      </c>
    </row>
    <row r="111" spans="2:4" x14ac:dyDescent="0.2">
      <c r="B111" s="3">
        <v>24</v>
      </c>
      <c r="C111" s="3">
        <v>0</v>
      </c>
      <c r="D111" s="3">
        <v>103</v>
      </c>
    </row>
    <row r="112" spans="2:4" x14ac:dyDescent="0.2">
      <c r="B112" s="3">
        <v>19</v>
      </c>
      <c r="C112" s="3">
        <v>0</v>
      </c>
      <c r="D112" s="3">
        <v>92</v>
      </c>
    </row>
    <row r="113" spans="2:4" x14ac:dyDescent="0.2">
      <c r="B113" s="3">
        <v>15</v>
      </c>
      <c r="C113" s="3">
        <v>0</v>
      </c>
      <c r="D113" s="3">
        <v>76</v>
      </c>
    </row>
    <row r="114" spans="2:4" x14ac:dyDescent="0.2">
      <c r="B114" s="3">
        <v>13</v>
      </c>
      <c r="C114" s="3">
        <v>0</v>
      </c>
      <c r="D114" s="3">
        <v>69</v>
      </c>
    </row>
    <row r="116" spans="2:4" x14ac:dyDescent="0.2">
      <c r="D116" s="3"/>
    </row>
    <row r="117" spans="2:4" x14ac:dyDescent="0.2">
      <c r="D117" s="3"/>
    </row>
    <row r="118" spans="2:4" x14ac:dyDescent="0.2">
      <c r="D118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3637-ADA3-D745-B250-224EFB0AE4F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D88B-C691-3042-AF03-E02C5DA1AE5F}">
  <dimension ref="A1:L20"/>
  <sheetViews>
    <sheetView topLeftCell="A5" workbookViewId="0">
      <selection activeCell="E17" sqref="E17"/>
    </sheetView>
  </sheetViews>
  <sheetFormatPr baseColWidth="10" defaultRowHeight="16" x14ac:dyDescent="0.2"/>
  <sheetData>
    <row r="1" spans="1:12" x14ac:dyDescent="0.2">
      <c r="A1" t="s">
        <v>35</v>
      </c>
      <c r="B1" t="s">
        <v>23</v>
      </c>
      <c r="C1" t="s">
        <v>33</v>
      </c>
      <c r="D1" t="s">
        <v>24</v>
      </c>
      <c r="F1" t="s">
        <v>34</v>
      </c>
      <c r="H1" t="s">
        <v>41</v>
      </c>
      <c r="I1" t="s">
        <v>42</v>
      </c>
      <c r="J1" t="s">
        <v>43</v>
      </c>
    </row>
    <row r="3" spans="1:12" x14ac:dyDescent="0.2">
      <c r="A3" t="s">
        <v>39</v>
      </c>
      <c r="B3" s="3">
        <v>556</v>
      </c>
      <c r="C3" s="3">
        <v>1995</v>
      </c>
      <c r="D3" s="3">
        <f t="shared" ref="D3:D9" si="0">B3+C3</f>
        <v>2551</v>
      </c>
    </row>
    <row r="4" spans="1:12" x14ac:dyDescent="0.2">
      <c r="A4" t="s">
        <v>38</v>
      </c>
      <c r="B4" s="3">
        <v>583</v>
      </c>
      <c r="C4" s="3">
        <v>1993</v>
      </c>
      <c r="D4" s="3">
        <f t="shared" si="0"/>
        <v>2576</v>
      </c>
      <c r="F4" s="8">
        <f>C4/D3</f>
        <v>0.78126225009800077</v>
      </c>
      <c r="H4" s="12">
        <f>D3-C4</f>
        <v>558</v>
      </c>
      <c r="I4">
        <f t="shared" ref="I4:I9" si="1">B4</f>
        <v>583</v>
      </c>
      <c r="J4" s="12">
        <f>I4-H4</f>
        <v>25</v>
      </c>
      <c r="L4" s="12"/>
    </row>
    <row r="5" spans="1:12" x14ac:dyDescent="0.2">
      <c r="A5" t="s">
        <v>37</v>
      </c>
      <c r="B5" s="3">
        <v>126</v>
      </c>
      <c r="C5" s="3">
        <v>1734</v>
      </c>
      <c r="D5" s="3">
        <f t="shared" si="0"/>
        <v>1860</v>
      </c>
      <c r="F5" s="8">
        <f t="shared" ref="F5:F9" si="2">C5/D4</f>
        <v>0.67313664596273293</v>
      </c>
      <c r="H5" s="12">
        <f t="shared" ref="H5:H9" si="3">D4-C5</f>
        <v>842</v>
      </c>
      <c r="I5" s="12">
        <f t="shared" si="1"/>
        <v>126</v>
      </c>
      <c r="J5" s="12">
        <f t="shared" ref="J5:J9" si="4">I5-H5</f>
        <v>-716</v>
      </c>
      <c r="L5" s="12"/>
    </row>
    <row r="6" spans="1:12" x14ac:dyDescent="0.2">
      <c r="A6" t="s">
        <v>36</v>
      </c>
      <c r="B6" s="3">
        <v>456</v>
      </c>
      <c r="C6" s="3">
        <v>1527</v>
      </c>
      <c r="D6" s="3">
        <f t="shared" si="0"/>
        <v>1983</v>
      </c>
      <c r="F6" s="8">
        <f t="shared" si="2"/>
        <v>0.82096774193548383</v>
      </c>
      <c r="H6" s="12">
        <f t="shared" si="3"/>
        <v>333</v>
      </c>
      <c r="I6" s="12">
        <f t="shared" si="1"/>
        <v>456</v>
      </c>
      <c r="J6" s="12">
        <f t="shared" si="4"/>
        <v>123</v>
      </c>
      <c r="L6" s="12"/>
    </row>
    <row r="7" spans="1:12" x14ac:dyDescent="0.2">
      <c r="A7" t="s">
        <v>30</v>
      </c>
      <c r="B7" s="3">
        <v>263</v>
      </c>
      <c r="C7" s="3">
        <v>1393</v>
      </c>
      <c r="D7" s="3">
        <f t="shared" si="0"/>
        <v>1656</v>
      </c>
      <c r="F7" s="8">
        <f t="shared" si="2"/>
        <v>0.70247100353000502</v>
      </c>
      <c r="H7" s="12">
        <f t="shared" si="3"/>
        <v>590</v>
      </c>
      <c r="I7" s="12">
        <f t="shared" si="1"/>
        <v>263</v>
      </c>
      <c r="J7" s="12">
        <f t="shared" si="4"/>
        <v>-327</v>
      </c>
      <c r="L7" s="12"/>
    </row>
    <row r="8" spans="1:12" x14ac:dyDescent="0.2">
      <c r="A8" t="s">
        <v>29</v>
      </c>
      <c r="B8" s="3">
        <v>363</v>
      </c>
      <c r="C8" s="3">
        <v>1458</v>
      </c>
      <c r="D8" s="3">
        <f t="shared" si="0"/>
        <v>1821</v>
      </c>
      <c r="F8" s="8">
        <f t="shared" si="2"/>
        <v>0.88043478260869568</v>
      </c>
      <c r="H8" s="12">
        <f t="shared" si="3"/>
        <v>198</v>
      </c>
      <c r="I8" s="12">
        <f t="shared" si="1"/>
        <v>363</v>
      </c>
      <c r="J8" s="12">
        <f t="shared" si="4"/>
        <v>165</v>
      </c>
    </row>
    <row r="9" spans="1:12" x14ac:dyDescent="0.2">
      <c r="A9" t="s">
        <v>10</v>
      </c>
      <c r="B9" s="3">
        <v>234</v>
      </c>
      <c r="C9" s="3">
        <v>1450</v>
      </c>
      <c r="D9" s="3">
        <f t="shared" si="0"/>
        <v>1684</v>
      </c>
      <c r="F9" s="8">
        <f t="shared" si="2"/>
        <v>0.79626578802855574</v>
      </c>
      <c r="H9" s="12">
        <f t="shared" si="3"/>
        <v>371</v>
      </c>
      <c r="I9" s="12">
        <f t="shared" si="1"/>
        <v>234</v>
      </c>
      <c r="J9" s="12">
        <f t="shared" si="4"/>
        <v>-137</v>
      </c>
    </row>
    <row r="10" spans="1:12" x14ac:dyDescent="0.2">
      <c r="A10" t="s">
        <v>40</v>
      </c>
      <c r="B10" s="3"/>
      <c r="C10" s="3"/>
      <c r="D10" s="3"/>
    </row>
    <row r="11" spans="1:12" x14ac:dyDescent="0.2">
      <c r="B11" s="3"/>
      <c r="C11" s="3"/>
      <c r="D11" s="3"/>
    </row>
    <row r="12" spans="1:12" x14ac:dyDescent="0.2">
      <c r="A12" t="s">
        <v>19</v>
      </c>
      <c r="B12" s="3"/>
      <c r="C12" s="3"/>
      <c r="D12" s="3"/>
    </row>
    <row r="13" spans="1:12" x14ac:dyDescent="0.2">
      <c r="A13" t="s">
        <v>39</v>
      </c>
      <c r="B13" s="3">
        <v>821</v>
      </c>
      <c r="C13" s="3">
        <v>4544</v>
      </c>
      <c r="D13" s="3">
        <f t="shared" ref="D13:D19" si="5">B13+C13</f>
        <v>5365</v>
      </c>
    </row>
    <row r="14" spans="1:12" x14ac:dyDescent="0.2">
      <c r="A14" t="s">
        <v>38</v>
      </c>
      <c r="B14" s="3">
        <v>975</v>
      </c>
      <c r="C14" s="3">
        <v>4389</v>
      </c>
      <c r="D14" s="3">
        <f t="shared" si="5"/>
        <v>5364</v>
      </c>
      <c r="F14" s="8">
        <f>C14/D13</f>
        <v>0.81808014911463189</v>
      </c>
      <c r="H14" s="12">
        <f>D13-C14</f>
        <v>976</v>
      </c>
      <c r="I14" s="12">
        <f>B14</f>
        <v>975</v>
      </c>
      <c r="J14" s="12">
        <f>I14-H14</f>
        <v>-1</v>
      </c>
      <c r="L14" s="12"/>
    </row>
    <row r="15" spans="1:12" x14ac:dyDescent="0.2">
      <c r="A15" t="s">
        <v>37</v>
      </c>
      <c r="B15" s="3">
        <v>104</v>
      </c>
      <c r="C15" s="3">
        <v>3375</v>
      </c>
      <c r="D15" s="3">
        <f t="shared" si="5"/>
        <v>3479</v>
      </c>
      <c r="F15" s="8">
        <f t="shared" ref="F15:F19" si="6">C15/D14</f>
        <v>0.62919463087248317</v>
      </c>
      <c r="H15" s="12">
        <f t="shared" ref="H15:H19" si="7">D14-C15</f>
        <v>1989</v>
      </c>
      <c r="I15" s="12">
        <f t="shared" ref="I15:I19" si="8">B15</f>
        <v>104</v>
      </c>
      <c r="J15" s="12">
        <f t="shared" ref="J15:J19" si="9">I15-H15</f>
        <v>-1885</v>
      </c>
      <c r="L15" s="12"/>
    </row>
    <row r="16" spans="1:12" x14ac:dyDescent="0.2">
      <c r="A16" t="s">
        <v>36</v>
      </c>
      <c r="B16" s="3">
        <v>862</v>
      </c>
      <c r="C16" s="3">
        <v>2786</v>
      </c>
      <c r="D16" s="3">
        <f t="shared" si="5"/>
        <v>3648</v>
      </c>
      <c r="F16" s="8">
        <f t="shared" si="6"/>
        <v>0.80080482897384309</v>
      </c>
      <c r="H16" s="12">
        <f t="shared" si="7"/>
        <v>693</v>
      </c>
      <c r="I16" s="12">
        <f t="shared" si="8"/>
        <v>862</v>
      </c>
      <c r="J16" s="12">
        <f t="shared" si="9"/>
        <v>169</v>
      </c>
      <c r="L16" s="12"/>
    </row>
    <row r="17" spans="1:12" x14ac:dyDescent="0.2">
      <c r="A17" t="s">
        <v>30</v>
      </c>
      <c r="B17" s="3">
        <v>408</v>
      </c>
      <c r="C17" s="3">
        <v>2833</v>
      </c>
      <c r="D17" s="3">
        <f t="shared" si="5"/>
        <v>3241</v>
      </c>
      <c r="F17" s="8">
        <f t="shared" si="6"/>
        <v>0.77658991228070173</v>
      </c>
      <c r="H17" s="12">
        <f t="shared" si="7"/>
        <v>815</v>
      </c>
      <c r="I17" s="12">
        <f t="shared" si="8"/>
        <v>408</v>
      </c>
      <c r="J17" s="12">
        <f t="shared" si="9"/>
        <v>-407</v>
      </c>
      <c r="L17" s="12"/>
    </row>
    <row r="18" spans="1:12" x14ac:dyDescent="0.2">
      <c r="A18" t="s">
        <v>29</v>
      </c>
      <c r="B18" s="3">
        <v>539</v>
      </c>
      <c r="C18" s="3">
        <v>2903</v>
      </c>
      <c r="D18" s="3">
        <f t="shared" si="5"/>
        <v>3442</v>
      </c>
      <c r="F18" s="8">
        <f t="shared" si="6"/>
        <v>0.89571120024683737</v>
      </c>
      <c r="H18" s="12">
        <f t="shared" si="7"/>
        <v>338</v>
      </c>
      <c r="I18" s="12">
        <f t="shared" si="8"/>
        <v>539</v>
      </c>
      <c r="J18" s="12">
        <f t="shared" si="9"/>
        <v>201</v>
      </c>
      <c r="L18" s="12"/>
    </row>
    <row r="19" spans="1:12" x14ac:dyDescent="0.2">
      <c r="A19" t="s">
        <v>10</v>
      </c>
      <c r="B19" s="3">
        <v>206</v>
      </c>
      <c r="C19" s="3">
        <v>2697</v>
      </c>
      <c r="D19" s="3">
        <f t="shared" si="5"/>
        <v>2903</v>
      </c>
      <c r="F19" s="8">
        <f t="shared" si="6"/>
        <v>0.78355607205113309</v>
      </c>
      <c r="H19" s="12">
        <f t="shared" si="7"/>
        <v>745</v>
      </c>
      <c r="I19" s="12">
        <f t="shared" si="8"/>
        <v>206</v>
      </c>
      <c r="J19" s="12">
        <f t="shared" si="9"/>
        <v>-539</v>
      </c>
      <c r="L19" s="12"/>
    </row>
    <row r="20" spans="1:12" x14ac:dyDescent="0.2">
      <c r="A20" t="s">
        <v>40</v>
      </c>
      <c r="B20" s="3"/>
      <c r="C20" s="3"/>
      <c r="D2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388C-8883-FD49-AD60-9C0DC4BE2F0A}">
  <dimension ref="A7:M27"/>
  <sheetViews>
    <sheetView workbookViewId="0">
      <selection activeCell="H25" sqref="H25"/>
    </sheetView>
  </sheetViews>
  <sheetFormatPr baseColWidth="10" defaultRowHeight="16" x14ac:dyDescent="0.2"/>
  <sheetData>
    <row r="7" spans="1:9" x14ac:dyDescent="0.2">
      <c r="B7" s="16" t="s">
        <v>44</v>
      </c>
      <c r="C7" s="16" t="s">
        <v>45</v>
      </c>
      <c r="D7" s="16"/>
      <c r="E7" s="16" t="s">
        <v>45</v>
      </c>
      <c r="F7" s="16" t="s">
        <v>43</v>
      </c>
      <c r="G7" s="16" t="s">
        <v>45</v>
      </c>
      <c r="I7" s="12"/>
    </row>
    <row r="8" spans="1:9" x14ac:dyDescent="0.2">
      <c r="A8" s="20"/>
      <c r="B8" s="21" t="s">
        <v>13</v>
      </c>
      <c r="C8" s="21" t="s">
        <v>46</v>
      </c>
      <c r="D8" s="21" t="s">
        <v>47</v>
      </c>
      <c r="E8" s="21" t="s">
        <v>23</v>
      </c>
      <c r="F8" s="21" t="s">
        <v>11</v>
      </c>
      <c r="G8" s="21" t="s">
        <v>13</v>
      </c>
    </row>
    <row r="9" spans="1:9" x14ac:dyDescent="0.2">
      <c r="A9" t="s">
        <v>36</v>
      </c>
      <c r="B9" s="17">
        <v>3479</v>
      </c>
      <c r="C9" s="17">
        <v>2786</v>
      </c>
      <c r="D9" s="17">
        <f>C9-B9</f>
        <v>-693</v>
      </c>
      <c r="E9" s="17">
        <v>862</v>
      </c>
      <c r="F9" s="17">
        <f>D9+E9</f>
        <v>169</v>
      </c>
      <c r="G9" s="17">
        <f>C9+E9</f>
        <v>3648</v>
      </c>
    </row>
    <row r="10" spans="1:9" x14ac:dyDescent="0.2">
      <c r="A10" t="s">
        <v>30</v>
      </c>
      <c r="B10" s="17">
        <f>G9</f>
        <v>3648</v>
      </c>
      <c r="C10" s="17">
        <v>2833</v>
      </c>
      <c r="D10" s="17">
        <f>C10-B10</f>
        <v>-815</v>
      </c>
      <c r="E10" s="17">
        <v>408</v>
      </c>
      <c r="F10" s="17">
        <f t="shared" ref="F10:F13" si="0">D10+E10</f>
        <v>-407</v>
      </c>
      <c r="G10" s="17">
        <f t="shared" ref="G10:G13" si="1">C10+E10</f>
        <v>3241</v>
      </c>
    </row>
    <row r="11" spans="1:9" x14ac:dyDescent="0.2">
      <c r="A11" t="s">
        <v>29</v>
      </c>
      <c r="B11" s="17">
        <f>G10</f>
        <v>3241</v>
      </c>
      <c r="C11" s="17">
        <v>2903</v>
      </c>
      <c r="D11" s="17">
        <f t="shared" ref="D11:D13" si="2">C11-B11</f>
        <v>-338</v>
      </c>
      <c r="E11" s="17">
        <v>539</v>
      </c>
      <c r="F11" s="17">
        <f t="shared" si="0"/>
        <v>201</v>
      </c>
      <c r="G11" s="17">
        <f t="shared" si="1"/>
        <v>3442</v>
      </c>
      <c r="H11" s="3"/>
    </row>
    <row r="12" spans="1:9" x14ac:dyDescent="0.2">
      <c r="A12" t="s">
        <v>10</v>
      </c>
      <c r="B12" s="17">
        <f>G11</f>
        <v>3442</v>
      </c>
      <c r="C12" s="17">
        <v>2697</v>
      </c>
      <c r="D12" s="17">
        <f t="shared" si="2"/>
        <v>-745</v>
      </c>
      <c r="E12" s="17">
        <v>206</v>
      </c>
      <c r="F12" s="17">
        <f t="shared" si="0"/>
        <v>-539</v>
      </c>
      <c r="G12" s="17">
        <f t="shared" si="1"/>
        <v>2903</v>
      </c>
    </row>
    <row r="13" spans="1:9" x14ac:dyDescent="0.2">
      <c r="A13" s="18" t="s">
        <v>40</v>
      </c>
      <c r="B13" s="19">
        <f>G12</f>
        <v>2903</v>
      </c>
      <c r="C13" s="19">
        <v>2413</v>
      </c>
      <c r="D13" s="19">
        <f t="shared" si="2"/>
        <v>-490</v>
      </c>
      <c r="E13" s="19">
        <v>219</v>
      </c>
      <c r="F13" s="19">
        <f t="shared" si="0"/>
        <v>-271</v>
      </c>
      <c r="G13" s="19">
        <f t="shared" si="1"/>
        <v>2632</v>
      </c>
    </row>
    <row r="22" spans="2:13" x14ac:dyDescent="0.2">
      <c r="E22" s="3"/>
      <c r="F22" s="3"/>
      <c r="G22" s="3"/>
      <c r="I22" s="8"/>
      <c r="K22" s="12"/>
      <c r="L22" s="12"/>
      <c r="M22" s="12"/>
    </row>
    <row r="23" spans="2:13" x14ac:dyDescent="0.2">
      <c r="E23" s="3"/>
      <c r="F23" s="3"/>
      <c r="G23" s="3"/>
      <c r="I23" s="8"/>
      <c r="K23" s="12"/>
      <c r="L23" s="12"/>
      <c r="M23" s="12"/>
    </row>
    <row r="24" spans="2:13" x14ac:dyDescent="0.2">
      <c r="E24" s="3"/>
      <c r="F24" s="3"/>
      <c r="G24" s="3"/>
      <c r="I24" s="8"/>
      <c r="K24" s="12"/>
      <c r="L24" s="12"/>
      <c r="M24" s="12"/>
    </row>
    <row r="25" spans="2:13" x14ac:dyDescent="0.2">
      <c r="B25" s="12"/>
      <c r="C25" s="12"/>
      <c r="D25" s="12"/>
      <c r="E25" s="3"/>
      <c r="F25" s="3"/>
      <c r="G25" s="3"/>
      <c r="I25" s="8"/>
      <c r="K25" s="12"/>
      <c r="L25" s="12"/>
      <c r="M25" s="12"/>
    </row>
    <row r="26" spans="2:13" x14ac:dyDescent="0.2">
      <c r="B26" s="12"/>
      <c r="C26" s="12"/>
      <c r="D26" s="12"/>
      <c r="E26" s="3"/>
      <c r="F26" s="3"/>
      <c r="G26" s="3"/>
      <c r="I26" s="8"/>
      <c r="K26" s="12"/>
      <c r="L26" s="12"/>
      <c r="M26" s="12"/>
    </row>
    <row r="27" spans="2:13" x14ac:dyDescent="0.2"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CL Data</vt:lpstr>
      <vt:lpstr>CL Graph</vt:lpstr>
      <vt:lpstr>Pops</vt:lpstr>
      <vt:lpstr>Pops Graph</vt:lpstr>
      <vt:lpstr>Total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Kocal</dc:creator>
  <cp:lastModifiedBy>Diane Kocal</cp:lastModifiedBy>
  <dcterms:created xsi:type="dcterms:W3CDTF">2025-04-24T12:03:43Z</dcterms:created>
  <dcterms:modified xsi:type="dcterms:W3CDTF">2025-09-08T12:11:58Z</dcterms:modified>
</cp:coreProperties>
</file>