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kcsymphony-my.sharepoint.com/personal/jlai_kcsymphony_org/Documents/Analytics/"/>
    </mc:Choice>
  </mc:AlternateContent>
  <xr:revisionPtr revIDLastSave="0" documentId="8_{C184E1F2-D4A9-493D-A765-EB9147C46BBE}" xr6:coauthVersionLast="47" xr6:coauthVersionMax="47" xr10:uidLastSave="{00000000-0000-0000-0000-000000000000}"/>
  <bookViews>
    <workbookView minimized="1" xWindow="1170" yWindow="1170" windowWidth="21600" windowHeight="11295" xr2:uid="{74D077F2-EE67-4C76-965D-00CEA4CC8CA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4" i="1" l="1"/>
  <c r="T113" i="1"/>
  <c r="T112" i="1"/>
  <c r="T111" i="1"/>
  <c r="T124" i="1"/>
  <c r="T123" i="1"/>
  <c r="T122" i="1"/>
  <c r="T121" i="1"/>
  <c r="T119" i="1"/>
  <c r="T118" i="1"/>
  <c r="T117" i="1"/>
  <c r="T116" i="1"/>
  <c r="R54" i="1"/>
  <c r="T54" i="1" s="1"/>
  <c r="R53" i="1"/>
  <c r="T53" i="1" s="1"/>
  <c r="R52" i="1"/>
  <c r="T52" i="1" s="1"/>
  <c r="T126" i="1"/>
  <c r="T13" i="1"/>
  <c r="T14" i="1" l="1"/>
  <c r="T76" i="1"/>
  <c r="T78" i="1"/>
  <c r="T77" i="1"/>
  <c r="T109" i="1"/>
  <c r="T108" i="1"/>
  <c r="T106" i="1"/>
  <c r="T105" i="1"/>
  <c r="T104" i="1"/>
  <c r="T103" i="1"/>
  <c r="T101" i="1"/>
  <c r="T100" i="1"/>
  <c r="T98" i="1"/>
  <c r="T97" i="1"/>
  <c r="T96" i="1"/>
  <c r="T95" i="1"/>
  <c r="T93" i="1"/>
  <c r="T92" i="1"/>
  <c r="T91" i="1"/>
  <c r="T89" i="1"/>
  <c r="T88" i="1"/>
  <c r="T87" i="1"/>
  <c r="T86" i="1"/>
  <c r="T85" i="1"/>
  <c r="T84" i="1"/>
  <c r="T74" i="1"/>
  <c r="T73" i="1"/>
  <c r="T72" i="1"/>
  <c r="T48" i="1"/>
  <c r="T50" i="1"/>
  <c r="T49" i="1"/>
  <c r="T46" i="1"/>
  <c r="T45" i="1"/>
  <c r="T42" i="1"/>
  <c r="T41" i="1"/>
  <c r="T40" i="1"/>
  <c r="T38" i="1"/>
  <c r="T37" i="1"/>
  <c r="T36" i="1"/>
  <c r="T32" i="1" l="1"/>
  <c r="T34" i="1"/>
  <c r="T33" i="1"/>
  <c r="T30" i="1" l="1"/>
  <c r="T29" i="1"/>
  <c r="T26" i="1"/>
  <c r="T25" i="1"/>
  <c r="T24" i="1"/>
  <c r="T22" i="1"/>
  <c r="T21" i="1"/>
  <c r="T18" i="1"/>
  <c r="T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tc={703FF0F6-3CEE-47F1-A262-C1C5C669BFE5}</author>
  </authors>
  <commentList>
    <comment ref="R14" authorId="0" shapeId="0" xr:uid="{703FF0F6-3CEE-47F1-A262-C1C5C669BFE5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#: 476 is 24-25 Avg, 365 is 25-26 avg</t>
      </text>
    </comment>
  </commentList>
</comments>
</file>

<file path=xl/sharedStrings.xml><?xml version="1.0" encoding="utf-8"?>
<sst xmlns="http://schemas.openxmlformats.org/spreadsheetml/2006/main" count="340" uniqueCount="204">
  <si>
    <t>Notes:</t>
  </si>
  <si>
    <t>Comp sales curves below are per performance, single tickets only.  Sub, Capacity, OCC% are provided for reference, perhaps helpful to cite in the dashboard in tooltip or elsewhere?</t>
  </si>
  <si>
    <t>We have the comps at daily grain (Fri,Sat,Sun) but for now simplifying to use averages as same comp for every performance day (unless Piazza).  We may go to day-level comps in the future but need to learn more.</t>
  </si>
  <si>
    <t>Important note: in our current methodology, we project to week of ("0") but not all the way through Final (Mon after performance).  We need to start doing that going forward, which is a change, so "Final" is a new column.</t>
  </si>
  <si>
    <t>We have not yet incorporated performance tiers into our comp methodology but may in the future.</t>
  </si>
  <si>
    <t>Link</t>
  </si>
  <si>
    <t>Use "Comp Desc" as the label for the target line in the dashboard</t>
  </si>
  <si>
    <t>Where "Piazza Default" or "Global Default" are listed for "Comp Desc", use those target lines.  24-25 Piazzas were CS3,4,6,8,9,10,14.  Both of these are imperfect but better than the 4-year averages that are the current defaults</t>
  </si>
  <si>
    <t>Pops Sundays always have low subs, so they have different comps</t>
  </si>
  <si>
    <t>We have IDed comps but are missing some of the 10-week sales data for comps further out and will fill this in over time</t>
  </si>
  <si>
    <t># weeks out ("0" is Monday of performance week, "Final" is Monday following performance)</t>
  </si>
  <si>
    <t>Tess Performance Code</t>
  </si>
  <si>
    <t>Target</t>
  </si>
  <si>
    <t>Performance Desc</t>
  </si>
  <si>
    <t>Comp Desc</t>
  </si>
  <si>
    <t>Comp Date</t>
  </si>
  <si>
    <t>Final</t>
  </si>
  <si>
    <t>Subs</t>
  </si>
  <si>
    <t>Capacity</t>
  </si>
  <si>
    <t>Total OCC %</t>
  </si>
  <si>
    <t>ATP</t>
  </si>
  <si>
    <t>N/A</t>
  </si>
  <si>
    <t>Global Default</t>
  </si>
  <si>
    <t>Piazza Default</t>
  </si>
  <si>
    <t>251031E</t>
  </si>
  <si>
    <t>y</t>
  </si>
  <si>
    <t>CS2 Rach Fri Piazza</t>
  </si>
  <si>
    <t>251101E</t>
  </si>
  <si>
    <t>CS2 Rach Sat</t>
  </si>
  <si>
    <t>23-24 CS8 Tchaik</t>
  </si>
  <si>
    <t>251102M</t>
  </si>
  <si>
    <t>CS2 Rach Sun</t>
  </si>
  <si>
    <t>251121E</t>
  </si>
  <si>
    <t>CS3 Mahler Fri Piazza</t>
  </si>
  <si>
    <t>251122E</t>
  </si>
  <si>
    <t>CS3 Mahler Sat</t>
  </si>
  <si>
    <t>24-25 CS13 Mahler</t>
  </si>
  <si>
    <t>251123M</t>
  </si>
  <si>
    <t>CS3 Mahler Sun</t>
  </si>
  <si>
    <t>260109E</t>
  </si>
  <si>
    <t>CS4 Brahms Fri</t>
  </si>
  <si>
    <t>23-24 CS3 Schumann</t>
  </si>
  <si>
    <t>260110E</t>
  </si>
  <si>
    <t>CS4 Brahms Sat</t>
  </si>
  <si>
    <t>260111M</t>
  </si>
  <si>
    <t>CS4 Brahms Sun</t>
  </si>
  <si>
    <t>260116E</t>
  </si>
  <si>
    <t>CS5 Pines Fri Piazza</t>
  </si>
  <si>
    <t>260117E</t>
  </si>
  <si>
    <t>CS5 Pines Sat</t>
  </si>
  <si>
    <t>22-23 CS5 Pines</t>
  </si>
  <si>
    <t>260118M</t>
  </si>
  <si>
    <t>CS5 Pines Sun</t>
  </si>
  <si>
    <t>260130E</t>
  </si>
  <si>
    <t>CS6 Beethoven Fri Piazza</t>
  </si>
  <si>
    <t>24-25 CS6 Beethoven Fri Piazza</t>
  </si>
  <si>
    <t>260131E</t>
  </si>
  <si>
    <t>CS6 Beethoven Sat</t>
  </si>
  <si>
    <t>24-25 CS6 Beethoven</t>
  </si>
  <si>
    <t>260201M</t>
  </si>
  <si>
    <t>CS6 Beethoven Sun</t>
  </si>
  <si>
    <t>260206E</t>
  </si>
  <si>
    <t>CS7 Prokofiev Fri</t>
  </si>
  <si>
    <t>24-25 CS7 Prokofiev</t>
  </si>
  <si>
    <t>260207E</t>
  </si>
  <si>
    <t>CS7 Prokofiev Sat</t>
  </si>
  <si>
    <t>260208M</t>
  </si>
  <si>
    <t>CS7 Prokofiev Sun</t>
  </si>
  <si>
    <t>260313E</t>
  </si>
  <si>
    <t>CS8 SS &amp; Strauss Fri</t>
  </si>
  <si>
    <t>24-25 CS1 Dvorak</t>
  </si>
  <si>
    <t>260314E</t>
  </si>
  <si>
    <t>CS8 SS &amp; Strauss Sat</t>
  </si>
  <si>
    <t>260315M</t>
  </si>
  <si>
    <t>CS8 SS &amp; Strauss Sun</t>
  </si>
  <si>
    <t>260410E</t>
  </si>
  <si>
    <t>CS9 Midsummer Fri Piazza</t>
  </si>
  <si>
    <t>260411E</t>
  </si>
  <si>
    <t>CS9 Midsummer Sat</t>
  </si>
  <si>
    <t>24-25 CS2 Tchaik</t>
  </si>
  <si>
    <t>260412M</t>
  </si>
  <si>
    <t>CS9 Midsummer Sun</t>
  </si>
  <si>
    <t>260417E</t>
  </si>
  <si>
    <t>CS10 Farrenc/Dvorak/Schuman Fri</t>
  </si>
  <si>
    <t>260418E</t>
  </si>
  <si>
    <t>260419M</t>
  </si>
  <si>
    <t>260508E</t>
  </si>
  <si>
    <t>CS11 Grieg's Piano Concerto Fri</t>
  </si>
  <si>
    <t>23-24 CS14 Barber / Sibelius 2 Fri</t>
  </si>
  <si>
    <t>260509E</t>
  </si>
  <si>
    <t>CS11 Grieg's Piano Concerto Sat</t>
  </si>
  <si>
    <t>23-24 CS14 Barber / Sibelius 2 Sat</t>
  </si>
  <si>
    <t>260510M</t>
  </si>
  <si>
    <t>CS11 Grieg's Piano Concerto Sun</t>
  </si>
  <si>
    <t>23-24 CS14 Barber / Sibelius 2 Sun</t>
  </si>
  <si>
    <t>260529E</t>
  </si>
  <si>
    <t>CS12 Gil Shaham Plays Brahms Fri</t>
  </si>
  <si>
    <t>260530E</t>
  </si>
  <si>
    <t>CS12 Gil Shaham Plays Brahms Sat</t>
  </si>
  <si>
    <t>260531E</t>
  </si>
  <si>
    <t>CS12 Gil Shaham Plays Brahms Sun</t>
  </si>
  <si>
    <t>260605E</t>
  </si>
  <si>
    <t>CS13 Rachmaninoff 2 Fri</t>
  </si>
  <si>
    <t>260606E</t>
  </si>
  <si>
    <t>CS13 Rachmaninoff 2 Sat</t>
  </si>
  <si>
    <t>260607M</t>
  </si>
  <si>
    <t>CS13 Rachmaninoff 2 Sun</t>
  </si>
  <si>
    <t>260619E</t>
  </si>
  <si>
    <t>CS14 Rhapsody in Blue Fri</t>
  </si>
  <si>
    <t>260620E</t>
  </si>
  <si>
    <t>CS14 Rhapsody in Blue Sat</t>
  </si>
  <si>
    <t>260621M</t>
  </si>
  <si>
    <t>CS14 Rhapsody in Blue Sun</t>
  </si>
  <si>
    <t>251024E</t>
  </si>
  <si>
    <t>PS2 90s Mixtape</t>
  </si>
  <si>
    <t>251025E</t>
  </si>
  <si>
    <t>251026M</t>
  </si>
  <si>
    <t>260213E</t>
  </si>
  <si>
    <t>PS3 She's Got Soul</t>
  </si>
  <si>
    <t>24-25 Kings of Soul Fri</t>
  </si>
  <si>
    <t>260214E</t>
  </si>
  <si>
    <t>24-25 Kings of Soul Sat</t>
  </si>
  <si>
    <t>260215M</t>
  </si>
  <si>
    <t>24-25 Kings of Soul Sun</t>
  </si>
  <si>
    <t>260327E</t>
  </si>
  <si>
    <t>PS4 Billy Joel &amp; Elton John</t>
  </si>
  <si>
    <t>23-24 Genesis/P. Collins</t>
  </si>
  <si>
    <t>260328E</t>
  </si>
  <si>
    <t>260329M</t>
  </si>
  <si>
    <t>PS4 Billy Joel &amp; Elton John Sun</t>
  </si>
  <si>
    <t>23-24 Genesis/P. Collins Sun</t>
  </si>
  <si>
    <t>260515E</t>
  </si>
  <si>
    <t>PS5 Dolly Parton</t>
  </si>
  <si>
    <t>260516E</t>
  </si>
  <si>
    <t>260517M</t>
  </si>
  <si>
    <t>251218E</t>
  </si>
  <si>
    <t>Christmas Festival</t>
  </si>
  <si>
    <t>24-25 Christmas Festival</t>
  </si>
  <si>
    <t>251219E</t>
  </si>
  <si>
    <t>251220AM</t>
  </si>
  <si>
    <t>251220BE</t>
  </si>
  <si>
    <t>251221AM</t>
  </si>
  <si>
    <t>251221BE</t>
  </si>
  <si>
    <t>251205E</t>
  </si>
  <si>
    <t>Handel's Messiah</t>
  </si>
  <si>
    <t>24-25 Handel's Messiah</t>
  </si>
  <si>
    <t>251206E</t>
  </si>
  <si>
    <t>251207M</t>
  </si>
  <si>
    <t>251128E</t>
  </si>
  <si>
    <t>Elf</t>
  </si>
  <si>
    <t>24-25 Home Alone</t>
  </si>
  <si>
    <t>251129AM</t>
  </si>
  <si>
    <t>251129BE</t>
  </si>
  <si>
    <t>251130M</t>
  </si>
  <si>
    <t>251223E</t>
  </si>
  <si>
    <t>It's a Wonderful Life</t>
  </si>
  <si>
    <t>24-25 Frozen</t>
  </si>
  <si>
    <t>251224M</t>
  </si>
  <si>
    <t>260122E</t>
  </si>
  <si>
    <t>Indiana Jones Raiders</t>
  </si>
  <si>
    <t>24-25 Jurassic Park Fri</t>
  </si>
  <si>
    <t>260123E</t>
  </si>
  <si>
    <t>260124E</t>
  </si>
  <si>
    <t>24-25 Jurassic Park Sat</t>
  </si>
  <si>
    <t>260125M</t>
  </si>
  <si>
    <t>24-25 Jurassic Park Sun</t>
  </si>
  <si>
    <t>251212E</t>
  </si>
  <si>
    <t>Leslie Odom Jr.</t>
  </si>
  <si>
    <t>24-25 Kristin Chenoweth</t>
  </si>
  <si>
    <t>251213E</t>
  </si>
  <si>
    <t>260219E</t>
  </si>
  <si>
    <t>Harry Potter 2: Chamber</t>
  </si>
  <si>
    <t>Sorcerer's Stone 24-25 Thu</t>
  </si>
  <si>
    <t>260220E</t>
  </si>
  <si>
    <t>Sorcerer's Stone 24-25 Fri</t>
  </si>
  <si>
    <t>260221E</t>
  </si>
  <si>
    <t>Sorcerer's Stone 24-25 Sat</t>
  </si>
  <si>
    <t>260222M</t>
  </si>
  <si>
    <t>Sorcerer's Stone 24-25 Sun</t>
  </si>
  <si>
    <t>Deathly Hallows Pt. 1 Thu</t>
  </si>
  <si>
    <t>Deathly Hallows Pt. 1 Fri</t>
  </si>
  <si>
    <t>Deathly Hallows Pt. 1 Sat</t>
  </si>
  <si>
    <t>Deathly Hallows Pt. 1 Sun</t>
  </si>
  <si>
    <t>Deathly Hallows Pt. 2 Thu</t>
  </si>
  <si>
    <t>Deathly Hallows Pt. 2 Fri</t>
  </si>
  <si>
    <t>Deathly Hallows Pt. 2 Sat</t>
  </si>
  <si>
    <t>Deathly Hallows Pt. 2 Sun</t>
  </si>
  <si>
    <t>260212E</t>
  </si>
  <si>
    <t>Chris Thile</t>
  </si>
  <si>
    <t>24-25 Cody Fry Fri</t>
  </si>
  <si>
    <t>251029E</t>
  </si>
  <si>
    <t>On Stage 1</t>
  </si>
  <si>
    <t>260205E</t>
  </si>
  <si>
    <t>On Stage 2</t>
  </si>
  <si>
    <t>260528E</t>
  </si>
  <si>
    <t>On Stage 3</t>
  </si>
  <si>
    <t>260604E</t>
  </si>
  <si>
    <t>On Stage 4</t>
  </si>
  <si>
    <t>260325E</t>
  </si>
  <si>
    <t>Final Symphony</t>
  </si>
  <si>
    <t>260326E</t>
  </si>
  <si>
    <t>260521E</t>
  </si>
  <si>
    <t>Ben Rector</t>
  </si>
  <si>
    <t>260522E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</si>
</sst>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 Narrow"/>
      <family val="2"/>
      <charset val="1"/>
    </font>
    <font>
      <sz val="12"/>
      <color rgb="FF000000"/>
      <name val="Aptos Narrow"/>
      <family val="2"/>
    </font>
    <font>
      <sz val="12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164" fontId="0" fillId="0" borderId="0" xfId="1" applyNumberFormat="1" applyFont="1"/>
    <xf numFmtId="9" fontId="0" fillId="0" borderId="0" xfId="2" applyFont="1"/>
    <xf numFmtId="1" fontId="0" fillId="0" borderId="0" xfId="1" applyNumberFormat="1" applyFont="1"/>
    <xf numFmtId="1" fontId="0" fillId="0" borderId="0" xfId="1" applyNumberFormat="1" applyFont="1" applyAlignment="1">
      <alignment horizontal="right"/>
    </xf>
    <xf numFmtId="1" fontId="0" fillId="0" borderId="0" xfId="1" applyNumberFormat="1" applyFont="1" applyAlignment="1">
      <alignment horizontal="center"/>
    </xf>
    <xf numFmtId="164" fontId="4" fillId="2" borderId="0" xfId="3" applyNumberFormat="1" applyFill="1"/>
    <xf numFmtId="0" fontId="2" fillId="3" borderId="0" xfId="0" applyFont="1" applyFill="1"/>
    <xf numFmtId="164" fontId="2" fillId="3" borderId="0" xfId="1" applyNumberFormat="1" applyFont="1" applyFill="1"/>
    <xf numFmtId="49" fontId="2" fillId="3" borderId="0" xfId="1" applyNumberFormat="1" applyFont="1" applyFill="1" applyAlignment="1">
      <alignment horizontal="right"/>
    </xf>
    <xf numFmtId="0" fontId="5" fillId="0" borderId="0" xfId="0" applyFont="1"/>
    <xf numFmtId="9" fontId="0" fillId="0" borderId="0" xfId="0" applyNumberFormat="1"/>
    <xf numFmtId="165" fontId="0" fillId="0" borderId="0" xfId="4" applyNumberFormat="1" applyFont="1"/>
    <xf numFmtId="165" fontId="2" fillId="3" borderId="0" xfId="4" applyNumberFormat="1" applyFont="1" applyFill="1"/>
    <xf numFmtId="14" fontId="0" fillId="0" borderId="0" xfId="0" applyNumberFormat="1"/>
    <xf numFmtId="14" fontId="2" fillId="3" borderId="0" xfId="0" applyNumberFormat="1" applyFont="1" applyFill="1"/>
    <xf numFmtId="0" fontId="6" fillId="0" borderId="0" xfId="0" applyFont="1"/>
    <xf numFmtId="0" fontId="7" fillId="0" borderId="0" xfId="0" applyFont="1"/>
    <xf numFmtId="166" fontId="0" fillId="0" borderId="0" xfId="4" applyNumberFormat="1" applyFont="1"/>
    <xf numFmtId="0" fontId="7" fillId="0" borderId="0" xfId="0" quotePrefix="1" applyFont="1"/>
    <xf numFmtId="164" fontId="0" fillId="0" borderId="0" xfId="1" applyNumberFormat="1" applyFont="1" applyAlignment="1">
      <alignment horizontal="center"/>
    </xf>
  </cellXfs>
  <cellStyles count="5">
    <cellStyle name="Comma" xfId="1" builtinId="3"/>
    <cellStyle name="Currency" xfId="4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us Lai" id="{5EB3D1BE-3282-4287-8C62-368E3D0D682A}" userId="S::jlai@kcsymphony.org::37464538-f398-48ad-b81f-5627dc2f20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10-24T18:48:38.02" personId="{5EB3D1BE-3282-4287-8C62-368E3D0D682A}" id="{703FF0F6-3CEE-47F1-A262-C1C5C669BFE5}">
    <text>Adjusted #: 476 is 24-25 Avg, 365 is 25-26 avg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../../../:x:/g/personal/jlai_kcsymphony_org/Edv70RlEKI9Plq5m20gMGp0BGygxYbEBZfx2vW7uxE_8tg?e=oz2pVB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25D7-3D14-4E3A-968C-8768148F7711}">
  <dimension ref="A1:U140"/>
  <sheetViews>
    <sheetView tabSelected="1" workbookViewId="0">
      <pane ySplit="12" topLeftCell="A105" activePane="bottomLeft" state="frozen"/>
      <selection pane="bottomLeft" activeCell="U77" sqref="U77"/>
    </sheetView>
  </sheetViews>
  <sheetFormatPr defaultRowHeight="15"/>
  <cols>
    <col min="1" max="1" width="24.85546875" bestFit="1" customWidth="1"/>
    <col min="2" max="2" width="6.7109375" customWidth="1"/>
    <col min="3" max="3" width="22.42578125" customWidth="1"/>
    <col min="4" max="4" width="23.7109375" customWidth="1"/>
    <col min="5" max="5" width="11.140625" style="15" customWidth="1"/>
    <col min="6" max="15" width="9.140625" style="2"/>
    <col min="16" max="16" width="9.140625" style="4"/>
    <col min="17" max="17" width="8.85546875" style="4" customWidth="1"/>
    <col min="18" max="18" width="9.140625" style="2"/>
    <col min="19" max="19" width="9.5703125" bestFit="1" customWidth="1"/>
    <col min="21" max="21" width="8.85546875" style="13"/>
  </cols>
  <sheetData>
    <row r="1" spans="1:21">
      <c r="A1" s="1" t="s">
        <v>0</v>
      </c>
      <c r="B1" s="1"/>
    </row>
    <row r="2" spans="1:21">
      <c r="A2" t="s">
        <v>1</v>
      </c>
    </row>
    <row r="3" spans="1:21">
      <c r="A3" t="s">
        <v>2</v>
      </c>
    </row>
    <row r="4" spans="1:21">
      <c r="A4" t="s">
        <v>3</v>
      </c>
    </row>
    <row r="5" spans="1:21">
      <c r="A5" t="s">
        <v>4</v>
      </c>
      <c r="H5" s="7" t="s">
        <v>5</v>
      </c>
    </row>
    <row r="6" spans="1:21">
      <c r="A6" t="s">
        <v>6</v>
      </c>
    </row>
    <row r="7" spans="1:21">
      <c r="A7" t="s">
        <v>7</v>
      </c>
    </row>
    <row r="8" spans="1:21">
      <c r="A8" t="s">
        <v>8</v>
      </c>
    </row>
    <row r="9" spans="1:21">
      <c r="A9" t="s">
        <v>9</v>
      </c>
    </row>
    <row r="11" spans="1:21">
      <c r="F11" s="21" t="s">
        <v>10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6"/>
    </row>
    <row r="12" spans="1:21">
      <c r="A12" s="8" t="s">
        <v>11</v>
      </c>
      <c r="B12" s="8" t="s">
        <v>12</v>
      </c>
      <c r="C12" s="8" t="s">
        <v>13</v>
      </c>
      <c r="D12" s="8" t="s">
        <v>14</v>
      </c>
      <c r="E12" s="16" t="s">
        <v>15</v>
      </c>
      <c r="F12" s="9">
        <v>10</v>
      </c>
      <c r="G12" s="9">
        <v>9</v>
      </c>
      <c r="H12" s="9">
        <v>8</v>
      </c>
      <c r="I12" s="9">
        <v>7</v>
      </c>
      <c r="J12" s="9">
        <v>6</v>
      </c>
      <c r="K12" s="9">
        <v>5</v>
      </c>
      <c r="L12" s="9">
        <v>4</v>
      </c>
      <c r="M12" s="9">
        <v>3</v>
      </c>
      <c r="N12" s="9">
        <v>2</v>
      </c>
      <c r="O12" s="9">
        <v>1</v>
      </c>
      <c r="P12" s="10">
        <v>0</v>
      </c>
      <c r="Q12" s="9" t="s">
        <v>16</v>
      </c>
      <c r="R12" s="9" t="s">
        <v>17</v>
      </c>
      <c r="S12" s="8" t="s">
        <v>18</v>
      </c>
      <c r="T12" s="8" t="s">
        <v>19</v>
      </c>
      <c r="U12" s="14" t="s">
        <v>20</v>
      </c>
    </row>
    <row r="13" spans="1:21">
      <c r="A13" t="s">
        <v>21</v>
      </c>
      <c r="C13" t="s">
        <v>22</v>
      </c>
      <c r="D13" t="s">
        <v>21</v>
      </c>
      <c r="F13" s="2">
        <v>85</v>
      </c>
      <c r="G13" s="2">
        <v>90</v>
      </c>
      <c r="H13" s="2">
        <v>101</v>
      </c>
      <c r="I13" s="2">
        <v>101</v>
      </c>
      <c r="J13" s="2">
        <v>109</v>
      </c>
      <c r="K13" s="2">
        <v>116</v>
      </c>
      <c r="L13" s="2">
        <v>124</v>
      </c>
      <c r="M13" s="2">
        <v>146</v>
      </c>
      <c r="N13" s="2">
        <v>165</v>
      </c>
      <c r="O13" s="2">
        <v>206</v>
      </c>
      <c r="P13" s="2">
        <v>266</v>
      </c>
      <c r="Q13" s="5">
        <v>375</v>
      </c>
      <c r="R13" s="2">
        <v>650</v>
      </c>
      <c r="S13">
        <v>1601</v>
      </c>
      <c r="T13" s="3">
        <f>SUM(Q13:R13)/S13</f>
        <v>0.64022485946283569</v>
      </c>
      <c r="U13" s="13">
        <v>62</v>
      </c>
    </row>
    <row r="14" spans="1:21">
      <c r="A14" t="s">
        <v>21</v>
      </c>
      <c r="C14" t="s">
        <v>23</v>
      </c>
      <c r="D14" t="s">
        <v>21</v>
      </c>
      <c r="F14" s="2">
        <v>47</v>
      </c>
      <c r="G14" s="2">
        <v>50</v>
      </c>
      <c r="H14" s="2">
        <v>62</v>
      </c>
      <c r="I14" s="2">
        <v>67</v>
      </c>
      <c r="J14" s="2">
        <v>74</v>
      </c>
      <c r="K14" s="2">
        <v>79</v>
      </c>
      <c r="L14" s="2">
        <v>87</v>
      </c>
      <c r="M14" s="2">
        <v>98</v>
      </c>
      <c r="N14" s="2">
        <v>129</v>
      </c>
      <c r="O14" s="2">
        <v>169</v>
      </c>
      <c r="P14" s="5">
        <v>216</v>
      </c>
      <c r="Q14" s="5">
        <v>308</v>
      </c>
      <c r="R14" s="2">
        <v>426</v>
      </c>
      <c r="S14">
        <v>1607</v>
      </c>
      <c r="T14" s="3">
        <f>SUM(Q14:R14)/S14</f>
        <v>0.45675171126322339</v>
      </c>
      <c r="U14" s="13">
        <v>52</v>
      </c>
    </row>
    <row r="15" spans="1:21">
      <c r="P15" s="5"/>
      <c r="Q15" s="5"/>
      <c r="T15" s="3"/>
    </row>
    <row r="16" spans="1:21">
      <c r="A16" t="s">
        <v>24</v>
      </c>
      <c r="B16" t="s">
        <v>25</v>
      </c>
      <c r="C16" t="s">
        <v>26</v>
      </c>
      <c r="D16" t="s">
        <v>23</v>
      </c>
    </row>
    <row r="17" spans="1:21">
      <c r="A17" t="s">
        <v>27</v>
      </c>
      <c r="B17" t="s">
        <v>25</v>
      </c>
      <c r="C17" t="s">
        <v>28</v>
      </c>
      <c r="D17" t="s">
        <v>29</v>
      </c>
      <c r="F17" s="2">
        <v>102</v>
      </c>
      <c r="G17" s="2">
        <v>112.33333333333333</v>
      </c>
      <c r="H17" s="2">
        <v>122</v>
      </c>
      <c r="I17" s="2">
        <v>125</v>
      </c>
      <c r="J17" s="2">
        <v>134.33333333333334</v>
      </c>
      <c r="K17" s="2">
        <v>142.33333333333334</v>
      </c>
      <c r="L17" s="2">
        <v>153.66666666666666</v>
      </c>
      <c r="M17" s="2">
        <v>180</v>
      </c>
      <c r="N17" s="2">
        <v>204.66666666666666</v>
      </c>
      <c r="O17" s="2">
        <v>252.66666666666666</v>
      </c>
      <c r="P17" s="4">
        <v>326</v>
      </c>
      <c r="Q17" s="4">
        <v>460.33333333333331</v>
      </c>
      <c r="R17" s="2">
        <v>712</v>
      </c>
      <c r="S17" s="2">
        <v>1607</v>
      </c>
      <c r="T17" s="3">
        <f>SUM(Q17:R17)/S17</f>
        <v>0.7295166977805434</v>
      </c>
      <c r="U17" s="13">
        <v>53</v>
      </c>
    </row>
    <row r="18" spans="1:21">
      <c r="A18" t="s">
        <v>30</v>
      </c>
      <c r="B18" t="s">
        <v>25</v>
      </c>
      <c r="C18" t="s">
        <v>31</v>
      </c>
      <c r="D18" t="s">
        <v>29</v>
      </c>
      <c r="F18" s="2">
        <v>102</v>
      </c>
      <c r="G18" s="2">
        <v>112.33333333333333</v>
      </c>
      <c r="H18" s="2">
        <v>122</v>
      </c>
      <c r="I18" s="2">
        <v>125</v>
      </c>
      <c r="J18" s="2">
        <v>134.33333333333334</v>
      </c>
      <c r="K18" s="2">
        <v>142.33333333333334</v>
      </c>
      <c r="L18" s="2">
        <v>153.66666666666666</v>
      </c>
      <c r="M18" s="2">
        <v>180</v>
      </c>
      <c r="N18" s="2">
        <v>204.66666666666666</v>
      </c>
      <c r="O18" s="2">
        <v>252.66666666666666</v>
      </c>
      <c r="P18" s="4">
        <v>326</v>
      </c>
      <c r="Q18" s="4">
        <v>460.33333333333331</v>
      </c>
      <c r="R18" s="2">
        <v>712</v>
      </c>
      <c r="S18" s="2">
        <v>1607</v>
      </c>
      <c r="T18" s="3">
        <f>SUM(Q18:R18)/S18</f>
        <v>0.7295166977805434</v>
      </c>
      <c r="U18" s="13">
        <v>53</v>
      </c>
    </row>
    <row r="19" spans="1:21">
      <c r="S19" s="2"/>
      <c r="T19" s="3"/>
    </row>
    <row r="20" spans="1:21">
      <c r="A20" t="s">
        <v>32</v>
      </c>
      <c r="B20" t="s">
        <v>25</v>
      </c>
      <c r="C20" t="s">
        <v>33</v>
      </c>
      <c r="D20" t="s">
        <v>23</v>
      </c>
      <c r="S20" s="2"/>
      <c r="T20" s="3"/>
    </row>
    <row r="21" spans="1:21">
      <c r="A21" t="s">
        <v>34</v>
      </c>
      <c r="B21" t="s">
        <v>25</v>
      </c>
      <c r="C21" t="s">
        <v>35</v>
      </c>
      <c r="D21" t="s">
        <v>36</v>
      </c>
      <c r="E21" s="15">
        <v>45808</v>
      </c>
      <c r="F21" s="2">
        <v>95</v>
      </c>
      <c r="G21" s="2">
        <v>99</v>
      </c>
      <c r="H21" s="2">
        <v>102</v>
      </c>
      <c r="I21" s="2">
        <v>110</v>
      </c>
      <c r="J21" s="2">
        <v>122.33333333333333</v>
      </c>
      <c r="K21" s="2">
        <v>133</v>
      </c>
      <c r="L21" s="2">
        <v>151.33333333333334</v>
      </c>
      <c r="M21" s="2">
        <v>167.66666666666666</v>
      </c>
      <c r="N21" s="2">
        <v>200.33333333333334</v>
      </c>
      <c r="O21" s="2">
        <v>233.66666666666666</v>
      </c>
      <c r="P21" s="4">
        <v>272</v>
      </c>
      <c r="Q21" s="4">
        <v>431</v>
      </c>
      <c r="R21" s="2">
        <v>634.66666666666663</v>
      </c>
      <c r="S21" s="2">
        <v>1450</v>
      </c>
      <c r="T21" s="3">
        <f>SUM(Q21:R21)/S21</f>
        <v>0.73494252873563204</v>
      </c>
      <c r="U21" s="13">
        <v>55</v>
      </c>
    </row>
    <row r="22" spans="1:21">
      <c r="A22" t="s">
        <v>37</v>
      </c>
      <c r="B22" t="s">
        <v>25</v>
      </c>
      <c r="C22" t="s">
        <v>38</v>
      </c>
      <c r="D22" t="s">
        <v>36</v>
      </c>
      <c r="E22" s="15">
        <v>45809</v>
      </c>
      <c r="F22" s="2">
        <v>95</v>
      </c>
      <c r="G22" s="2">
        <v>99</v>
      </c>
      <c r="H22" s="2">
        <v>102</v>
      </c>
      <c r="I22" s="2">
        <v>110</v>
      </c>
      <c r="J22" s="2">
        <v>122.33333333333333</v>
      </c>
      <c r="K22" s="2">
        <v>133</v>
      </c>
      <c r="L22" s="2">
        <v>151.33333333333334</v>
      </c>
      <c r="M22" s="2">
        <v>167.66666666666666</v>
      </c>
      <c r="N22" s="2">
        <v>200.33333333333334</v>
      </c>
      <c r="O22" s="2">
        <v>233.66666666666666</v>
      </c>
      <c r="P22" s="4">
        <v>272</v>
      </c>
      <c r="Q22" s="4">
        <v>431</v>
      </c>
      <c r="R22" s="2">
        <v>634.66666666666663</v>
      </c>
      <c r="S22" s="2">
        <v>1450</v>
      </c>
      <c r="T22" s="3">
        <f>SUM(Q22:R22)/S22</f>
        <v>0.73494252873563204</v>
      </c>
      <c r="U22" s="13">
        <v>55</v>
      </c>
    </row>
    <row r="23" spans="1:21">
      <c r="S23" s="2"/>
      <c r="T23" s="3"/>
    </row>
    <row r="24" spans="1:21">
      <c r="A24" t="s">
        <v>39</v>
      </c>
      <c r="B24" t="s">
        <v>25</v>
      </c>
      <c r="C24" t="s">
        <v>40</v>
      </c>
      <c r="D24" t="s">
        <v>41</v>
      </c>
      <c r="F24" s="2">
        <v>34</v>
      </c>
      <c r="G24" s="2">
        <v>37.333333333333336</v>
      </c>
      <c r="H24" s="2">
        <v>47.333333333333336</v>
      </c>
      <c r="I24" s="2">
        <v>54.333333333333336</v>
      </c>
      <c r="J24" s="2">
        <v>67.333333333333329</v>
      </c>
      <c r="K24" s="2">
        <v>70.333333333333329</v>
      </c>
      <c r="L24" s="2">
        <v>76.333333333333329</v>
      </c>
      <c r="M24" s="2">
        <v>93</v>
      </c>
      <c r="N24" s="2">
        <v>113</v>
      </c>
      <c r="O24" s="2">
        <v>168</v>
      </c>
      <c r="P24" s="4">
        <v>241</v>
      </c>
      <c r="Q24" s="4">
        <v>399.33333333333331</v>
      </c>
      <c r="R24" s="2">
        <v>617.33333333333337</v>
      </c>
      <c r="S24" s="2">
        <v>1450</v>
      </c>
      <c r="T24" s="3">
        <f>SUM(Q24:R24)/S24</f>
        <v>0.70114942528735635</v>
      </c>
      <c r="U24" s="13">
        <v>54</v>
      </c>
    </row>
    <row r="25" spans="1:21">
      <c r="A25" t="s">
        <v>42</v>
      </c>
      <c r="B25" t="s">
        <v>25</v>
      </c>
      <c r="C25" t="s">
        <v>43</v>
      </c>
      <c r="D25" t="s">
        <v>41</v>
      </c>
      <c r="F25" s="2">
        <v>34</v>
      </c>
      <c r="G25" s="2">
        <v>37.333333333333336</v>
      </c>
      <c r="H25" s="2">
        <v>47.333333333333336</v>
      </c>
      <c r="I25" s="2">
        <v>54.333333333333336</v>
      </c>
      <c r="J25" s="2">
        <v>67.333333333333329</v>
      </c>
      <c r="K25" s="2">
        <v>70.333333333333329</v>
      </c>
      <c r="L25" s="2">
        <v>76.333333333333329</v>
      </c>
      <c r="M25" s="2">
        <v>93</v>
      </c>
      <c r="N25" s="2">
        <v>113</v>
      </c>
      <c r="O25" s="2">
        <v>168</v>
      </c>
      <c r="P25" s="4">
        <v>241</v>
      </c>
      <c r="Q25" s="4">
        <v>399.33333333333331</v>
      </c>
      <c r="R25" s="2">
        <v>617.33333333333337</v>
      </c>
      <c r="S25" s="2">
        <v>1450</v>
      </c>
      <c r="T25" s="3">
        <f>SUM(Q25:R25)/S25</f>
        <v>0.70114942528735635</v>
      </c>
      <c r="U25" s="13">
        <v>54</v>
      </c>
    </row>
    <row r="26" spans="1:21">
      <c r="A26" t="s">
        <v>44</v>
      </c>
      <c r="B26" t="s">
        <v>25</v>
      </c>
      <c r="C26" t="s">
        <v>45</v>
      </c>
      <c r="D26" t="s">
        <v>41</v>
      </c>
      <c r="F26" s="2">
        <v>34</v>
      </c>
      <c r="G26" s="2">
        <v>37.333333333333336</v>
      </c>
      <c r="H26" s="2">
        <v>47.333333333333336</v>
      </c>
      <c r="I26" s="2">
        <v>54.333333333333336</v>
      </c>
      <c r="J26" s="2">
        <v>67.333333333333329</v>
      </c>
      <c r="K26" s="2">
        <v>70.333333333333329</v>
      </c>
      <c r="L26" s="2">
        <v>76.333333333333329</v>
      </c>
      <c r="M26" s="2">
        <v>93</v>
      </c>
      <c r="N26" s="2">
        <v>113</v>
      </c>
      <c r="O26" s="2">
        <v>168</v>
      </c>
      <c r="P26" s="4">
        <v>241</v>
      </c>
      <c r="Q26" s="4">
        <v>399.33333333333331</v>
      </c>
      <c r="R26" s="2">
        <v>617.33333333333337</v>
      </c>
      <c r="S26" s="2">
        <v>1450</v>
      </c>
      <c r="T26" s="3">
        <f>SUM(Q26:R26)/S26</f>
        <v>0.70114942528735635</v>
      </c>
      <c r="U26" s="13">
        <v>54</v>
      </c>
    </row>
    <row r="27" spans="1:21">
      <c r="S27" s="2"/>
      <c r="T27" s="3"/>
    </row>
    <row r="28" spans="1:21">
      <c r="A28" t="s">
        <v>46</v>
      </c>
      <c r="B28" t="s">
        <v>25</v>
      </c>
      <c r="C28" t="s">
        <v>47</v>
      </c>
      <c r="D28" t="s">
        <v>23</v>
      </c>
    </row>
    <row r="29" spans="1:21">
      <c r="A29" t="s">
        <v>48</v>
      </c>
      <c r="B29" t="s">
        <v>25</v>
      </c>
      <c r="C29" t="s">
        <v>49</v>
      </c>
      <c r="D29" t="s">
        <v>50</v>
      </c>
      <c r="F29" s="2">
        <v>80</v>
      </c>
      <c r="G29" s="2">
        <v>85.333333333333329</v>
      </c>
      <c r="H29" s="2">
        <v>89</v>
      </c>
      <c r="I29" s="2">
        <v>92.666666666666671</v>
      </c>
      <c r="J29" s="2">
        <v>100.33333333333333</v>
      </c>
      <c r="K29" s="2">
        <v>114.33333333333333</v>
      </c>
      <c r="L29" s="2">
        <v>129.66666666666666</v>
      </c>
      <c r="M29" s="2">
        <v>147</v>
      </c>
      <c r="N29" s="2">
        <v>175.33333333333334</v>
      </c>
      <c r="O29" s="2">
        <v>196.33333333333334</v>
      </c>
      <c r="P29" s="4">
        <v>266.33333333333331</v>
      </c>
      <c r="Q29" s="4">
        <v>419</v>
      </c>
      <c r="R29" s="2">
        <v>772.33333333333337</v>
      </c>
      <c r="S29" s="2">
        <v>1607</v>
      </c>
      <c r="T29" s="3">
        <f>SUM(Q29:R29)/S29</f>
        <v>0.74133997096038173</v>
      </c>
      <c r="U29" s="13">
        <v>45</v>
      </c>
    </row>
    <row r="30" spans="1:21">
      <c r="A30" t="s">
        <v>51</v>
      </c>
      <c r="B30" t="s">
        <v>25</v>
      </c>
      <c r="C30" t="s">
        <v>52</v>
      </c>
      <c r="D30" t="s">
        <v>50</v>
      </c>
      <c r="F30" s="2">
        <v>80</v>
      </c>
      <c r="G30" s="2">
        <v>85.333333333333329</v>
      </c>
      <c r="H30" s="2">
        <v>89</v>
      </c>
      <c r="I30" s="2">
        <v>92.666666666666671</v>
      </c>
      <c r="J30" s="2">
        <v>100.33333333333333</v>
      </c>
      <c r="K30" s="2">
        <v>114.33333333333333</v>
      </c>
      <c r="L30" s="2">
        <v>129.66666666666666</v>
      </c>
      <c r="M30" s="2">
        <v>147</v>
      </c>
      <c r="N30" s="2">
        <v>175.33333333333334</v>
      </c>
      <c r="O30" s="2">
        <v>196.33333333333334</v>
      </c>
      <c r="P30" s="4">
        <v>266.33333333333331</v>
      </c>
      <c r="Q30" s="4">
        <v>419</v>
      </c>
      <c r="R30" s="2">
        <v>772.33333333333337</v>
      </c>
      <c r="S30" s="2">
        <v>1607</v>
      </c>
      <c r="T30" s="3">
        <f>SUM(Q30:R30)/S30</f>
        <v>0.74133997096038173</v>
      </c>
      <c r="U30" s="13">
        <v>45</v>
      </c>
    </row>
    <row r="31" spans="1:21">
      <c r="S31" s="2"/>
      <c r="T31" s="3"/>
    </row>
    <row r="32" spans="1:21" ht="15.75">
      <c r="A32" t="s">
        <v>53</v>
      </c>
      <c r="B32" t="s">
        <v>25</v>
      </c>
      <c r="C32" t="s">
        <v>54</v>
      </c>
      <c r="D32" t="s">
        <v>55</v>
      </c>
      <c r="E32" s="15">
        <v>45681</v>
      </c>
      <c r="F32" s="11"/>
      <c r="G32" s="11">
        <v>53</v>
      </c>
      <c r="H32" s="11">
        <v>65</v>
      </c>
      <c r="I32" s="11">
        <v>77</v>
      </c>
      <c r="J32" s="11">
        <v>90</v>
      </c>
      <c r="K32" s="11">
        <v>99</v>
      </c>
      <c r="L32" s="11">
        <v>121</v>
      </c>
      <c r="M32" s="11">
        <v>138</v>
      </c>
      <c r="N32" s="11">
        <v>154</v>
      </c>
      <c r="O32" s="11">
        <v>169</v>
      </c>
      <c r="P32" s="11">
        <v>210</v>
      </c>
      <c r="Q32" s="4">
        <v>317</v>
      </c>
      <c r="R32" s="2">
        <v>473</v>
      </c>
      <c r="S32" s="2">
        <v>1607</v>
      </c>
      <c r="T32" s="3">
        <f>SUM(Q32:R32)/S32</f>
        <v>0.49159925326695708</v>
      </c>
      <c r="U32" s="13">
        <v>52</v>
      </c>
    </row>
    <row r="33" spans="1:21" ht="15.75">
      <c r="A33" t="s">
        <v>56</v>
      </c>
      <c r="B33" t="s">
        <v>25</v>
      </c>
      <c r="C33" t="s">
        <v>57</v>
      </c>
      <c r="D33" t="s">
        <v>58</v>
      </c>
      <c r="E33" s="15">
        <v>45682</v>
      </c>
      <c r="F33" s="11"/>
      <c r="G33" s="11">
        <v>64</v>
      </c>
      <c r="H33" s="11">
        <v>75</v>
      </c>
      <c r="I33" s="11">
        <v>85</v>
      </c>
      <c r="J33" s="11">
        <v>94</v>
      </c>
      <c r="K33" s="11">
        <v>111</v>
      </c>
      <c r="L33" s="11">
        <v>133</v>
      </c>
      <c r="M33" s="11">
        <v>150</v>
      </c>
      <c r="N33" s="11">
        <v>139</v>
      </c>
      <c r="O33" s="11">
        <v>187</v>
      </c>
      <c r="P33" s="11">
        <v>220</v>
      </c>
      <c r="Q33" s="4">
        <v>375</v>
      </c>
      <c r="R33" s="2">
        <v>646</v>
      </c>
      <c r="S33" s="2">
        <v>1607</v>
      </c>
      <c r="T33" s="3">
        <f>SUM(Q33:R33)/S33</f>
        <v>0.63534536403235842</v>
      </c>
      <c r="U33" s="13">
        <v>52</v>
      </c>
    </row>
    <row r="34" spans="1:21" ht="15.75">
      <c r="A34" t="s">
        <v>59</v>
      </c>
      <c r="B34" t="s">
        <v>25</v>
      </c>
      <c r="C34" t="s">
        <v>60</v>
      </c>
      <c r="D34" t="s">
        <v>58</v>
      </c>
      <c r="E34" s="15">
        <v>45683</v>
      </c>
      <c r="F34" s="11"/>
      <c r="G34" s="11">
        <v>59</v>
      </c>
      <c r="H34" s="11">
        <v>72</v>
      </c>
      <c r="I34" s="11">
        <v>75</v>
      </c>
      <c r="J34" s="11">
        <v>85</v>
      </c>
      <c r="K34" s="11">
        <v>98</v>
      </c>
      <c r="L34" s="11">
        <v>111</v>
      </c>
      <c r="M34" s="11">
        <v>126</v>
      </c>
      <c r="N34" s="11">
        <v>136</v>
      </c>
      <c r="O34" s="11">
        <v>162</v>
      </c>
      <c r="P34" s="11">
        <v>196</v>
      </c>
      <c r="Q34" s="4">
        <v>284</v>
      </c>
      <c r="R34" s="2">
        <v>600</v>
      </c>
      <c r="S34" s="2">
        <v>1607</v>
      </c>
      <c r="T34" s="3">
        <f>SUM(Q34:R34)/S34</f>
        <v>0.55009334163036716</v>
      </c>
      <c r="U34" s="13">
        <v>52</v>
      </c>
    </row>
    <row r="35" spans="1:21">
      <c r="S35" s="2"/>
      <c r="T35" s="3"/>
    </row>
    <row r="36" spans="1:21" ht="15.75">
      <c r="A36" t="s">
        <v>61</v>
      </c>
      <c r="B36" t="s">
        <v>25</v>
      </c>
      <c r="C36" t="s">
        <v>62</v>
      </c>
      <c r="D36" t="s">
        <v>63</v>
      </c>
      <c r="E36" s="15">
        <v>45695</v>
      </c>
      <c r="G36" s="11">
        <v>27</v>
      </c>
      <c r="H36" s="11">
        <v>30</v>
      </c>
      <c r="I36" s="11">
        <v>52</v>
      </c>
      <c r="J36" s="11">
        <v>52</v>
      </c>
      <c r="K36" s="11">
        <v>62</v>
      </c>
      <c r="L36" s="11">
        <v>68</v>
      </c>
      <c r="M36" s="11">
        <v>70</v>
      </c>
      <c r="N36" s="11">
        <v>91</v>
      </c>
      <c r="O36" s="11">
        <v>99</v>
      </c>
      <c r="P36" s="11">
        <v>121</v>
      </c>
      <c r="Q36" s="11">
        <v>186</v>
      </c>
      <c r="R36" s="11">
        <v>585</v>
      </c>
      <c r="S36" s="2">
        <v>1607</v>
      </c>
      <c r="T36" s="3">
        <f>SUM(Q36:R36)/S36</f>
        <v>0.47977598008711886</v>
      </c>
      <c r="U36" s="13">
        <v>50</v>
      </c>
    </row>
    <row r="37" spans="1:21" ht="15.75">
      <c r="A37" t="s">
        <v>64</v>
      </c>
      <c r="B37" t="s">
        <v>25</v>
      </c>
      <c r="C37" t="s">
        <v>65</v>
      </c>
      <c r="D37" t="s">
        <v>63</v>
      </c>
      <c r="E37" s="15">
        <v>45696</v>
      </c>
      <c r="G37" s="11">
        <v>49</v>
      </c>
      <c r="H37" s="11">
        <v>60</v>
      </c>
      <c r="I37" s="11">
        <v>66</v>
      </c>
      <c r="J37" s="11">
        <v>83</v>
      </c>
      <c r="K37" s="11">
        <v>90</v>
      </c>
      <c r="L37" s="11">
        <v>103</v>
      </c>
      <c r="M37" s="11">
        <v>111</v>
      </c>
      <c r="N37" s="11">
        <v>123</v>
      </c>
      <c r="O37" s="11">
        <v>148</v>
      </c>
      <c r="P37" s="11">
        <v>186</v>
      </c>
      <c r="Q37" s="11">
        <v>316</v>
      </c>
      <c r="R37" s="11">
        <v>611</v>
      </c>
      <c r="S37" s="2">
        <v>1607</v>
      </c>
      <c r="T37" s="3">
        <f>SUM(Q37:R37)/S37</f>
        <v>0.57685127566894834</v>
      </c>
      <c r="U37" s="13">
        <v>50</v>
      </c>
    </row>
    <row r="38" spans="1:21" ht="15.75">
      <c r="A38" t="s">
        <v>66</v>
      </c>
      <c r="B38" t="s">
        <v>25</v>
      </c>
      <c r="C38" t="s">
        <v>67</v>
      </c>
      <c r="D38" t="s">
        <v>63</v>
      </c>
      <c r="E38" s="15">
        <v>45697</v>
      </c>
      <c r="G38" s="11">
        <v>17</v>
      </c>
      <c r="H38" s="11">
        <v>21</v>
      </c>
      <c r="I38" s="11">
        <v>24</v>
      </c>
      <c r="J38" s="11">
        <v>30</v>
      </c>
      <c r="K38" s="11">
        <v>33</v>
      </c>
      <c r="L38" s="11">
        <v>37</v>
      </c>
      <c r="M38" s="11">
        <v>38</v>
      </c>
      <c r="N38" s="17">
        <v>47</v>
      </c>
      <c r="O38" s="17">
        <v>64</v>
      </c>
      <c r="P38" s="11">
        <v>87</v>
      </c>
      <c r="Q38" s="11">
        <v>143</v>
      </c>
      <c r="R38" s="11">
        <v>560</v>
      </c>
      <c r="S38" s="2">
        <v>1607</v>
      </c>
      <c r="T38" s="3">
        <f>SUM(Q38:R38)/S38</f>
        <v>0.43746110765401369</v>
      </c>
      <c r="U38" s="13">
        <v>50</v>
      </c>
    </row>
    <row r="39" spans="1:21">
      <c r="S39" s="2"/>
      <c r="T39" s="3"/>
    </row>
    <row r="40" spans="1:21" ht="15.75">
      <c r="A40" t="s">
        <v>68</v>
      </c>
      <c r="B40" t="s">
        <v>25</v>
      </c>
      <c r="C40" t="s">
        <v>69</v>
      </c>
      <c r="D40" t="s">
        <v>70</v>
      </c>
      <c r="E40" s="15">
        <v>45548</v>
      </c>
      <c r="G40" s="11">
        <v>50</v>
      </c>
      <c r="H40" s="11">
        <v>59</v>
      </c>
      <c r="I40" s="11">
        <v>76</v>
      </c>
      <c r="J40" s="11">
        <v>88</v>
      </c>
      <c r="K40" s="11">
        <v>100</v>
      </c>
      <c r="L40" s="11">
        <v>121</v>
      </c>
      <c r="M40" s="11">
        <v>141</v>
      </c>
      <c r="N40" s="11">
        <v>175</v>
      </c>
      <c r="O40" s="11">
        <v>195</v>
      </c>
      <c r="P40" s="11">
        <v>252</v>
      </c>
      <c r="Q40" s="11">
        <v>372</v>
      </c>
      <c r="R40" s="11">
        <v>628</v>
      </c>
      <c r="S40" s="2">
        <v>1607</v>
      </c>
      <c r="T40" s="3">
        <f>SUM(Q40:R40)/S40</f>
        <v>0.62227753578095835</v>
      </c>
      <c r="U40" s="13">
        <v>52</v>
      </c>
    </row>
    <row r="41" spans="1:21" ht="15.75">
      <c r="A41" t="s">
        <v>71</v>
      </c>
      <c r="B41" t="s">
        <v>25</v>
      </c>
      <c r="C41" t="s">
        <v>72</v>
      </c>
      <c r="D41" t="s">
        <v>70</v>
      </c>
      <c r="E41" s="15">
        <v>45549</v>
      </c>
      <c r="G41" s="11">
        <v>47</v>
      </c>
      <c r="H41" s="11">
        <v>58</v>
      </c>
      <c r="I41" s="11">
        <v>80</v>
      </c>
      <c r="J41" s="11">
        <v>94</v>
      </c>
      <c r="K41" s="11">
        <v>105</v>
      </c>
      <c r="L41" s="11">
        <v>127</v>
      </c>
      <c r="M41" s="11">
        <v>139</v>
      </c>
      <c r="N41" s="11">
        <v>152</v>
      </c>
      <c r="O41" s="11">
        <v>180</v>
      </c>
      <c r="P41" s="11">
        <v>247</v>
      </c>
      <c r="Q41" s="11">
        <v>424</v>
      </c>
      <c r="R41" s="11">
        <v>610</v>
      </c>
      <c r="S41" s="2">
        <v>1607</v>
      </c>
      <c r="T41" s="3">
        <f>SUM(Q41:R41)/S41</f>
        <v>0.64343497199751087</v>
      </c>
      <c r="U41" s="13">
        <v>52</v>
      </c>
    </row>
    <row r="42" spans="1:21" ht="15.75">
      <c r="A42" t="s">
        <v>73</v>
      </c>
      <c r="B42" t="s">
        <v>25</v>
      </c>
      <c r="C42" t="s">
        <v>74</v>
      </c>
      <c r="D42" t="s">
        <v>70</v>
      </c>
      <c r="E42" s="15">
        <v>45550</v>
      </c>
      <c r="G42" s="11">
        <v>89</v>
      </c>
      <c r="H42" s="11">
        <v>92</v>
      </c>
      <c r="I42" s="11">
        <v>106</v>
      </c>
      <c r="J42" s="11">
        <v>123</v>
      </c>
      <c r="K42" s="11">
        <v>129</v>
      </c>
      <c r="L42" s="11">
        <v>150</v>
      </c>
      <c r="M42" s="11">
        <v>161</v>
      </c>
      <c r="N42" s="11">
        <v>186</v>
      </c>
      <c r="O42" s="11">
        <v>202</v>
      </c>
      <c r="P42" s="11">
        <v>252</v>
      </c>
      <c r="Q42" s="11">
        <v>375</v>
      </c>
      <c r="R42" s="11">
        <v>633</v>
      </c>
      <c r="S42" s="2">
        <v>1607</v>
      </c>
      <c r="T42" s="3">
        <f>SUM(Q42:R42)/S42</f>
        <v>0.62725575606720596</v>
      </c>
      <c r="U42" s="13">
        <v>52</v>
      </c>
    </row>
    <row r="43" spans="1:21">
      <c r="S43" s="2"/>
      <c r="T43" s="3"/>
    </row>
    <row r="44" spans="1:21" ht="15.75">
      <c r="A44" t="s">
        <v>75</v>
      </c>
      <c r="B44" t="s">
        <v>25</v>
      </c>
      <c r="C44" t="s">
        <v>76</v>
      </c>
      <c r="D44" t="s">
        <v>23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R44" s="11"/>
      <c r="T44" s="12"/>
    </row>
    <row r="45" spans="1:21" ht="15.75">
      <c r="A45" t="s">
        <v>77</v>
      </c>
      <c r="B45" t="s">
        <v>25</v>
      </c>
      <c r="C45" t="s">
        <v>78</v>
      </c>
      <c r="D45" t="s">
        <v>79</v>
      </c>
      <c r="E45" s="15">
        <v>45570</v>
      </c>
      <c r="G45" s="11">
        <v>34</v>
      </c>
      <c r="H45" s="11">
        <v>37</v>
      </c>
      <c r="I45" s="11">
        <v>42</v>
      </c>
      <c r="J45" s="11">
        <v>48</v>
      </c>
      <c r="K45" s="11">
        <v>48</v>
      </c>
      <c r="L45" s="11">
        <v>48</v>
      </c>
      <c r="M45" s="11">
        <v>57</v>
      </c>
      <c r="N45" s="11">
        <v>68</v>
      </c>
      <c r="O45" s="11">
        <v>85</v>
      </c>
      <c r="P45" s="11">
        <v>120</v>
      </c>
      <c r="Q45" s="4">
        <v>273</v>
      </c>
      <c r="R45" s="11">
        <v>546</v>
      </c>
      <c r="S45" s="2">
        <v>1452</v>
      </c>
      <c r="T45" s="3">
        <f>SUM(Q45:R45)/S45</f>
        <v>0.56404958677685946</v>
      </c>
      <c r="U45" s="13">
        <v>49</v>
      </c>
    </row>
    <row r="46" spans="1:21" ht="15.75">
      <c r="A46" t="s">
        <v>80</v>
      </c>
      <c r="B46" t="s">
        <v>25</v>
      </c>
      <c r="C46" t="s">
        <v>81</v>
      </c>
      <c r="D46" t="s">
        <v>79</v>
      </c>
      <c r="E46" s="15">
        <v>45571</v>
      </c>
      <c r="G46" s="11">
        <v>50</v>
      </c>
      <c r="H46" s="11">
        <v>55</v>
      </c>
      <c r="I46" s="11">
        <v>58</v>
      </c>
      <c r="J46" s="11">
        <v>62</v>
      </c>
      <c r="K46" s="11">
        <v>66</v>
      </c>
      <c r="L46" s="11">
        <v>68</v>
      </c>
      <c r="M46" s="11">
        <v>69</v>
      </c>
      <c r="N46" s="11">
        <v>88</v>
      </c>
      <c r="O46" s="11">
        <v>176</v>
      </c>
      <c r="P46" s="11">
        <v>217</v>
      </c>
      <c r="Q46" s="4">
        <v>300</v>
      </c>
      <c r="R46" s="11">
        <v>614</v>
      </c>
      <c r="S46" s="2">
        <v>1450</v>
      </c>
      <c r="T46" s="3">
        <f>SUM(Q46:R46)/S46</f>
        <v>0.63034482758620691</v>
      </c>
      <c r="U46" s="13">
        <v>49</v>
      </c>
    </row>
    <row r="47" spans="1:21">
      <c r="S47" s="2"/>
      <c r="T47" s="3"/>
    </row>
    <row r="48" spans="1:21" ht="15.75">
      <c r="A48" t="s">
        <v>82</v>
      </c>
      <c r="B48" t="s">
        <v>25</v>
      </c>
      <c r="C48" t="s">
        <v>83</v>
      </c>
      <c r="D48" t="s">
        <v>41</v>
      </c>
      <c r="E48" s="15">
        <v>45247</v>
      </c>
      <c r="G48" s="11">
        <v>42</v>
      </c>
      <c r="H48" s="11">
        <v>50</v>
      </c>
      <c r="I48" s="11">
        <v>60</v>
      </c>
      <c r="J48" s="11">
        <v>76</v>
      </c>
      <c r="K48" s="11">
        <v>80</v>
      </c>
      <c r="L48" s="11">
        <v>84</v>
      </c>
      <c r="M48" s="11">
        <v>105</v>
      </c>
      <c r="N48" s="11">
        <v>123</v>
      </c>
      <c r="O48" s="11">
        <v>169</v>
      </c>
      <c r="P48" s="11">
        <v>217</v>
      </c>
      <c r="Q48" s="11">
        <v>338</v>
      </c>
      <c r="R48" s="11">
        <v>546</v>
      </c>
      <c r="S48" s="2">
        <v>1607</v>
      </c>
      <c r="T48" s="3">
        <f>SUM(Q48:R48)/S48</f>
        <v>0.55009334163036716</v>
      </c>
      <c r="U48" s="13">
        <v>54</v>
      </c>
    </row>
    <row r="49" spans="1:21" ht="15.75">
      <c r="A49" t="s">
        <v>84</v>
      </c>
      <c r="B49" t="s">
        <v>25</v>
      </c>
      <c r="C49" t="s">
        <v>83</v>
      </c>
      <c r="D49" t="s">
        <v>41</v>
      </c>
      <c r="E49" s="15">
        <v>45238</v>
      </c>
      <c r="G49" s="11">
        <v>31</v>
      </c>
      <c r="H49" s="11">
        <v>39</v>
      </c>
      <c r="I49" s="11">
        <v>50</v>
      </c>
      <c r="J49" s="11">
        <v>65</v>
      </c>
      <c r="K49" s="11">
        <v>69</v>
      </c>
      <c r="L49" s="11">
        <v>76</v>
      </c>
      <c r="M49" s="11">
        <v>92</v>
      </c>
      <c r="N49" s="11">
        <v>114</v>
      </c>
      <c r="O49" s="11">
        <v>172</v>
      </c>
      <c r="P49" s="11">
        <v>259</v>
      </c>
      <c r="Q49" s="11">
        <v>437</v>
      </c>
      <c r="R49" s="11">
        <v>626</v>
      </c>
      <c r="S49" s="2">
        <v>1607</v>
      </c>
      <c r="T49" s="3">
        <f>SUM(Q49:R49)/S49</f>
        <v>0.66148102053515867</v>
      </c>
      <c r="U49" s="13">
        <v>54</v>
      </c>
    </row>
    <row r="50" spans="1:21" ht="15.75">
      <c r="A50" t="s">
        <v>85</v>
      </c>
      <c r="B50" t="s">
        <v>25</v>
      </c>
      <c r="C50" t="s">
        <v>83</v>
      </c>
      <c r="D50" t="s">
        <v>41</v>
      </c>
      <c r="E50" s="15">
        <v>45249</v>
      </c>
      <c r="G50" s="11">
        <v>39</v>
      </c>
      <c r="H50" s="11">
        <v>53</v>
      </c>
      <c r="I50" s="11">
        <v>53</v>
      </c>
      <c r="J50" s="11">
        <v>61</v>
      </c>
      <c r="K50" s="11">
        <v>62</v>
      </c>
      <c r="L50" s="11">
        <v>69</v>
      </c>
      <c r="M50" s="11">
        <v>82</v>
      </c>
      <c r="N50" s="11">
        <v>102</v>
      </c>
      <c r="O50" s="11">
        <v>163</v>
      </c>
      <c r="P50" s="11">
        <v>247</v>
      </c>
      <c r="Q50" s="11">
        <v>423</v>
      </c>
      <c r="R50" s="11">
        <v>680</v>
      </c>
      <c r="S50" s="2">
        <v>1607</v>
      </c>
      <c r="T50" s="3">
        <f>SUM(Q50:R50)/S50</f>
        <v>0.68637212196639696</v>
      </c>
      <c r="U50" s="13">
        <v>54</v>
      </c>
    </row>
    <row r="51" spans="1:21">
      <c r="S51" s="2"/>
      <c r="T51" s="3"/>
    </row>
    <row r="52" spans="1:21">
      <c r="A52" t="s">
        <v>86</v>
      </c>
      <c r="B52" t="s">
        <v>25</v>
      </c>
      <c r="C52" t="s">
        <v>87</v>
      </c>
      <c r="D52" t="s">
        <v>88</v>
      </c>
      <c r="G52">
        <v>118</v>
      </c>
      <c r="H52">
        <v>124</v>
      </c>
      <c r="I52">
        <v>133</v>
      </c>
      <c r="J52">
        <v>143</v>
      </c>
      <c r="K52">
        <v>159</v>
      </c>
      <c r="L52">
        <v>183</v>
      </c>
      <c r="M52">
        <v>208</v>
      </c>
      <c r="N52">
        <v>238</v>
      </c>
      <c r="O52">
        <v>279</v>
      </c>
      <c r="P52">
        <v>334</v>
      </c>
      <c r="Q52">
        <v>492</v>
      </c>
      <c r="R52">
        <f>661-89+125</f>
        <v>697</v>
      </c>
      <c r="S52" s="2">
        <v>1607</v>
      </c>
      <c r="T52" s="3">
        <f t="shared" ref="T52:T54" si="0">SUM(Q52:R52)/S52</f>
        <v>0.73988799004355943</v>
      </c>
      <c r="U52" s="13">
        <v>65</v>
      </c>
    </row>
    <row r="53" spans="1:21">
      <c r="A53" t="s">
        <v>89</v>
      </c>
      <c r="B53" t="s">
        <v>25</v>
      </c>
      <c r="C53" t="s">
        <v>90</v>
      </c>
      <c r="D53" t="s">
        <v>91</v>
      </c>
      <c r="G53">
        <v>178</v>
      </c>
      <c r="H53">
        <v>181</v>
      </c>
      <c r="I53">
        <v>198</v>
      </c>
      <c r="J53">
        <v>218</v>
      </c>
      <c r="K53">
        <v>231</v>
      </c>
      <c r="L53">
        <v>249</v>
      </c>
      <c r="M53">
        <v>270</v>
      </c>
      <c r="N53">
        <v>305</v>
      </c>
      <c r="O53">
        <v>350</v>
      </c>
      <c r="P53">
        <v>429</v>
      </c>
      <c r="Q53">
        <v>594</v>
      </c>
      <c r="R53">
        <f>712-116+101</f>
        <v>697</v>
      </c>
      <c r="S53" s="2">
        <v>1607</v>
      </c>
      <c r="T53" s="3">
        <f t="shared" si="0"/>
        <v>0.80336029869321712</v>
      </c>
      <c r="U53" s="13">
        <v>67</v>
      </c>
    </row>
    <row r="54" spans="1:21">
      <c r="A54" t="s">
        <v>92</v>
      </c>
      <c r="B54" t="s">
        <v>25</v>
      </c>
      <c r="C54" t="s">
        <v>93</v>
      </c>
      <c r="D54" t="s">
        <v>94</v>
      </c>
      <c r="G54">
        <v>253</v>
      </c>
      <c r="H54">
        <v>267</v>
      </c>
      <c r="I54">
        <v>287</v>
      </c>
      <c r="J54">
        <v>321</v>
      </c>
      <c r="K54">
        <v>356</v>
      </c>
      <c r="L54">
        <v>367</v>
      </c>
      <c r="M54">
        <v>402</v>
      </c>
      <c r="N54">
        <v>428</v>
      </c>
      <c r="O54">
        <v>477</v>
      </c>
      <c r="P54">
        <v>577</v>
      </c>
      <c r="Q54">
        <v>795</v>
      </c>
      <c r="R54">
        <f>706-77+150</f>
        <v>779</v>
      </c>
      <c r="S54" s="2">
        <v>1607</v>
      </c>
      <c r="T54" s="3">
        <f t="shared" si="0"/>
        <v>0.9794648413192284</v>
      </c>
      <c r="U54" s="13">
        <v>61</v>
      </c>
    </row>
    <row r="55" spans="1:21">
      <c r="S55" s="2"/>
      <c r="T55" s="3"/>
    </row>
    <row r="56" spans="1:21">
      <c r="A56" t="s">
        <v>95</v>
      </c>
      <c r="C56" t="s">
        <v>96</v>
      </c>
      <c r="S56" s="2"/>
      <c r="T56" s="3"/>
    </row>
    <row r="57" spans="1:21">
      <c r="A57" t="s">
        <v>97</v>
      </c>
      <c r="C57" t="s">
        <v>98</v>
      </c>
      <c r="S57" s="2"/>
      <c r="T57" s="3"/>
    </row>
    <row r="58" spans="1:21">
      <c r="A58" t="s">
        <v>99</v>
      </c>
      <c r="C58" t="s">
        <v>100</v>
      </c>
      <c r="S58" s="2"/>
      <c r="T58" s="3"/>
    </row>
    <row r="59" spans="1:21">
      <c r="S59" s="2"/>
      <c r="T59" s="3"/>
    </row>
    <row r="60" spans="1:21">
      <c r="A60" t="s">
        <v>101</v>
      </c>
      <c r="C60" t="s">
        <v>102</v>
      </c>
      <c r="S60" s="2"/>
      <c r="T60" s="3"/>
    </row>
    <row r="61" spans="1:21">
      <c r="A61" t="s">
        <v>103</v>
      </c>
      <c r="C61" t="s">
        <v>104</v>
      </c>
      <c r="S61" s="2"/>
      <c r="T61" s="3"/>
    </row>
    <row r="62" spans="1:21">
      <c r="A62" t="s">
        <v>105</v>
      </c>
      <c r="C62" t="s">
        <v>106</v>
      </c>
      <c r="S62" s="2"/>
      <c r="T62" s="3"/>
    </row>
    <row r="63" spans="1:21">
      <c r="S63" s="2"/>
      <c r="T63" s="3"/>
    </row>
    <row r="64" spans="1:21">
      <c r="A64" t="s">
        <v>107</v>
      </c>
      <c r="C64" t="s">
        <v>108</v>
      </c>
      <c r="S64" s="2"/>
      <c r="T64" s="3"/>
    </row>
    <row r="65" spans="1:21">
      <c r="A65" t="s">
        <v>109</v>
      </c>
      <c r="C65" t="s">
        <v>110</v>
      </c>
      <c r="S65" s="2"/>
      <c r="T65" s="3"/>
    </row>
    <row r="66" spans="1:21">
      <c r="A66" t="s">
        <v>111</v>
      </c>
      <c r="C66" t="s">
        <v>112</v>
      </c>
      <c r="S66" s="2"/>
      <c r="T66" s="3"/>
    </row>
    <row r="67" spans="1:21">
      <c r="S67" s="2"/>
      <c r="T67" s="3"/>
    </row>
    <row r="68" spans="1:21">
      <c r="A68" t="s">
        <v>113</v>
      </c>
      <c r="C68" t="s">
        <v>114</v>
      </c>
    </row>
    <row r="69" spans="1:21">
      <c r="A69" t="s">
        <v>115</v>
      </c>
      <c r="C69" t="s">
        <v>114</v>
      </c>
    </row>
    <row r="70" spans="1:21">
      <c r="A70" t="s">
        <v>116</v>
      </c>
      <c r="C70" t="s">
        <v>114</v>
      </c>
    </row>
    <row r="72" spans="1:21">
      <c r="A72" t="s">
        <v>117</v>
      </c>
      <c r="B72" t="s">
        <v>25</v>
      </c>
      <c r="C72" t="s">
        <v>118</v>
      </c>
      <c r="D72" t="s">
        <v>119</v>
      </c>
      <c r="E72" s="15">
        <v>45702</v>
      </c>
      <c r="G72">
        <v>60</v>
      </c>
      <c r="H72">
        <v>64</v>
      </c>
      <c r="I72">
        <v>76</v>
      </c>
      <c r="J72">
        <v>88</v>
      </c>
      <c r="K72">
        <v>98</v>
      </c>
      <c r="L72">
        <v>130</v>
      </c>
      <c r="M72">
        <v>181</v>
      </c>
      <c r="N72">
        <v>256</v>
      </c>
      <c r="O72">
        <v>399</v>
      </c>
      <c r="P72">
        <v>588</v>
      </c>
      <c r="Q72">
        <v>752</v>
      </c>
      <c r="R72">
        <v>636</v>
      </c>
      <c r="S72">
        <v>1601</v>
      </c>
      <c r="T72" s="3">
        <f>SUM(Q72:R72)/S72</f>
        <v>0.86695815115552777</v>
      </c>
      <c r="U72" s="13">
        <v>63</v>
      </c>
    </row>
    <row r="73" spans="1:21">
      <c r="A73" t="s">
        <v>120</v>
      </c>
      <c r="B73" t="s">
        <v>25</v>
      </c>
      <c r="C73" t="s">
        <v>118</v>
      </c>
      <c r="D73" t="s">
        <v>121</v>
      </c>
      <c r="E73" s="15">
        <v>45703</v>
      </c>
      <c r="G73">
        <v>71</v>
      </c>
      <c r="H73">
        <v>77</v>
      </c>
      <c r="I73">
        <v>91</v>
      </c>
      <c r="J73">
        <v>95</v>
      </c>
      <c r="K73">
        <v>107</v>
      </c>
      <c r="L73">
        <v>125</v>
      </c>
      <c r="M73">
        <v>170</v>
      </c>
      <c r="N73">
        <v>209</v>
      </c>
      <c r="O73">
        <v>321</v>
      </c>
      <c r="P73">
        <v>439</v>
      </c>
      <c r="Q73">
        <v>583</v>
      </c>
      <c r="R73">
        <v>540</v>
      </c>
      <c r="S73">
        <v>1601</v>
      </c>
      <c r="T73" s="3">
        <f>SUM(Q73:R73)/S73</f>
        <v>0.70143660212367276</v>
      </c>
      <c r="U73" s="13">
        <v>69</v>
      </c>
    </row>
    <row r="74" spans="1:21">
      <c r="A74" t="s">
        <v>122</v>
      </c>
      <c r="B74" t="s">
        <v>25</v>
      </c>
      <c r="C74" t="s">
        <v>118</v>
      </c>
      <c r="D74" t="s">
        <v>123</v>
      </c>
      <c r="E74" s="15">
        <v>45704</v>
      </c>
      <c r="G74">
        <v>101</v>
      </c>
      <c r="H74">
        <v>124</v>
      </c>
      <c r="I74">
        <v>144</v>
      </c>
      <c r="J74">
        <v>155</v>
      </c>
      <c r="K74">
        <v>160</v>
      </c>
      <c r="L74">
        <v>170</v>
      </c>
      <c r="M74">
        <v>209</v>
      </c>
      <c r="N74">
        <v>264</v>
      </c>
      <c r="O74">
        <v>361</v>
      </c>
      <c r="P74">
        <v>493</v>
      </c>
      <c r="Q74">
        <v>693</v>
      </c>
      <c r="R74">
        <v>380</v>
      </c>
      <c r="S74">
        <v>1601</v>
      </c>
      <c r="T74" s="3">
        <f>SUM(Q74:R74)/S74</f>
        <v>0.67020612117426603</v>
      </c>
      <c r="U74" s="13">
        <v>68</v>
      </c>
    </row>
    <row r="75" spans="1:21">
      <c r="T75" s="3"/>
    </row>
    <row r="76" spans="1:21">
      <c r="A76" t="s">
        <v>124</v>
      </c>
      <c r="C76" t="s">
        <v>125</v>
      </c>
      <c r="D76" t="s">
        <v>126</v>
      </c>
      <c r="Q76" s="4">
        <v>772</v>
      </c>
      <c r="R76" s="2">
        <v>667</v>
      </c>
      <c r="S76">
        <v>1601</v>
      </c>
      <c r="T76" s="3">
        <f>SUM(Q76:R76)/S76</f>
        <v>0.89881324172392252</v>
      </c>
      <c r="U76" s="13">
        <v>69</v>
      </c>
    </row>
    <row r="77" spans="1:21">
      <c r="A77" t="s">
        <v>127</v>
      </c>
      <c r="C77" t="s">
        <v>125</v>
      </c>
      <c r="D77" t="s">
        <v>126</v>
      </c>
      <c r="Q77" s="4">
        <v>772</v>
      </c>
      <c r="R77" s="2">
        <v>667</v>
      </c>
      <c r="S77">
        <v>1601</v>
      </c>
      <c r="T77" s="3">
        <f>SUM(Q77:R77)/S77</f>
        <v>0.89881324172392252</v>
      </c>
      <c r="U77" s="13">
        <v>69</v>
      </c>
    </row>
    <row r="78" spans="1:21">
      <c r="A78" t="s">
        <v>128</v>
      </c>
      <c r="C78" t="s">
        <v>129</v>
      </c>
      <c r="D78" t="s">
        <v>130</v>
      </c>
      <c r="Q78" s="4">
        <v>955</v>
      </c>
      <c r="R78" s="2">
        <v>366</v>
      </c>
      <c r="S78">
        <v>1601</v>
      </c>
      <c r="T78" s="3">
        <f>SUM(Q78:R78)/S78</f>
        <v>0.82510930668332294</v>
      </c>
      <c r="U78" s="13">
        <v>69</v>
      </c>
    </row>
    <row r="79" spans="1:21">
      <c r="T79" s="3"/>
    </row>
    <row r="80" spans="1:21">
      <c r="A80" t="s">
        <v>131</v>
      </c>
      <c r="C80" t="s">
        <v>132</v>
      </c>
    </row>
    <row r="81" spans="1:21">
      <c r="A81" t="s">
        <v>133</v>
      </c>
      <c r="C81" t="s">
        <v>132</v>
      </c>
    </row>
    <row r="82" spans="1:21">
      <c r="A82" t="s">
        <v>134</v>
      </c>
      <c r="C82" t="s">
        <v>132</v>
      </c>
    </row>
    <row r="84" spans="1:21">
      <c r="A84" t="s">
        <v>135</v>
      </c>
      <c r="B84" t="s">
        <v>25</v>
      </c>
      <c r="C84" t="s">
        <v>136</v>
      </c>
      <c r="D84" t="s">
        <v>137</v>
      </c>
      <c r="E84" s="15">
        <v>45645</v>
      </c>
      <c r="F84" s="2">
        <v>261</v>
      </c>
      <c r="G84" s="2">
        <v>283</v>
      </c>
      <c r="H84" s="2">
        <v>316</v>
      </c>
      <c r="I84" s="2">
        <v>360</v>
      </c>
      <c r="J84" s="2">
        <v>412</v>
      </c>
      <c r="K84" s="2">
        <v>494</v>
      </c>
      <c r="L84" s="2">
        <v>598</v>
      </c>
      <c r="M84" s="2">
        <v>700</v>
      </c>
      <c r="N84" s="2">
        <v>806</v>
      </c>
      <c r="O84" s="2">
        <v>955</v>
      </c>
      <c r="P84" s="4">
        <v>1111</v>
      </c>
      <c r="Q84" s="4">
        <v>1289</v>
      </c>
      <c r="R84" s="2">
        <v>0</v>
      </c>
      <c r="S84" s="2">
        <v>1480</v>
      </c>
      <c r="T84" s="3">
        <f>SUM(Q84:R84)/S84</f>
        <v>0.87094594594594599</v>
      </c>
      <c r="U84" s="13">
        <v>55</v>
      </c>
    </row>
    <row r="85" spans="1:21">
      <c r="A85" t="s">
        <v>138</v>
      </c>
      <c r="B85" t="s">
        <v>25</v>
      </c>
      <c r="C85" t="s">
        <v>136</v>
      </c>
      <c r="D85" t="s">
        <v>137</v>
      </c>
      <c r="E85" s="15">
        <v>45646</v>
      </c>
      <c r="F85" s="2">
        <v>261</v>
      </c>
      <c r="G85" s="2">
        <v>283</v>
      </c>
      <c r="H85" s="2">
        <v>316</v>
      </c>
      <c r="I85" s="2">
        <v>360</v>
      </c>
      <c r="J85" s="2">
        <v>412</v>
      </c>
      <c r="K85" s="2">
        <v>494</v>
      </c>
      <c r="L85" s="2">
        <v>598</v>
      </c>
      <c r="M85" s="2">
        <v>700</v>
      </c>
      <c r="N85" s="2">
        <v>806</v>
      </c>
      <c r="O85" s="2">
        <v>955</v>
      </c>
      <c r="P85" s="4">
        <v>1111</v>
      </c>
      <c r="Q85" s="4">
        <v>1289</v>
      </c>
      <c r="R85" s="2">
        <v>0</v>
      </c>
      <c r="S85" s="2">
        <v>1480</v>
      </c>
      <c r="T85" s="3">
        <f t="shared" ref="T85:T91" si="1">SUM(Q85:R85)/S85</f>
        <v>0.87094594594594599</v>
      </c>
      <c r="U85" s="13">
        <v>55</v>
      </c>
    </row>
    <row r="86" spans="1:21">
      <c r="A86" t="s">
        <v>139</v>
      </c>
      <c r="B86" t="s">
        <v>25</v>
      </c>
      <c r="C86" t="s">
        <v>136</v>
      </c>
      <c r="D86" t="s">
        <v>137</v>
      </c>
      <c r="E86" s="15">
        <v>45647</v>
      </c>
      <c r="F86" s="2">
        <v>261</v>
      </c>
      <c r="G86" s="2">
        <v>283</v>
      </c>
      <c r="H86" s="2">
        <v>316</v>
      </c>
      <c r="I86" s="2">
        <v>360</v>
      </c>
      <c r="J86" s="2">
        <v>412</v>
      </c>
      <c r="K86" s="2">
        <v>494</v>
      </c>
      <c r="L86" s="2">
        <v>598</v>
      </c>
      <c r="M86" s="2">
        <v>700</v>
      </c>
      <c r="N86" s="2">
        <v>806</v>
      </c>
      <c r="O86" s="2">
        <v>955</v>
      </c>
      <c r="P86" s="4">
        <v>1111</v>
      </c>
      <c r="Q86" s="4">
        <v>1289</v>
      </c>
      <c r="R86" s="2">
        <v>0</v>
      </c>
      <c r="S86" s="2">
        <v>1480</v>
      </c>
      <c r="T86" s="3">
        <f t="shared" si="1"/>
        <v>0.87094594594594599</v>
      </c>
      <c r="U86" s="13">
        <v>55</v>
      </c>
    </row>
    <row r="87" spans="1:21">
      <c r="A87" t="s">
        <v>140</v>
      </c>
      <c r="B87" t="s">
        <v>25</v>
      </c>
      <c r="C87" t="s">
        <v>136</v>
      </c>
      <c r="D87" t="s">
        <v>137</v>
      </c>
      <c r="E87" s="15">
        <v>45647</v>
      </c>
      <c r="F87" s="2">
        <v>261</v>
      </c>
      <c r="G87" s="2">
        <v>283</v>
      </c>
      <c r="H87" s="2">
        <v>316</v>
      </c>
      <c r="I87" s="2">
        <v>360</v>
      </c>
      <c r="J87" s="2">
        <v>412</v>
      </c>
      <c r="K87" s="2">
        <v>494</v>
      </c>
      <c r="L87" s="2">
        <v>598</v>
      </c>
      <c r="M87" s="2">
        <v>700</v>
      </c>
      <c r="N87" s="2">
        <v>806</v>
      </c>
      <c r="O87" s="2">
        <v>955</v>
      </c>
      <c r="P87" s="4">
        <v>1111</v>
      </c>
      <c r="Q87" s="4">
        <v>1289</v>
      </c>
      <c r="R87" s="2">
        <v>0</v>
      </c>
      <c r="S87" s="2">
        <v>1480</v>
      </c>
      <c r="T87" s="3">
        <f t="shared" si="1"/>
        <v>0.87094594594594599</v>
      </c>
      <c r="U87" s="13">
        <v>55</v>
      </c>
    </row>
    <row r="88" spans="1:21">
      <c r="A88" t="s">
        <v>141</v>
      </c>
      <c r="B88" t="s">
        <v>25</v>
      </c>
      <c r="C88" t="s">
        <v>136</v>
      </c>
      <c r="D88" t="s">
        <v>137</v>
      </c>
      <c r="E88" s="15">
        <v>45648</v>
      </c>
      <c r="Q88" s="4">
        <v>1103</v>
      </c>
      <c r="R88" s="2">
        <v>334</v>
      </c>
      <c r="S88" s="2">
        <v>1480</v>
      </c>
      <c r="T88" s="3">
        <f t="shared" si="1"/>
        <v>0.97094594594594597</v>
      </c>
      <c r="U88" s="13">
        <v>55</v>
      </c>
    </row>
    <row r="89" spans="1:21">
      <c r="A89" t="s">
        <v>142</v>
      </c>
      <c r="B89" t="s">
        <v>25</v>
      </c>
      <c r="C89" t="s">
        <v>136</v>
      </c>
      <c r="D89" t="s">
        <v>137</v>
      </c>
      <c r="E89" s="15">
        <v>45648</v>
      </c>
      <c r="F89" s="2">
        <v>261</v>
      </c>
      <c r="G89" s="2">
        <v>283</v>
      </c>
      <c r="H89" s="2">
        <v>316</v>
      </c>
      <c r="I89" s="2">
        <v>360</v>
      </c>
      <c r="J89" s="2">
        <v>412</v>
      </c>
      <c r="K89" s="2">
        <v>494</v>
      </c>
      <c r="L89" s="2">
        <v>598</v>
      </c>
      <c r="M89" s="2">
        <v>700</v>
      </c>
      <c r="N89" s="2">
        <v>806</v>
      </c>
      <c r="O89" s="2">
        <v>955</v>
      </c>
      <c r="P89" s="4">
        <v>1111</v>
      </c>
      <c r="Q89" s="4">
        <v>1289</v>
      </c>
      <c r="R89" s="2">
        <v>0</v>
      </c>
      <c r="S89" s="2">
        <v>1480</v>
      </c>
      <c r="T89" s="3">
        <f t="shared" si="1"/>
        <v>0.87094594594594599</v>
      </c>
      <c r="U89" s="13">
        <v>55</v>
      </c>
    </row>
    <row r="90" spans="1:21">
      <c r="S90" s="2"/>
      <c r="T90" s="3"/>
    </row>
    <row r="91" spans="1:21">
      <c r="A91" t="s">
        <v>143</v>
      </c>
      <c r="B91" t="s">
        <v>25</v>
      </c>
      <c r="C91" t="s">
        <v>144</v>
      </c>
      <c r="D91" t="s">
        <v>145</v>
      </c>
      <c r="E91" s="15">
        <v>45632</v>
      </c>
      <c r="F91" s="2">
        <v>300</v>
      </c>
      <c r="G91" s="2">
        <v>322</v>
      </c>
      <c r="H91" s="2">
        <v>360</v>
      </c>
      <c r="I91" s="2">
        <v>396</v>
      </c>
      <c r="J91" s="2">
        <v>431</v>
      </c>
      <c r="K91" s="2">
        <v>486</v>
      </c>
      <c r="L91" s="2">
        <v>568</v>
      </c>
      <c r="M91" s="2">
        <v>667</v>
      </c>
      <c r="N91" s="2">
        <v>790</v>
      </c>
      <c r="O91" s="2">
        <v>954</v>
      </c>
      <c r="P91" s="4">
        <v>1146</v>
      </c>
      <c r="Q91" s="4">
        <v>1379</v>
      </c>
      <c r="R91" s="2">
        <v>0</v>
      </c>
      <c r="S91" s="2">
        <v>1480</v>
      </c>
      <c r="T91" s="3">
        <f t="shared" si="1"/>
        <v>0.93175675675675673</v>
      </c>
      <c r="U91" s="13">
        <v>52</v>
      </c>
    </row>
    <row r="92" spans="1:21">
      <c r="A92" t="s">
        <v>146</v>
      </c>
      <c r="B92" t="s">
        <v>25</v>
      </c>
      <c r="C92" t="s">
        <v>144</v>
      </c>
      <c r="D92" t="s">
        <v>145</v>
      </c>
      <c r="E92" s="15">
        <v>45633</v>
      </c>
      <c r="F92" s="2">
        <v>300</v>
      </c>
      <c r="G92" s="2">
        <v>322</v>
      </c>
      <c r="H92" s="2">
        <v>360</v>
      </c>
      <c r="I92" s="2">
        <v>396</v>
      </c>
      <c r="J92" s="2">
        <v>431</v>
      </c>
      <c r="K92" s="2">
        <v>486</v>
      </c>
      <c r="L92" s="2">
        <v>568</v>
      </c>
      <c r="M92" s="2">
        <v>667</v>
      </c>
      <c r="N92" s="2">
        <v>790</v>
      </c>
      <c r="O92" s="2">
        <v>954</v>
      </c>
      <c r="P92" s="4">
        <v>1146</v>
      </c>
      <c r="Q92" s="4">
        <v>1379</v>
      </c>
      <c r="R92" s="2">
        <v>0</v>
      </c>
      <c r="S92" s="2">
        <v>1480</v>
      </c>
      <c r="T92" s="3">
        <f t="shared" ref="T92:T98" si="2">SUM(Q92:R92)/S92</f>
        <v>0.93175675675675673</v>
      </c>
      <c r="U92" s="13">
        <v>52</v>
      </c>
    </row>
    <row r="93" spans="1:21">
      <c r="A93" t="s">
        <v>147</v>
      </c>
      <c r="B93" t="s">
        <v>25</v>
      </c>
      <c r="C93" t="s">
        <v>144</v>
      </c>
      <c r="D93" t="s">
        <v>145</v>
      </c>
      <c r="E93" s="15">
        <v>45634</v>
      </c>
      <c r="F93" s="2">
        <v>300</v>
      </c>
      <c r="G93" s="2">
        <v>322</v>
      </c>
      <c r="H93" s="2">
        <v>360</v>
      </c>
      <c r="I93" s="2">
        <v>396</v>
      </c>
      <c r="J93" s="2">
        <v>431</v>
      </c>
      <c r="K93" s="2">
        <v>486</v>
      </c>
      <c r="L93" s="2">
        <v>568</v>
      </c>
      <c r="M93" s="2">
        <v>667</v>
      </c>
      <c r="N93" s="2">
        <v>790</v>
      </c>
      <c r="O93" s="2">
        <v>954</v>
      </c>
      <c r="P93" s="4">
        <v>1146</v>
      </c>
      <c r="Q93" s="4">
        <v>1379</v>
      </c>
      <c r="R93" s="2">
        <v>0</v>
      </c>
      <c r="S93" s="2">
        <v>1480</v>
      </c>
      <c r="T93" s="3">
        <f t="shared" si="2"/>
        <v>0.93175675675675673</v>
      </c>
      <c r="U93" s="13">
        <v>52</v>
      </c>
    </row>
    <row r="94" spans="1:21">
      <c r="S94" s="2"/>
      <c r="T94" s="3"/>
    </row>
    <row r="95" spans="1:21">
      <c r="A95" t="s">
        <v>148</v>
      </c>
      <c r="B95" t="s">
        <v>25</v>
      </c>
      <c r="C95" t="s">
        <v>149</v>
      </c>
      <c r="D95" t="s">
        <v>150</v>
      </c>
      <c r="E95" s="15">
        <v>45625</v>
      </c>
      <c r="F95" s="2">
        <v>481</v>
      </c>
      <c r="G95" s="2">
        <v>533</v>
      </c>
      <c r="H95" s="2">
        <v>571</v>
      </c>
      <c r="I95" s="2">
        <v>608</v>
      </c>
      <c r="J95" s="2">
        <v>646</v>
      </c>
      <c r="K95" s="2">
        <v>720</v>
      </c>
      <c r="L95" s="2">
        <v>837</v>
      </c>
      <c r="M95" s="2">
        <v>957</v>
      </c>
      <c r="N95" s="2">
        <v>1100</v>
      </c>
      <c r="O95" s="2">
        <v>1227</v>
      </c>
      <c r="P95" s="4">
        <v>1293</v>
      </c>
      <c r="Q95" s="4">
        <v>1311</v>
      </c>
      <c r="R95" s="2">
        <v>0</v>
      </c>
      <c r="S95" s="2">
        <v>1342</v>
      </c>
      <c r="T95" s="3">
        <f t="shared" si="2"/>
        <v>0.97690014903129663</v>
      </c>
      <c r="U95" s="13">
        <v>73</v>
      </c>
    </row>
    <row r="96" spans="1:21">
      <c r="A96" t="s">
        <v>151</v>
      </c>
      <c r="B96" t="s">
        <v>25</v>
      </c>
      <c r="C96" t="s">
        <v>149</v>
      </c>
      <c r="D96" t="s">
        <v>150</v>
      </c>
      <c r="E96" s="15">
        <v>45626</v>
      </c>
      <c r="F96" s="2">
        <v>481</v>
      </c>
      <c r="G96" s="2">
        <v>533</v>
      </c>
      <c r="H96" s="2">
        <v>571</v>
      </c>
      <c r="I96" s="2">
        <v>608</v>
      </c>
      <c r="J96" s="2">
        <v>646</v>
      </c>
      <c r="K96" s="2">
        <v>720</v>
      </c>
      <c r="L96" s="2">
        <v>837</v>
      </c>
      <c r="M96" s="2">
        <v>957</v>
      </c>
      <c r="N96" s="2">
        <v>1100</v>
      </c>
      <c r="O96" s="2">
        <v>1227</v>
      </c>
      <c r="P96" s="4">
        <v>1293</v>
      </c>
      <c r="Q96" s="4">
        <v>1311</v>
      </c>
      <c r="R96" s="2">
        <v>0</v>
      </c>
      <c r="S96" s="2">
        <v>1342</v>
      </c>
      <c r="T96" s="3">
        <f t="shared" si="2"/>
        <v>0.97690014903129663</v>
      </c>
      <c r="U96" s="13">
        <v>73</v>
      </c>
    </row>
    <row r="97" spans="1:21">
      <c r="A97" t="s">
        <v>152</v>
      </c>
      <c r="B97" t="s">
        <v>25</v>
      </c>
      <c r="C97" t="s">
        <v>149</v>
      </c>
      <c r="D97" t="s">
        <v>150</v>
      </c>
      <c r="E97" s="15">
        <v>45626</v>
      </c>
      <c r="F97" s="2">
        <v>481</v>
      </c>
      <c r="G97" s="2">
        <v>533</v>
      </c>
      <c r="H97" s="2">
        <v>571</v>
      </c>
      <c r="I97" s="2">
        <v>608</v>
      </c>
      <c r="J97" s="2">
        <v>646</v>
      </c>
      <c r="K97" s="2">
        <v>720</v>
      </c>
      <c r="L97" s="2">
        <v>837</v>
      </c>
      <c r="M97" s="2">
        <v>957</v>
      </c>
      <c r="N97" s="2">
        <v>1100</v>
      </c>
      <c r="O97" s="2">
        <v>1227</v>
      </c>
      <c r="P97" s="4">
        <v>1293</v>
      </c>
      <c r="Q97" s="4">
        <v>1311</v>
      </c>
      <c r="R97" s="2">
        <v>0</v>
      </c>
      <c r="S97" s="2">
        <v>1342</v>
      </c>
      <c r="T97" s="3">
        <f t="shared" si="2"/>
        <v>0.97690014903129663</v>
      </c>
      <c r="U97" s="13">
        <v>73</v>
      </c>
    </row>
    <row r="98" spans="1:21">
      <c r="A98" t="s">
        <v>153</v>
      </c>
      <c r="B98" t="s">
        <v>25</v>
      </c>
      <c r="C98" t="s">
        <v>149</v>
      </c>
      <c r="D98" t="s">
        <v>150</v>
      </c>
      <c r="E98" s="15">
        <v>45627</v>
      </c>
      <c r="F98" s="2">
        <v>481</v>
      </c>
      <c r="G98" s="2">
        <v>533</v>
      </c>
      <c r="H98" s="2">
        <v>571</v>
      </c>
      <c r="I98" s="2">
        <v>608</v>
      </c>
      <c r="J98" s="2">
        <v>646</v>
      </c>
      <c r="K98" s="2">
        <v>720</v>
      </c>
      <c r="L98" s="2">
        <v>837</v>
      </c>
      <c r="M98" s="2">
        <v>957</v>
      </c>
      <c r="N98" s="2">
        <v>1100</v>
      </c>
      <c r="O98" s="2">
        <v>1227</v>
      </c>
      <c r="P98" s="4">
        <v>1293</v>
      </c>
      <c r="Q98" s="4">
        <v>1311</v>
      </c>
      <c r="R98" s="2">
        <v>0</v>
      </c>
      <c r="S98" s="2">
        <v>1342</v>
      </c>
      <c r="T98" s="3">
        <f t="shared" si="2"/>
        <v>0.97690014903129663</v>
      </c>
      <c r="U98" s="13">
        <v>73</v>
      </c>
    </row>
    <row r="99" spans="1:21">
      <c r="S99" s="2"/>
      <c r="T99" s="3"/>
    </row>
    <row r="100" spans="1:21">
      <c r="A100" t="s">
        <v>154</v>
      </c>
      <c r="C100" t="s">
        <v>155</v>
      </c>
      <c r="D100" t="s">
        <v>156</v>
      </c>
      <c r="E100" s="15">
        <v>45649</v>
      </c>
      <c r="Q100" s="4">
        <v>1307</v>
      </c>
      <c r="R100" s="2">
        <v>0</v>
      </c>
      <c r="S100" s="2">
        <v>1342</v>
      </c>
      <c r="T100" s="3">
        <f t="shared" ref="T100:T101" si="3">SUM(Q100:R100)/S100</f>
        <v>0.97391952309985097</v>
      </c>
      <c r="U100" s="13">
        <v>72</v>
      </c>
    </row>
    <row r="101" spans="1:21">
      <c r="A101" t="s">
        <v>157</v>
      </c>
      <c r="C101" t="s">
        <v>155</v>
      </c>
      <c r="D101" t="s">
        <v>156</v>
      </c>
      <c r="E101" s="15">
        <v>45650</v>
      </c>
      <c r="Q101" s="4">
        <v>1307</v>
      </c>
      <c r="R101" s="2">
        <v>0</v>
      </c>
      <c r="S101" s="2">
        <v>1342</v>
      </c>
      <c r="T101" s="3">
        <f t="shared" si="3"/>
        <v>0.97391952309985097</v>
      </c>
      <c r="U101" s="13">
        <v>72</v>
      </c>
    </row>
    <row r="102" spans="1:21">
      <c r="S102" s="2"/>
      <c r="T102" s="3"/>
    </row>
    <row r="103" spans="1:21">
      <c r="A103" t="s">
        <v>158</v>
      </c>
      <c r="B103" t="s">
        <v>25</v>
      </c>
      <c r="C103" t="s">
        <v>159</v>
      </c>
      <c r="D103" t="s">
        <v>160</v>
      </c>
      <c r="E103" s="15">
        <v>45555</v>
      </c>
      <c r="G103">
        <v>354</v>
      </c>
      <c r="H103">
        <v>423</v>
      </c>
      <c r="I103">
        <v>487</v>
      </c>
      <c r="J103">
        <v>568</v>
      </c>
      <c r="K103">
        <v>630</v>
      </c>
      <c r="L103">
        <v>694</v>
      </c>
      <c r="M103">
        <v>726</v>
      </c>
      <c r="N103">
        <v>761</v>
      </c>
      <c r="O103">
        <v>814</v>
      </c>
      <c r="P103">
        <v>915</v>
      </c>
      <c r="Q103">
        <v>1038</v>
      </c>
      <c r="R103" s="2">
        <v>0</v>
      </c>
      <c r="S103" s="2">
        <v>1342</v>
      </c>
      <c r="T103" s="3">
        <f t="shared" ref="T103:T109" si="4">SUM(Q103:R103)/S103</f>
        <v>0.77347242921013415</v>
      </c>
      <c r="U103" s="13">
        <v>70</v>
      </c>
    </row>
    <row r="104" spans="1:21">
      <c r="A104" t="s">
        <v>161</v>
      </c>
      <c r="B104" t="s">
        <v>25</v>
      </c>
      <c r="C104" t="s">
        <v>159</v>
      </c>
      <c r="D104" t="s">
        <v>160</v>
      </c>
      <c r="E104" s="15">
        <v>45556</v>
      </c>
      <c r="G104">
        <v>354</v>
      </c>
      <c r="H104">
        <v>423</v>
      </c>
      <c r="I104">
        <v>487</v>
      </c>
      <c r="J104">
        <v>568</v>
      </c>
      <c r="K104">
        <v>630</v>
      </c>
      <c r="L104">
        <v>694</v>
      </c>
      <c r="M104">
        <v>726</v>
      </c>
      <c r="N104">
        <v>761</v>
      </c>
      <c r="O104">
        <v>814</v>
      </c>
      <c r="P104">
        <v>915</v>
      </c>
      <c r="Q104">
        <v>1038</v>
      </c>
      <c r="R104" s="2">
        <v>0</v>
      </c>
      <c r="S104" s="2">
        <v>1342</v>
      </c>
      <c r="T104" s="3">
        <f t="shared" si="4"/>
        <v>0.77347242921013415</v>
      </c>
      <c r="U104" s="13">
        <v>70</v>
      </c>
    </row>
    <row r="105" spans="1:21">
      <c r="A105" t="s">
        <v>162</v>
      </c>
      <c r="B105" t="s">
        <v>25</v>
      </c>
      <c r="C105" t="s">
        <v>159</v>
      </c>
      <c r="D105" t="s">
        <v>163</v>
      </c>
      <c r="E105" s="15">
        <v>45557</v>
      </c>
      <c r="G105">
        <v>515</v>
      </c>
      <c r="H105">
        <v>582</v>
      </c>
      <c r="I105">
        <v>655</v>
      </c>
      <c r="J105">
        <v>750</v>
      </c>
      <c r="K105">
        <v>818</v>
      </c>
      <c r="L105">
        <v>873</v>
      </c>
      <c r="M105">
        <v>906</v>
      </c>
      <c r="N105">
        <v>971</v>
      </c>
      <c r="O105">
        <v>1021</v>
      </c>
      <c r="P105">
        <v>1095</v>
      </c>
      <c r="Q105">
        <v>1222</v>
      </c>
      <c r="R105" s="2">
        <v>0</v>
      </c>
      <c r="S105" s="2">
        <v>1342</v>
      </c>
      <c r="T105" s="3">
        <f t="shared" si="4"/>
        <v>0.91058122205663194</v>
      </c>
      <c r="U105" s="13">
        <v>71</v>
      </c>
    </row>
    <row r="106" spans="1:21">
      <c r="A106" t="s">
        <v>164</v>
      </c>
      <c r="B106" t="s">
        <v>25</v>
      </c>
      <c r="C106" t="s">
        <v>159</v>
      </c>
      <c r="D106" t="s">
        <v>165</v>
      </c>
      <c r="E106" s="15">
        <v>45557</v>
      </c>
      <c r="G106">
        <v>362</v>
      </c>
      <c r="H106">
        <v>426</v>
      </c>
      <c r="I106">
        <v>504</v>
      </c>
      <c r="J106">
        <v>621</v>
      </c>
      <c r="K106">
        <v>713</v>
      </c>
      <c r="L106">
        <v>786</v>
      </c>
      <c r="M106">
        <v>825</v>
      </c>
      <c r="N106">
        <v>922</v>
      </c>
      <c r="O106">
        <v>969</v>
      </c>
      <c r="P106">
        <v>1007</v>
      </c>
      <c r="Q106">
        <v>1154</v>
      </c>
      <c r="R106" s="2">
        <v>0</v>
      </c>
      <c r="S106" s="2">
        <v>1342</v>
      </c>
      <c r="T106" s="3">
        <f t="shared" si="4"/>
        <v>0.85991058122205666</v>
      </c>
      <c r="U106" s="13">
        <v>70</v>
      </c>
    </row>
    <row r="107" spans="1:21">
      <c r="S107" s="2"/>
      <c r="T107" s="3"/>
    </row>
    <row r="108" spans="1:21">
      <c r="A108" t="s">
        <v>166</v>
      </c>
      <c r="B108" t="s">
        <v>25</v>
      </c>
      <c r="C108" t="s">
        <v>167</v>
      </c>
      <c r="D108" t="s">
        <v>168</v>
      </c>
      <c r="E108" s="15">
        <v>45583</v>
      </c>
      <c r="Q108" s="4">
        <v>672</v>
      </c>
      <c r="R108" s="2">
        <v>632</v>
      </c>
      <c r="S108" s="2">
        <v>1601</v>
      </c>
      <c r="T108" s="3">
        <f t="shared" si="4"/>
        <v>0.81449094316052473</v>
      </c>
      <c r="U108" s="13">
        <v>79</v>
      </c>
    </row>
    <row r="109" spans="1:21">
      <c r="A109" t="s">
        <v>169</v>
      </c>
      <c r="B109" t="s">
        <v>25</v>
      </c>
      <c r="C109" t="s">
        <v>167</v>
      </c>
      <c r="D109" t="s">
        <v>168</v>
      </c>
      <c r="E109" s="15">
        <v>45584</v>
      </c>
      <c r="Q109" s="4">
        <v>672</v>
      </c>
      <c r="R109" s="2">
        <v>632</v>
      </c>
      <c r="S109" s="2">
        <v>1601</v>
      </c>
      <c r="T109" s="3">
        <f t="shared" si="4"/>
        <v>0.81449094316052473</v>
      </c>
      <c r="U109" s="13">
        <v>79</v>
      </c>
    </row>
    <row r="111" spans="1:21" ht="15.75">
      <c r="A111" t="s">
        <v>170</v>
      </c>
      <c r="B111" t="s">
        <v>25</v>
      </c>
      <c r="C111" t="s">
        <v>171</v>
      </c>
      <c r="D111" t="s">
        <v>172</v>
      </c>
      <c r="E111" s="15">
        <v>45686</v>
      </c>
      <c r="F111" s="11"/>
      <c r="G111" s="11">
        <v>200</v>
      </c>
      <c r="H111" s="11">
        <v>214</v>
      </c>
      <c r="I111" s="11">
        <v>273</v>
      </c>
      <c r="J111" s="11">
        <v>336</v>
      </c>
      <c r="K111" s="11">
        <v>605</v>
      </c>
      <c r="L111" s="11">
        <v>964</v>
      </c>
      <c r="M111" s="11">
        <v>1226</v>
      </c>
      <c r="N111" s="11">
        <v>1268</v>
      </c>
      <c r="O111" s="11">
        <v>1282</v>
      </c>
      <c r="P111" s="11">
        <v>1284</v>
      </c>
      <c r="Q111" s="18">
        <v>1303</v>
      </c>
      <c r="R111" s="11">
        <v>4</v>
      </c>
      <c r="S111">
        <v>1342</v>
      </c>
      <c r="T111" s="12">
        <f>(Q111+R111)/S111</f>
        <v>0.97391952309985097</v>
      </c>
      <c r="U111" s="19">
        <v>83.36</v>
      </c>
    </row>
    <row r="112" spans="1:21" ht="15.75">
      <c r="A112" t="s">
        <v>173</v>
      </c>
      <c r="B112" t="s">
        <v>25</v>
      </c>
      <c r="C112" t="s">
        <v>171</v>
      </c>
      <c r="D112" t="s">
        <v>174</v>
      </c>
      <c r="E112" s="15">
        <v>45687</v>
      </c>
      <c r="F112" s="11"/>
      <c r="G112" s="11">
        <v>193</v>
      </c>
      <c r="H112" s="11">
        <v>212</v>
      </c>
      <c r="I112" s="11">
        <v>272</v>
      </c>
      <c r="J112" s="11">
        <v>372</v>
      </c>
      <c r="K112" s="11">
        <v>742</v>
      </c>
      <c r="L112" s="11">
        <v>1088</v>
      </c>
      <c r="M112" s="11">
        <v>1240</v>
      </c>
      <c r="N112" s="11">
        <v>1263</v>
      </c>
      <c r="O112" s="11">
        <v>1281</v>
      </c>
      <c r="P112" s="11">
        <v>1283</v>
      </c>
      <c r="Q112" s="18">
        <v>1302</v>
      </c>
      <c r="R112" s="11">
        <v>9</v>
      </c>
      <c r="S112">
        <v>1342</v>
      </c>
      <c r="T112" s="12">
        <f t="shared" ref="T112:T114" si="5">(Q112+R112)/S112</f>
        <v>0.97690014903129663</v>
      </c>
      <c r="U112" s="19">
        <v>82.48</v>
      </c>
    </row>
    <row r="113" spans="1:21" ht="15.75">
      <c r="A113" t="s">
        <v>175</v>
      </c>
      <c r="B113" t="s">
        <v>25</v>
      </c>
      <c r="C113" t="s">
        <v>171</v>
      </c>
      <c r="D113" t="s">
        <v>176</v>
      </c>
      <c r="E113" s="15">
        <v>45688</v>
      </c>
      <c r="F113" s="11"/>
      <c r="G113" s="11">
        <v>588</v>
      </c>
      <c r="H113" s="11">
        <v>684</v>
      </c>
      <c r="I113" s="11">
        <v>817</v>
      </c>
      <c r="J113" s="11">
        <v>983</v>
      </c>
      <c r="K113" s="11">
        <v>1215</v>
      </c>
      <c r="L113" s="11">
        <v>1232</v>
      </c>
      <c r="M113" s="11">
        <v>1236</v>
      </c>
      <c r="N113" s="11">
        <v>1258</v>
      </c>
      <c r="O113" s="11">
        <v>1267</v>
      </c>
      <c r="P113" s="11">
        <v>1272</v>
      </c>
      <c r="Q113" s="18">
        <v>1300</v>
      </c>
      <c r="R113" s="11">
        <v>23</v>
      </c>
      <c r="S113">
        <v>1342</v>
      </c>
      <c r="T113" s="12">
        <f t="shared" si="5"/>
        <v>0.98584202682563338</v>
      </c>
      <c r="U113" s="19">
        <v>79.23</v>
      </c>
    </row>
    <row r="114" spans="1:21" ht="15.75">
      <c r="A114" t="s">
        <v>177</v>
      </c>
      <c r="B114" t="s">
        <v>25</v>
      </c>
      <c r="C114" t="s">
        <v>171</v>
      </c>
      <c r="D114" t="s">
        <v>178</v>
      </c>
      <c r="E114" s="15">
        <v>45689</v>
      </c>
      <c r="F114" s="11"/>
      <c r="G114" s="11">
        <v>738</v>
      </c>
      <c r="H114" s="11">
        <v>861</v>
      </c>
      <c r="I114" s="11">
        <v>1016</v>
      </c>
      <c r="J114" s="11">
        <v>1173</v>
      </c>
      <c r="K114" s="11">
        <v>1229</v>
      </c>
      <c r="L114" s="11">
        <v>1232</v>
      </c>
      <c r="M114" s="11">
        <v>1239</v>
      </c>
      <c r="N114" s="11">
        <v>1266</v>
      </c>
      <c r="O114" s="11">
        <v>1280</v>
      </c>
      <c r="P114" s="11">
        <v>1285</v>
      </c>
      <c r="Q114" s="18">
        <v>1318</v>
      </c>
      <c r="R114" s="11">
        <v>22</v>
      </c>
      <c r="S114">
        <v>1342</v>
      </c>
      <c r="T114" s="12">
        <f t="shared" si="5"/>
        <v>0.99850968703427723</v>
      </c>
      <c r="U114" s="19">
        <v>78.319999999999993</v>
      </c>
    </row>
    <row r="116" spans="1:21" ht="15.75">
      <c r="A116" t="s">
        <v>170</v>
      </c>
      <c r="C116" t="s">
        <v>171</v>
      </c>
      <c r="D116" t="s">
        <v>179</v>
      </c>
      <c r="E116" s="15">
        <v>45175</v>
      </c>
      <c r="F116" s="11"/>
      <c r="G116" s="11">
        <v>222</v>
      </c>
      <c r="H116" s="11">
        <v>243</v>
      </c>
      <c r="I116" s="11">
        <v>280</v>
      </c>
      <c r="J116" s="11">
        <v>301</v>
      </c>
      <c r="K116" s="11">
        <v>353</v>
      </c>
      <c r="L116" s="11">
        <v>425</v>
      </c>
      <c r="M116" s="11">
        <v>555</v>
      </c>
      <c r="N116" s="11">
        <v>786</v>
      </c>
      <c r="O116" s="11">
        <v>1077</v>
      </c>
      <c r="P116" s="11">
        <v>1247</v>
      </c>
      <c r="Q116" s="18">
        <v>1301</v>
      </c>
      <c r="R116" s="11">
        <v>1</v>
      </c>
      <c r="S116">
        <v>1342</v>
      </c>
      <c r="T116" s="12">
        <f>(Q116+R116)/S116</f>
        <v>0.97019374068554398</v>
      </c>
      <c r="U116" s="19">
        <v>72.44</v>
      </c>
    </row>
    <row r="117" spans="1:21" ht="15.75">
      <c r="A117" t="s">
        <v>173</v>
      </c>
      <c r="C117" t="s">
        <v>171</v>
      </c>
      <c r="D117" t="s">
        <v>180</v>
      </c>
      <c r="E117" s="15">
        <v>45176</v>
      </c>
      <c r="F117" s="11"/>
      <c r="G117" s="11">
        <v>238</v>
      </c>
      <c r="H117" s="11">
        <v>275</v>
      </c>
      <c r="I117" s="11">
        <v>284</v>
      </c>
      <c r="J117" s="11">
        <v>317</v>
      </c>
      <c r="K117" s="11">
        <v>366</v>
      </c>
      <c r="L117" s="11">
        <v>421</v>
      </c>
      <c r="M117" s="11">
        <v>534</v>
      </c>
      <c r="N117" s="11">
        <v>717</v>
      </c>
      <c r="O117" s="11">
        <v>972</v>
      </c>
      <c r="P117" s="11">
        <v>1146</v>
      </c>
      <c r="Q117" s="18">
        <v>1253</v>
      </c>
      <c r="R117" s="11">
        <v>6</v>
      </c>
      <c r="S117">
        <v>1333</v>
      </c>
      <c r="T117" s="12">
        <f t="shared" ref="T117:T119" si="6">(Q117+R117)/S117</f>
        <v>0.94448612153038258</v>
      </c>
      <c r="U117" s="19">
        <v>72.86</v>
      </c>
    </row>
    <row r="118" spans="1:21" ht="15.75">
      <c r="A118" t="s">
        <v>175</v>
      </c>
      <c r="C118" t="s">
        <v>171</v>
      </c>
      <c r="D118" t="s">
        <v>181</v>
      </c>
      <c r="E118" s="15">
        <v>45177</v>
      </c>
      <c r="F118" s="11"/>
      <c r="G118" s="11">
        <v>610</v>
      </c>
      <c r="H118" s="11">
        <v>655</v>
      </c>
      <c r="I118" s="11">
        <v>695</v>
      </c>
      <c r="J118" s="11">
        <v>745</v>
      </c>
      <c r="K118" s="11">
        <v>855</v>
      </c>
      <c r="L118" s="11">
        <v>975</v>
      </c>
      <c r="M118" s="11">
        <v>1122</v>
      </c>
      <c r="N118" s="11">
        <v>1232</v>
      </c>
      <c r="O118" s="11">
        <v>1251</v>
      </c>
      <c r="P118" s="11">
        <v>1289</v>
      </c>
      <c r="Q118" s="18">
        <v>1312</v>
      </c>
      <c r="R118" s="11">
        <v>8</v>
      </c>
      <c r="S118">
        <v>1334</v>
      </c>
      <c r="T118" s="12">
        <f t="shared" si="6"/>
        <v>0.98950524737631185</v>
      </c>
      <c r="U118" s="19">
        <v>67.209999999999994</v>
      </c>
    </row>
    <row r="119" spans="1:21" ht="15.75">
      <c r="A119" t="s">
        <v>177</v>
      </c>
      <c r="C119" t="s">
        <v>171</v>
      </c>
      <c r="D119" t="s">
        <v>182</v>
      </c>
      <c r="E119" s="15">
        <v>45179</v>
      </c>
      <c r="F119" s="11"/>
      <c r="G119" s="11">
        <v>673</v>
      </c>
      <c r="H119" s="11">
        <v>713</v>
      </c>
      <c r="I119" s="11">
        <v>764</v>
      </c>
      <c r="J119" s="11">
        <v>820</v>
      </c>
      <c r="K119" s="11">
        <v>922</v>
      </c>
      <c r="L119" s="11">
        <v>1033</v>
      </c>
      <c r="M119" s="11">
        <v>1179</v>
      </c>
      <c r="N119" s="11">
        <v>1244</v>
      </c>
      <c r="O119" s="11">
        <v>1260</v>
      </c>
      <c r="P119" s="11">
        <v>1289</v>
      </c>
      <c r="Q119" s="18">
        <v>1309</v>
      </c>
      <c r="R119" s="11">
        <v>5</v>
      </c>
      <c r="S119">
        <v>1335</v>
      </c>
      <c r="T119" s="12">
        <f t="shared" si="6"/>
        <v>0.98426966292134832</v>
      </c>
      <c r="U119" s="19">
        <v>66.72</v>
      </c>
    </row>
    <row r="120" spans="1:21" ht="15.75"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8"/>
      <c r="R120" s="11"/>
      <c r="T120" s="12"/>
      <c r="U120" s="19"/>
    </row>
    <row r="121" spans="1:21" ht="15.75">
      <c r="A121" t="s">
        <v>170</v>
      </c>
      <c r="C121" t="s">
        <v>171</v>
      </c>
      <c r="D121" t="s">
        <v>183</v>
      </c>
      <c r="E121" s="15">
        <v>45393</v>
      </c>
      <c r="F121" s="11"/>
      <c r="G121" s="11">
        <v>677</v>
      </c>
      <c r="H121" s="11">
        <v>716</v>
      </c>
      <c r="I121" s="11">
        <v>755</v>
      </c>
      <c r="J121" s="11">
        <v>795</v>
      </c>
      <c r="K121" s="11">
        <v>854</v>
      </c>
      <c r="L121" s="11">
        <v>897</v>
      </c>
      <c r="M121" s="11">
        <v>957</v>
      </c>
      <c r="N121" s="11">
        <v>1055</v>
      </c>
      <c r="O121" s="11">
        <v>1103</v>
      </c>
      <c r="P121" s="11">
        <v>1165</v>
      </c>
      <c r="Q121" s="18">
        <v>1228</v>
      </c>
      <c r="R121" s="11">
        <v>5</v>
      </c>
      <c r="S121">
        <v>1334</v>
      </c>
      <c r="T121" s="12">
        <f>(Q121+R121)/S121</f>
        <v>0.92428785607196406</v>
      </c>
      <c r="U121" s="19">
        <v>93.88</v>
      </c>
    </row>
    <row r="122" spans="1:21" ht="15.75">
      <c r="A122" t="s">
        <v>173</v>
      </c>
      <c r="C122" t="s">
        <v>171</v>
      </c>
      <c r="D122" t="s">
        <v>184</v>
      </c>
      <c r="E122" s="15">
        <v>45394</v>
      </c>
      <c r="F122" s="11"/>
      <c r="G122" s="11">
        <v>1014</v>
      </c>
      <c r="H122" s="11">
        <v>1054</v>
      </c>
      <c r="I122" s="11">
        <v>1129</v>
      </c>
      <c r="J122" s="11">
        <v>1161</v>
      </c>
      <c r="K122" s="11">
        <v>1171</v>
      </c>
      <c r="L122" s="11">
        <v>1180</v>
      </c>
      <c r="M122" s="11">
        <v>1211</v>
      </c>
      <c r="N122" s="11">
        <v>1226</v>
      </c>
      <c r="O122" s="11">
        <v>1245</v>
      </c>
      <c r="P122" s="11">
        <v>1253</v>
      </c>
      <c r="Q122" s="20">
        <v>1274</v>
      </c>
      <c r="R122" s="11">
        <v>11</v>
      </c>
      <c r="S122">
        <v>1334</v>
      </c>
      <c r="T122" s="12">
        <f t="shared" ref="T122:T124" si="7">(Q122+R122)/S122</f>
        <v>0.96326836581709141</v>
      </c>
      <c r="U122" s="19">
        <v>84.88</v>
      </c>
    </row>
    <row r="123" spans="1:21" ht="15.75">
      <c r="A123" t="s">
        <v>175</v>
      </c>
      <c r="C123" t="s">
        <v>171</v>
      </c>
      <c r="D123" t="s">
        <v>185</v>
      </c>
      <c r="E123" s="15">
        <v>45395</v>
      </c>
      <c r="F123" s="11"/>
      <c r="G123" s="11">
        <v>1075</v>
      </c>
      <c r="H123" s="11">
        <v>1106</v>
      </c>
      <c r="I123" s="11">
        <v>1158</v>
      </c>
      <c r="J123" s="11">
        <v>1174</v>
      </c>
      <c r="K123" s="11">
        <v>1189</v>
      </c>
      <c r="L123" s="11">
        <v>1196</v>
      </c>
      <c r="M123" s="11">
        <v>1202</v>
      </c>
      <c r="N123" s="11">
        <v>1208</v>
      </c>
      <c r="O123" s="11">
        <v>1231</v>
      </c>
      <c r="P123" s="11">
        <v>1238</v>
      </c>
      <c r="Q123" s="18">
        <v>1278</v>
      </c>
      <c r="R123" s="11">
        <v>0</v>
      </c>
      <c r="S123">
        <v>1334</v>
      </c>
      <c r="T123" s="12">
        <f t="shared" si="7"/>
        <v>0.95802098950524739</v>
      </c>
      <c r="U123" s="19">
        <v>91</v>
      </c>
    </row>
    <row r="124" spans="1:21" ht="15.75">
      <c r="A124" t="s">
        <v>177</v>
      </c>
      <c r="C124" t="s">
        <v>171</v>
      </c>
      <c r="D124" t="s">
        <v>186</v>
      </c>
      <c r="E124" s="15">
        <v>45396</v>
      </c>
      <c r="F124" s="11"/>
      <c r="G124" s="11">
        <v>1061</v>
      </c>
      <c r="H124" s="11">
        <v>1095</v>
      </c>
      <c r="I124" s="11">
        <v>1119</v>
      </c>
      <c r="J124" s="11">
        <v>1149</v>
      </c>
      <c r="K124" s="11">
        <v>1197</v>
      </c>
      <c r="L124" s="11">
        <v>1208</v>
      </c>
      <c r="M124" s="11">
        <v>1218</v>
      </c>
      <c r="N124" s="11">
        <v>1227</v>
      </c>
      <c r="O124" s="11">
        <v>1247</v>
      </c>
      <c r="P124" s="11">
        <v>1260</v>
      </c>
      <c r="Q124" s="18">
        <v>1286</v>
      </c>
      <c r="R124" s="11">
        <v>9</v>
      </c>
      <c r="S124">
        <v>1334</v>
      </c>
      <c r="T124" s="12">
        <f t="shared" si="7"/>
        <v>0.97076461769115441</v>
      </c>
      <c r="U124" s="19">
        <v>83.33</v>
      </c>
    </row>
    <row r="125" spans="1:21" ht="15.75"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8"/>
      <c r="R125" s="11"/>
      <c r="T125" s="12"/>
      <c r="U125" s="19"/>
    </row>
    <row r="126" spans="1:21">
      <c r="A126" t="s">
        <v>187</v>
      </c>
      <c r="B126" t="s">
        <v>25</v>
      </c>
      <c r="C126" t="s">
        <v>188</v>
      </c>
      <c r="D126" t="s">
        <v>189</v>
      </c>
      <c r="G126">
        <v>568</v>
      </c>
      <c r="H126">
        <v>591</v>
      </c>
      <c r="I126">
        <v>644</v>
      </c>
      <c r="J126">
        <v>673</v>
      </c>
      <c r="K126">
        <v>715</v>
      </c>
      <c r="L126">
        <v>779</v>
      </c>
      <c r="M126">
        <v>858</v>
      </c>
      <c r="N126">
        <v>911</v>
      </c>
      <c r="O126">
        <v>978</v>
      </c>
      <c r="P126">
        <v>1061</v>
      </c>
      <c r="Q126">
        <v>1184</v>
      </c>
      <c r="R126" s="2">
        <v>20</v>
      </c>
      <c r="S126">
        <v>1601</v>
      </c>
      <c r="T126" s="3">
        <f t="shared" ref="T126" si="8">SUM(Q126:R126)/S126</f>
        <v>0.75202998126171139</v>
      </c>
      <c r="U126" s="13">
        <v>87</v>
      </c>
    </row>
    <row r="128" spans="1:21">
      <c r="A128" t="s">
        <v>190</v>
      </c>
      <c r="C128" t="s">
        <v>191</v>
      </c>
    </row>
    <row r="130" spans="1:3">
      <c r="A130" t="s">
        <v>192</v>
      </c>
      <c r="C130" t="s">
        <v>193</v>
      </c>
    </row>
    <row r="132" spans="1:3">
      <c r="A132" t="s">
        <v>194</v>
      </c>
      <c r="C132" t="s">
        <v>195</v>
      </c>
    </row>
    <row r="134" spans="1:3">
      <c r="A134" t="s">
        <v>196</v>
      </c>
      <c r="C134" t="s">
        <v>197</v>
      </c>
    </row>
    <row r="136" spans="1:3">
      <c r="A136" t="s">
        <v>198</v>
      </c>
      <c r="C136" t="s">
        <v>199</v>
      </c>
    </row>
    <row r="137" spans="1:3">
      <c r="A137" t="s">
        <v>200</v>
      </c>
      <c r="C137" t="s">
        <v>199</v>
      </c>
    </row>
    <row r="139" spans="1:3">
      <c r="A139" t="s">
        <v>201</v>
      </c>
      <c r="C139" t="s">
        <v>202</v>
      </c>
    </row>
    <row r="140" spans="1:3">
      <c r="A140" t="s">
        <v>203</v>
      </c>
      <c r="C140" t="s">
        <v>202</v>
      </c>
    </row>
  </sheetData>
  <mergeCells count="1">
    <mergeCell ref="F11:P11"/>
  </mergeCells>
  <hyperlinks>
    <hyperlink ref="H5" r:id="rId1" xr:uid="{621A782B-42A0-4E02-9C9C-AD4426402018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Lai</dc:creator>
  <cp:keywords/>
  <dc:description/>
  <cp:lastModifiedBy/>
  <cp:revision/>
  <dcterms:created xsi:type="dcterms:W3CDTF">2025-10-24T15:19:00Z</dcterms:created>
  <dcterms:modified xsi:type="dcterms:W3CDTF">2025-12-22T21:55:49Z</dcterms:modified>
  <cp:category/>
  <cp:contentStatus/>
</cp:coreProperties>
</file>