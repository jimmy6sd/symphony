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kcsymphony-my.sharepoint.com/personal/jlai_kcsymphony_org/Documents/"/>
    </mc:Choice>
  </mc:AlternateContent>
  <xr:revisionPtr revIDLastSave="0" documentId="8_{C1AAD284-F8D8-4107-9991-58A00281B68A}" xr6:coauthVersionLast="47" xr6:coauthVersionMax="47" xr10:uidLastSave="{00000000-0000-0000-0000-000000000000}"/>
  <bookViews>
    <workbookView xWindow="-120" yWindow="-120" windowWidth="29040" windowHeight="15720" xr2:uid="{74D077F2-EE67-4C76-965D-00CEA4CC8CA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4" i="1" l="1"/>
  <c r="S13" i="1"/>
  <c r="S14" i="1" l="1"/>
  <c r="S60" i="1"/>
  <c r="S62" i="1"/>
  <c r="S61" i="1"/>
  <c r="S93" i="1"/>
  <c r="S92" i="1"/>
  <c r="S90" i="1"/>
  <c r="S89" i="1"/>
  <c r="S88" i="1"/>
  <c r="S87" i="1"/>
  <c r="S85" i="1"/>
  <c r="S84" i="1"/>
  <c r="S82" i="1"/>
  <c r="S81" i="1"/>
  <c r="S80" i="1"/>
  <c r="S79" i="1"/>
  <c r="S77" i="1"/>
  <c r="S76" i="1"/>
  <c r="S75" i="1"/>
  <c r="S73" i="1"/>
  <c r="S72" i="1"/>
  <c r="S71" i="1"/>
  <c r="S70" i="1"/>
  <c r="S69" i="1"/>
  <c r="S68" i="1"/>
  <c r="S58" i="1"/>
  <c r="S57" i="1"/>
  <c r="S56" i="1"/>
  <c r="S48" i="1"/>
  <c r="S50" i="1"/>
  <c r="S49" i="1"/>
  <c r="S46" i="1"/>
  <c r="S45" i="1"/>
  <c r="S42" i="1"/>
  <c r="S41" i="1"/>
  <c r="S40" i="1"/>
  <c r="S38" i="1"/>
  <c r="S37" i="1"/>
  <c r="S36" i="1"/>
  <c r="S32" i="1" l="1"/>
  <c r="S34" i="1"/>
  <c r="S33" i="1"/>
  <c r="S30" i="1" l="1"/>
  <c r="S29" i="1"/>
  <c r="S26" i="1"/>
  <c r="S25" i="1"/>
  <c r="S24" i="1"/>
  <c r="S22" i="1"/>
  <c r="S21" i="1"/>
  <c r="S18" i="1"/>
  <c r="S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tc={703FF0F6-3CEE-47F1-A262-C1C5C669BFE5}</author>
  </authors>
  <commentList>
    <comment ref="Q14" authorId="0" shapeId="0" xr:uid="{703FF0F6-3CEE-47F1-A262-C1C5C669BFE5}">
      <text>
        <t>[Threaded comment]
Your version of Excel allows you to read this threaded comment; however, any edits to it will get removed if the file is opened in a newer version of Excel. Learn more: https://go.microsoft.com/fwlink/?linkid=870924
Comment:
    Adjusted #: 476 is 24-25 Avg, 365 is 25-26 avg</t>
      </text>
    </comment>
  </commentList>
</comments>
</file>

<file path=xl/sharedStrings.xml><?xml version="1.0" encoding="utf-8"?>
<sst xmlns="http://schemas.openxmlformats.org/spreadsheetml/2006/main" count="200" uniqueCount="138">
  <si>
    <t>Notes:</t>
  </si>
  <si>
    <t>Comp sales curves below are per performance, single tickets only.  Sub, Capacity, OCC% are provided for reference, perhaps helpful to cite in the dashboard in tooltip or elsewhere?</t>
  </si>
  <si>
    <t>We have the comps at daily grain (Fri,Sat,Sun) but for now simplifying to use averages as same comp for every performance day (unless Piazza).  We may go to day-level comps in the future but need to learn more.</t>
  </si>
  <si>
    <t>Important note: in our current methodology, we project to week of ("0") but not all the way through Final (Mon after performance).  We need to start doing that going forward, which is a change, so "Final" is a new column.</t>
  </si>
  <si>
    <t>We have not yet incorporated performance tiers into our comp methodology but may in the future.</t>
  </si>
  <si>
    <t>Link</t>
  </si>
  <si>
    <t>Use "Comp Desc" as the label for the target line in the dashboard</t>
  </si>
  <si>
    <t>Where "Piazza Default" or "Global Default" are listed for "Comp Desc", use those target lines.  24-25 Piazzas were CS3,4,6,8,9,10,14.  Both of these are imperfect but better than the 4-year averages that are the current defaults</t>
  </si>
  <si>
    <t>Pops Sundays always have low subs, so they have different comps</t>
  </si>
  <si>
    <t>We have IDed comps but are missing some of the 10-week sales data for comps further out and will fill this in over time</t>
  </si>
  <si>
    <t># weeks out ("0" is Monday of performance week, "Final" is Monday following performance)</t>
  </si>
  <si>
    <t>Tess Performance Code</t>
  </si>
  <si>
    <t>Performance Desc</t>
  </si>
  <si>
    <t>Comp Desc</t>
  </si>
  <si>
    <t>Comp Date</t>
  </si>
  <si>
    <t>Final</t>
  </si>
  <si>
    <t>Subs</t>
  </si>
  <si>
    <t>Capacity</t>
  </si>
  <si>
    <t>Total OCC %</t>
  </si>
  <si>
    <t>ATP</t>
  </si>
  <si>
    <t>N/A</t>
  </si>
  <si>
    <t>Global Default</t>
  </si>
  <si>
    <t>Piazza Default</t>
  </si>
  <si>
    <t>251031E</t>
  </si>
  <si>
    <t>CS2 Rach Fri Piazza</t>
  </si>
  <si>
    <t>251101E</t>
  </si>
  <si>
    <t>CS2 Rach Sat</t>
  </si>
  <si>
    <t>23-24 CS8 Tchaik</t>
  </si>
  <si>
    <t>251102M</t>
  </si>
  <si>
    <t>CS2 Rach Sun</t>
  </si>
  <si>
    <t>251121E</t>
  </si>
  <si>
    <t>CS3 Mahler Fri Piazza</t>
  </si>
  <si>
    <t>251122E</t>
  </si>
  <si>
    <t>CS3 Mahler Sat</t>
  </si>
  <si>
    <t>24-25 CS13 Mahler</t>
  </si>
  <si>
    <t>251123M</t>
  </si>
  <si>
    <t>CS3 Mahler Sun</t>
  </si>
  <si>
    <t>260109E</t>
  </si>
  <si>
    <t>CS4 Brahms Fri</t>
  </si>
  <si>
    <t>23-24 CS3 Schumann</t>
  </si>
  <si>
    <t>260110E</t>
  </si>
  <si>
    <t>CS4 Brahms Sat</t>
  </si>
  <si>
    <t>260111M</t>
  </si>
  <si>
    <t>CS4 Brahms Sun</t>
  </si>
  <si>
    <t>260116E</t>
  </si>
  <si>
    <t>CS5 Pines Fri Piazza</t>
  </si>
  <si>
    <t>260117E</t>
  </si>
  <si>
    <t>CS5 Pines Sat</t>
  </si>
  <si>
    <t>22-23 CS5 Pines</t>
  </si>
  <si>
    <t>260118M</t>
  </si>
  <si>
    <t>CS5 Pines Sun</t>
  </si>
  <si>
    <t>260130E</t>
  </si>
  <si>
    <t>CS6 Beethoven Fri Piazza</t>
  </si>
  <si>
    <t>24-25 CS6 Beethoven Fri Piazza</t>
  </si>
  <si>
    <t>260131E</t>
  </si>
  <si>
    <t>CS6 Beethoven Sat</t>
  </si>
  <si>
    <t>24-25 CS6 Beethoven</t>
  </si>
  <si>
    <t>260201M</t>
  </si>
  <si>
    <t>CS6 Beethoven Sun</t>
  </si>
  <si>
    <t>260206E</t>
  </si>
  <si>
    <t>CS7 Prokofiev Fri</t>
  </si>
  <si>
    <t>24-25 CS7 Prokofiev</t>
  </si>
  <si>
    <t>260207E</t>
  </si>
  <si>
    <t>CS7 Prokofiev Sat</t>
  </si>
  <si>
    <t>260208M</t>
  </si>
  <si>
    <t>CS7 Prokofiev Sun</t>
  </si>
  <si>
    <t>260313E</t>
  </si>
  <si>
    <t>CS8 SS &amp; Strauss Fri</t>
  </si>
  <si>
    <t>24-25 CS1 Dvorak</t>
  </si>
  <si>
    <t>260314E</t>
  </si>
  <si>
    <t>CS8 SS &amp; Strauss Sat</t>
  </si>
  <si>
    <t>260315M</t>
  </si>
  <si>
    <t>CS8 SS &amp; Strauss Sun</t>
  </si>
  <si>
    <t>260410E</t>
  </si>
  <si>
    <t>CS9 Midsummer Fri Piazza</t>
  </si>
  <si>
    <t>260411E</t>
  </si>
  <si>
    <t>CS9 Midsummer Sat</t>
  </si>
  <si>
    <t>24-25 CS2 Tchaik</t>
  </si>
  <si>
    <t>260412M</t>
  </si>
  <si>
    <t>CS9 Midsummer Sun</t>
  </si>
  <si>
    <t>260417E</t>
  </si>
  <si>
    <t>CS10 Farrenc/Dvorak/Schuman Fri</t>
  </si>
  <si>
    <t>260418E</t>
  </si>
  <si>
    <t>260419M</t>
  </si>
  <si>
    <t>251024E</t>
  </si>
  <si>
    <t>PS2 90s Mixtape</t>
  </si>
  <si>
    <t>251025E</t>
  </si>
  <si>
    <t>251026M</t>
  </si>
  <si>
    <t>260213E</t>
  </si>
  <si>
    <t>PS3 She's Got Soul</t>
  </si>
  <si>
    <t>24-25 Kings of Soul</t>
  </si>
  <si>
    <t>260214E</t>
  </si>
  <si>
    <t>260215M</t>
  </si>
  <si>
    <t>24-25 Kings of Soul Sun</t>
  </si>
  <si>
    <t>260327E</t>
  </si>
  <si>
    <t>PS4 Billy Joel &amp; Elton John</t>
  </si>
  <si>
    <t>23-24 Genesis/P. Collins</t>
  </si>
  <si>
    <t>260328E</t>
  </si>
  <si>
    <t>260329M</t>
  </si>
  <si>
    <t>PS4 Billy Joel &amp; Elton John Sun</t>
  </si>
  <si>
    <t>23-24 Genesis/P. Collins Sun</t>
  </si>
  <si>
    <t>260515E</t>
  </si>
  <si>
    <t>PS5 Dolly Parton</t>
  </si>
  <si>
    <t>260516E</t>
  </si>
  <si>
    <t>260517M</t>
  </si>
  <si>
    <t>251218E</t>
  </si>
  <si>
    <t>Christmas Festival</t>
  </si>
  <si>
    <t>24-25 Christmas Festival</t>
  </si>
  <si>
    <t>251219E</t>
  </si>
  <si>
    <t>251220AM</t>
  </si>
  <si>
    <t>251220BE</t>
  </si>
  <si>
    <t>251221AM</t>
  </si>
  <si>
    <t>251221BE</t>
  </si>
  <si>
    <t>251205E</t>
  </si>
  <si>
    <t>Handel's Messiah</t>
  </si>
  <si>
    <t>24-25 Handel's Messiah</t>
  </si>
  <si>
    <t>251206E</t>
  </si>
  <si>
    <t>251207M</t>
  </si>
  <si>
    <t>251128E</t>
  </si>
  <si>
    <t>Elf</t>
  </si>
  <si>
    <t>24-25 Home Alone</t>
  </si>
  <si>
    <t>251129AM</t>
  </si>
  <si>
    <t>251129BE</t>
  </si>
  <si>
    <t>251130M</t>
  </si>
  <si>
    <t>251223E</t>
  </si>
  <si>
    <t>It's a Wonderful Life</t>
  </si>
  <si>
    <t>24-25 Frozen</t>
  </si>
  <si>
    <t>251224M</t>
  </si>
  <si>
    <t>260122E</t>
  </si>
  <si>
    <t>Indiana Jones Raiders</t>
  </si>
  <si>
    <t>24-25 Jurassic Park</t>
  </si>
  <si>
    <t>260123E</t>
  </si>
  <si>
    <t>260124E</t>
  </si>
  <si>
    <t>260125M</t>
  </si>
  <si>
    <t>251212E</t>
  </si>
  <si>
    <t>Leslie Odom Jr.</t>
  </si>
  <si>
    <t>24-25 Kristin Chenoweth</t>
  </si>
  <si>
    <t>251213E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</si>
</sst>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rgb="FF000000"/>
      <name val="Aptos Narrow"/>
      <family val="2"/>
      <charset val="1"/>
    </font>
    <font>
      <sz val="12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3" fillId="0" borderId="0" xfId="0" applyFont="1"/>
    <xf numFmtId="164" fontId="0" fillId="0" borderId="0" xfId="1" applyNumberFormat="1" applyFont="1"/>
    <xf numFmtId="9" fontId="0" fillId="0" borderId="0" xfId="2" applyFont="1"/>
    <xf numFmtId="1" fontId="0" fillId="0" borderId="0" xfId="1" applyNumberFormat="1" applyFont="1"/>
    <xf numFmtId="1" fontId="0" fillId="0" borderId="0" xfId="1" applyNumberFormat="1" applyFont="1" applyAlignment="1">
      <alignment horizontal="right"/>
    </xf>
    <xf numFmtId="1" fontId="0" fillId="0" borderId="0" xfId="1" applyNumberFormat="1" applyFont="1" applyAlignment="1">
      <alignment horizontal="center"/>
    </xf>
    <xf numFmtId="164" fontId="4" fillId="2" borderId="0" xfId="3" applyNumberFormat="1" applyFill="1"/>
    <xf numFmtId="0" fontId="2" fillId="3" borderId="0" xfId="0" applyFont="1" applyFill="1"/>
    <xf numFmtId="164" fontId="2" fillId="3" borderId="0" xfId="1" applyNumberFormat="1" applyFont="1" applyFill="1"/>
    <xf numFmtId="49" fontId="2" fillId="3" borderId="0" xfId="1" applyNumberFormat="1" applyFont="1" applyFill="1" applyAlignment="1">
      <alignment horizontal="right"/>
    </xf>
    <xf numFmtId="0" fontId="5" fillId="0" borderId="0" xfId="0" applyFont="1"/>
    <xf numFmtId="9" fontId="0" fillId="0" borderId="0" xfId="0" applyNumberFormat="1"/>
    <xf numFmtId="165" fontId="0" fillId="0" borderId="0" xfId="4" applyNumberFormat="1" applyFont="1"/>
    <xf numFmtId="165" fontId="2" fillId="3" borderId="0" xfId="4" applyNumberFormat="1" applyFont="1" applyFill="1"/>
    <xf numFmtId="14" fontId="0" fillId="0" borderId="0" xfId="0" applyNumberFormat="1"/>
    <xf numFmtId="14" fontId="2" fillId="3" borderId="0" xfId="0" applyNumberFormat="1" applyFont="1" applyFill="1"/>
    <xf numFmtId="0" fontId="6" fillId="0" borderId="0" xfId="0" applyFont="1"/>
    <xf numFmtId="164" fontId="0" fillId="0" borderId="0" xfId="1" applyNumberFormat="1" applyFont="1" applyAlignment="1">
      <alignment horizontal="center"/>
    </xf>
  </cellXfs>
  <cellStyles count="5">
    <cellStyle name="Comma" xfId="1" builtinId="3"/>
    <cellStyle name="Currency" xfId="4" builtinId="4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ulius Lai" id="{5EB3D1BE-3282-4287-8C62-368E3D0D682A}" userId="S::jlai@kcsymphony.org::37464538-f398-48ad-b81f-5627dc2f20d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14" dT="2025-10-24T18:48:38.02" personId="{5EB3D1BE-3282-4287-8C62-368E3D0D682A}" id="{703FF0F6-3CEE-47F1-A262-C1C5C669BFE5}">
    <text>Adjusted #: 476 is 24-25 Avg, 365 is 25-26 avg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../../../:x:/g/personal/jlai_kcsymphony_org/Edv70RlEKI9Plq5m20gMGp0BGygxYbEBZfx2vW7uxE_8tg?e=oz2pVB" TargetMode="Externa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625D7-3D14-4E3A-968C-8768148F7711}">
  <dimension ref="A1:T93"/>
  <sheetViews>
    <sheetView tabSelected="1" topLeftCell="A36" workbookViewId="0">
      <selection activeCell="E53" sqref="E53"/>
    </sheetView>
  </sheetViews>
  <sheetFormatPr defaultRowHeight="14.45"/>
  <cols>
    <col min="1" max="1" width="24.85546875" bestFit="1" customWidth="1"/>
    <col min="2" max="2" width="22.42578125" customWidth="1"/>
    <col min="3" max="3" width="23.7109375" customWidth="1"/>
    <col min="4" max="4" width="11.140625" style="15" customWidth="1"/>
    <col min="5" max="14" width="9.140625" style="2"/>
    <col min="15" max="15" width="9.140625" style="4"/>
    <col min="16" max="16" width="8.85546875" style="4" customWidth="1"/>
    <col min="17" max="17" width="9.140625" style="2"/>
    <col min="18" max="18" width="9.5703125" bestFit="1" customWidth="1"/>
    <col min="20" max="20" width="8.85546875" style="13"/>
  </cols>
  <sheetData>
    <row r="1" spans="1:20">
      <c r="A1" s="1" t="s">
        <v>0</v>
      </c>
    </row>
    <row r="2" spans="1:20">
      <c r="A2" t="s">
        <v>1</v>
      </c>
    </row>
    <row r="3" spans="1:20">
      <c r="A3" t="s">
        <v>2</v>
      </c>
    </row>
    <row r="4" spans="1:20">
      <c r="A4" t="s">
        <v>3</v>
      </c>
    </row>
    <row r="5" spans="1:20">
      <c r="A5" t="s">
        <v>4</v>
      </c>
      <c r="G5" s="7" t="s">
        <v>5</v>
      </c>
    </row>
    <row r="6" spans="1:20">
      <c r="A6" t="s">
        <v>6</v>
      </c>
    </row>
    <row r="7" spans="1:20">
      <c r="A7" t="s">
        <v>7</v>
      </c>
    </row>
    <row r="8" spans="1:20">
      <c r="A8" t="s">
        <v>8</v>
      </c>
    </row>
    <row r="9" spans="1:20">
      <c r="A9" t="s">
        <v>9</v>
      </c>
    </row>
    <row r="11" spans="1:20">
      <c r="E11" s="18" t="s">
        <v>10</v>
      </c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6"/>
    </row>
    <row r="12" spans="1:20">
      <c r="A12" s="8" t="s">
        <v>11</v>
      </c>
      <c r="B12" s="8" t="s">
        <v>12</v>
      </c>
      <c r="C12" s="8" t="s">
        <v>13</v>
      </c>
      <c r="D12" s="16" t="s">
        <v>14</v>
      </c>
      <c r="E12" s="9">
        <v>10</v>
      </c>
      <c r="F12" s="9">
        <v>9</v>
      </c>
      <c r="G12" s="9">
        <v>8</v>
      </c>
      <c r="H12" s="9">
        <v>7</v>
      </c>
      <c r="I12" s="9">
        <v>6</v>
      </c>
      <c r="J12" s="9">
        <v>5</v>
      </c>
      <c r="K12" s="9">
        <v>4</v>
      </c>
      <c r="L12" s="9">
        <v>3</v>
      </c>
      <c r="M12" s="9">
        <v>2</v>
      </c>
      <c r="N12" s="9">
        <v>1</v>
      </c>
      <c r="O12" s="10">
        <v>0</v>
      </c>
      <c r="P12" s="9" t="s">
        <v>15</v>
      </c>
      <c r="Q12" s="9" t="s">
        <v>16</v>
      </c>
      <c r="R12" s="8" t="s">
        <v>17</v>
      </c>
      <c r="S12" s="8" t="s">
        <v>18</v>
      </c>
      <c r="T12" s="14" t="s">
        <v>19</v>
      </c>
    </row>
    <row r="13" spans="1:20">
      <c r="A13" t="s">
        <v>20</v>
      </c>
      <c r="B13" t="s">
        <v>21</v>
      </c>
      <c r="C13" t="s">
        <v>20</v>
      </c>
      <c r="E13" s="2">
        <v>85</v>
      </c>
      <c r="F13" s="2">
        <v>90</v>
      </c>
      <c r="G13" s="2">
        <v>101</v>
      </c>
      <c r="H13" s="2">
        <v>101</v>
      </c>
      <c r="I13" s="2">
        <v>109</v>
      </c>
      <c r="J13" s="2">
        <v>116</v>
      </c>
      <c r="K13" s="2">
        <v>124</v>
      </c>
      <c r="L13" s="2">
        <v>146</v>
      </c>
      <c r="M13" s="2">
        <v>165</v>
      </c>
      <c r="N13" s="2">
        <v>206</v>
      </c>
      <c r="O13" s="2">
        <v>266</v>
      </c>
      <c r="P13" s="5">
        <v>375</v>
      </c>
      <c r="Q13" s="2">
        <v>650</v>
      </c>
      <c r="R13">
        <v>1601</v>
      </c>
      <c r="S13" s="3">
        <f>SUM(P13:Q13)/R13</f>
        <v>0.64022485946283569</v>
      </c>
      <c r="T13" s="13">
        <v>62</v>
      </c>
    </row>
    <row r="14" spans="1:20">
      <c r="A14" t="s">
        <v>20</v>
      </c>
      <c r="B14" t="s">
        <v>22</v>
      </c>
      <c r="C14" t="s">
        <v>20</v>
      </c>
      <c r="E14" s="2">
        <v>47</v>
      </c>
      <c r="F14" s="2">
        <v>50</v>
      </c>
      <c r="G14" s="2">
        <v>62</v>
      </c>
      <c r="H14" s="2">
        <v>67</v>
      </c>
      <c r="I14" s="2">
        <v>74</v>
      </c>
      <c r="J14" s="2">
        <v>79</v>
      </c>
      <c r="K14" s="2">
        <v>87</v>
      </c>
      <c r="L14" s="2">
        <v>98</v>
      </c>
      <c r="M14" s="2">
        <v>129</v>
      </c>
      <c r="N14" s="2">
        <v>169</v>
      </c>
      <c r="O14" s="5">
        <v>216</v>
      </c>
      <c r="P14" s="5">
        <v>308</v>
      </c>
      <c r="Q14" s="2">
        <v>426</v>
      </c>
      <c r="R14">
        <v>1607</v>
      </c>
      <c r="S14" s="3">
        <f>SUM(P14:Q14)/R14</f>
        <v>0.45675171126322339</v>
      </c>
      <c r="T14" s="13">
        <v>52</v>
      </c>
    </row>
    <row r="15" spans="1:20">
      <c r="O15" s="5"/>
      <c r="P15" s="5"/>
      <c r="S15" s="3"/>
    </row>
    <row r="16" spans="1:20">
      <c r="A16" t="s">
        <v>23</v>
      </c>
      <c r="B16" t="s">
        <v>24</v>
      </c>
      <c r="C16" t="s">
        <v>22</v>
      </c>
    </row>
    <row r="17" spans="1:20">
      <c r="A17" t="s">
        <v>25</v>
      </c>
      <c r="B17" t="s">
        <v>26</v>
      </c>
      <c r="C17" t="s">
        <v>27</v>
      </c>
      <c r="E17" s="2">
        <v>102</v>
      </c>
      <c r="F17" s="2">
        <v>112.33333333333333</v>
      </c>
      <c r="G17" s="2">
        <v>122</v>
      </c>
      <c r="H17" s="2">
        <v>125</v>
      </c>
      <c r="I17" s="2">
        <v>134.33333333333334</v>
      </c>
      <c r="J17" s="2">
        <v>142.33333333333334</v>
      </c>
      <c r="K17" s="2">
        <v>153.66666666666666</v>
      </c>
      <c r="L17" s="2">
        <v>180</v>
      </c>
      <c r="M17" s="2">
        <v>204.66666666666666</v>
      </c>
      <c r="N17" s="2">
        <v>252.66666666666666</v>
      </c>
      <c r="O17" s="4">
        <v>326</v>
      </c>
      <c r="P17" s="4">
        <v>460.33333333333331</v>
      </c>
      <c r="Q17" s="2">
        <v>712</v>
      </c>
      <c r="R17" s="2">
        <v>1607</v>
      </c>
      <c r="S17" s="3">
        <f>SUM(P17:Q17)/R17</f>
        <v>0.7295166977805434</v>
      </c>
    </row>
    <row r="18" spans="1:20">
      <c r="A18" t="s">
        <v>28</v>
      </c>
      <c r="B18" t="s">
        <v>29</v>
      </c>
      <c r="C18" t="s">
        <v>27</v>
      </c>
      <c r="E18" s="2">
        <v>102</v>
      </c>
      <c r="F18" s="2">
        <v>112.33333333333333</v>
      </c>
      <c r="G18" s="2">
        <v>122</v>
      </c>
      <c r="H18" s="2">
        <v>125</v>
      </c>
      <c r="I18" s="2">
        <v>134.33333333333334</v>
      </c>
      <c r="J18" s="2">
        <v>142.33333333333334</v>
      </c>
      <c r="K18" s="2">
        <v>153.66666666666666</v>
      </c>
      <c r="L18" s="2">
        <v>180</v>
      </c>
      <c r="M18" s="2">
        <v>204.66666666666666</v>
      </c>
      <c r="N18" s="2">
        <v>252.66666666666666</v>
      </c>
      <c r="O18" s="4">
        <v>326</v>
      </c>
      <c r="P18" s="4">
        <v>460.33333333333331</v>
      </c>
      <c r="Q18" s="2">
        <v>712</v>
      </c>
      <c r="R18" s="2">
        <v>1607</v>
      </c>
      <c r="S18" s="3">
        <f>SUM(P18:Q18)/R18</f>
        <v>0.7295166977805434</v>
      </c>
    </row>
    <row r="19" spans="1:20">
      <c r="R19" s="2"/>
      <c r="S19" s="3"/>
    </row>
    <row r="20" spans="1:20">
      <c r="A20" t="s">
        <v>30</v>
      </c>
      <c r="B20" t="s">
        <v>31</v>
      </c>
      <c r="C20" t="s">
        <v>22</v>
      </c>
      <c r="R20" s="2"/>
      <c r="S20" s="3"/>
    </row>
    <row r="21" spans="1:20">
      <c r="A21" t="s">
        <v>32</v>
      </c>
      <c r="B21" t="s">
        <v>33</v>
      </c>
      <c r="C21" t="s">
        <v>34</v>
      </c>
      <c r="D21" s="15">
        <v>45808</v>
      </c>
      <c r="E21" s="2">
        <v>95</v>
      </c>
      <c r="F21" s="2">
        <v>99</v>
      </c>
      <c r="G21" s="2">
        <v>102</v>
      </c>
      <c r="H21" s="2">
        <v>110</v>
      </c>
      <c r="I21" s="2">
        <v>122.33333333333333</v>
      </c>
      <c r="J21" s="2">
        <v>133</v>
      </c>
      <c r="K21" s="2">
        <v>151.33333333333334</v>
      </c>
      <c r="L21" s="2">
        <v>167.66666666666666</v>
      </c>
      <c r="M21" s="2">
        <v>200.33333333333334</v>
      </c>
      <c r="N21" s="2">
        <v>233.66666666666666</v>
      </c>
      <c r="O21" s="4">
        <v>272</v>
      </c>
      <c r="P21" s="4">
        <v>431</v>
      </c>
      <c r="Q21" s="2">
        <v>634.66666666666663</v>
      </c>
      <c r="R21" s="2">
        <v>1450</v>
      </c>
      <c r="S21" s="3">
        <f>SUM(P21:Q21)/R21</f>
        <v>0.73494252873563204</v>
      </c>
      <c r="T21" s="13">
        <v>55</v>
      </c>
    </row>
    <row r="22" spans="1:20">
      <c r="A22" t="s">
        <v>35</v>
      </c>
      <c r="B22" t="s">
        <v>36</v>
      </c>
      <c r="C22" t="s">
        <v>34</v>
      </c>
      <c r="D22" s="15">
        <v>45809</v>
      </c>
      <c r="E22" s="2">
        <v>95</v>
      </c>
      <c r="F22" s="2">
        <v>99</v>
      </c>
      <c r="G22" s="2">
        <v>102</v>
      </c>
      <c r="H22" s="2">
        <v>110</v>
      </c>
      <c r="I22" s="2">
        <v>122.33333333333333</v>
      </c>
      <c r="J22" s="2">
        <v>133</v>
      </c>
      <c r="K22" s="2">
        <v>151.33333333333334</v>
      </c>
      <c r="L22" s="2">
        <v>167.66666666666666</v>
      </c>
      <c r="M22" s="2">
        <v>200.33333333333334</v>
      </c>
      <c r="N22" s="2">
        <v>233.66666666666666</v>
      </c>
      <c r="O22" s="4">
        <v>272</v>
      </c>
      <c r="P22" s="4">
        <v>431</v>
      </c>
      <c r="Q22" s="2">
        <v>634.66666666666663</v>
      </c>
      <c r="R22" s="2">
        <v>1450</v>
      </c>
      <c r="S22" s="3">
        <f>SUM(P22:Q22)/R22</f>
        <v>0.73494252873563204</v>
      </c>
      <c r="T22" s="13">
        <v>55</v>
      </c>
    </row>
    <row r="23" spans="1:20">
      <c r="R23" s="2"/>
      <c r="S23" s="3"/>
    </row>
    <row r="24" spans="1:20">
      <c r="A24" t="s">
        <v>37</v>
      </c>
      <c r="B24" t="s">
        <v>38</v>
      </c>
      <c r="C24" t="s">
        <v>39</v>
      </c>
      <c r="E24" s="2">
        <v>34</v>
      </c>
      <c r="F24" s="2">
        <v>37.333333333333336</v>
      </c>
      <c r="G24" s="2">
        <v>47.333333333333336</v>
      </c>
      <c r="H24" s="2">
        <v>54.333333333333336</v>
      </c>
      <c r="I24" s="2">
        <v>67.333333333333329</v>
      </c>
      <c r="J24" s="2">
        <v>70.333333333333329</v>
      </c>
      <c r="K24" s="2">
        <v>76.333333333333329</v>
      </c>
      <c r="L24" s="2">
        <v>93</v>
      </c>
      <c r="M24" s="2">
        <v>113</v>
      </c>
      <c r="N24" s="2">
        <v>168</v>
      </c>
      <c r="O24" s="4">
        <v>241</v>
      </c>
      <c r="P24" s="4">
        <v>399.33333333333331</v>
      </c>
      <c r="Q24" s="2">
        <v>617.33333333333337</v>
      </c>
      <c r="R24" s="2">
        <v>1450</v>
      </c>
      <c r="S24" s="3">
        <f>SUM(P24:Q24)/R24</f>
        <v>0.70114942528735635</v>
      </c>
    </row>
    <row r="25" spans="1:20">
      <c r="A25" t="s">
        <v>40</v>
      </c>
      <c r="B25" t="s">
        <v>41</v>
      </c>
      <c r="C25" t="s">
        <v>39</v>
      </c>
      <c r="E25" s="2">
        <v>34</v>
      </c>
      <c r="F25" s="2">
        <v>37.333333333333336</v>
      </c>
      <c r="G25" s="2">
        <v>47.333333333333336</v>
      </c>
      <c r="H25" s="2">
        <v>54.333333333333336</v>
      </c>
      <c r="I25" s="2">
        <v>67.333333333333329</v>
      </c>
      <c r="J25" s="2">
        <v>70.333333333333329</v>
      </c>
      <c r="K25" s="2">
        <v>76.333333333333329</v>
      </c>
      <c r="L25" s="2">
        <v>93</v>
      </c>
      <c r="M25" s="2">
        <v>113</v>
      </c>
      <c r="N25" s="2">
        <v>168</v>
      </c>
      <c r="O25" s="4">
        <v>241</v>
      </c>
      <c r="P25" s="4">
        <v>399.33333333333331</v>
      </c>
      <c r="Q25" s="2">
        <v>617.33333333333337</v>
      </c>
      <c r="R25" s="2">
        <v>1450</v>
      </c>
      <c r="S25" s="3">
        <f>SUM(P25:Q25)/R25</f>
        <v>0.70114942528735635</v>
      </c>
    </row>
    <row r="26" spans="1:20">
      <c r="A26" t="s">
        <v>42</v>
      </c>
      <c r="B26" t="s">
        <v>43</v>
      </c>
      <c r="C26" t="s">
        <v>39</v>
      </c>
      <c r="E26" s="2">
        <v>34</v>
      </c>
      <c r="F26" s="2">
        <v>37.333333333333336</v>
      </c>
      <c r="G26" s="2">
        <v>47.333333333333336</v>
      </c>
      <c r="H26" s="2">
        <v>54.333333333333336</v>
      </c>
      <c r="I26" s="2">
        <v>67.333333333333329</v>
      </c>
      <c r="J26" s="2">
        <v>70.333333333333329</v>
      </c>
      <c r="K26" s="2">
        <v>76.333333333333329</v>
      </c>
      <c r="L26" s="2">
        <v>93</v>
      </c>
      <c r="M26" s="2">
        <v>113</v>
      </c>
      <c r="N26" s="2">
        <v>168</v>
      </c>
      <c r="O26" s="4">
        <v>241</v>
      </c>
      <c r="P26" s="4">
        <v>399.33333333333331</v>
      </c>
      <c r="Q26" s="2">
        <v>617.33333333333337</v>
      </c>
      <c r="R26" s="2">
        <v>1450</v>
      </c>
      <c r="S26" s="3">
        <f>SUM(P26:Q26)/R26</f>
        <v>0.70114942528735635</v>
      </c>
    </row>
    <row r="27" spans="1:20">
      <c r="R27" s="2"/>
      <c r="S27" s="3"/>
    </row>
    <row r="28" spans="1:20">
      <c r="A28" t="s">
        <v>44</v>
      </c>
      <c r="B28" t="s">
        <v>45</v>
      </c>
      <c r="C28" t="s">
        <v>22</v>
      </c>
    </row>
    <row r="29" spans="1:20">
      <c r="A29" t="s">
        <v>46</v>
      </c>
      <c r="B29" t="s">
        <v>47</v>
      </c>
      <c r="C29" t="s">
        <v>48</v>
      </c>
      <c r="E29" s="2">
        <v>80</v>
      </c>
      <c r="F29" s="2">
        <v>85.333333333333329</v>
      </c>
      <c r="G29" s="2">
        <v>89</v>
      </c>
      <c r="H29" s="2">
        <v>92.666666666666671</v>
      </c>
      <c r="I29" s="2">
        <v>100.33333333333333</v>
      </c>
      <c r="J29" s="2">
        <v>114.33333333333333</v>
      </c>
      <c r="K29" s="2">
        <v>129.66666666666666</v>
      </c>
      <c r="L29" s="2">
        <v>147</v>
      </c>
      <c r="M29" s="2">
        <v>175.33333333333334</v>
      </c>
      <c r="N29" s="2">
        <v>196.33333333333334</v>
      </c>
      <c r="O29" s="4">
        <v>266.33333333333331</v>
      </c>
      <c r="P29" s="4">
        <v>419</v>
      </c>
      <c r="Q29" s="2">
        <v>772.33333333333337</v>
      </c>
      <c r="R29" s="2">
        <v>1607</v>
      </c>
      <c r="S29" s="3">
        <f>SUM(P29:Q29)/R29</f>
        <v>0.74133997096038173</v>
      </c>
    </row>
    <row r="30" spans="1:20">
      <c r="A30" t="s">
        <v>49</v>
      </c>
      <c r="B30" t="s">
        <v>50</v>
      </c>
      <c r="C30" t="s">
        <v>48</v>
      </c>
      <c r="E30" s="2">
        <v>80</v>
      </c>
      <c r="F30" s="2">
        <v>85.333333333333329</v>
      </c>
      <c r="G30" s="2">
        <v>89</v>
      </c>
      <c r="H30" s="2">
        <v>92.666666666666671</v>
      </c>
      <c r="I30" s="2">
        <v>100.33333333333333</v>
      </c>
      <c r="J30" s="2">
        <v>114.33333333333333</v>
      </c>
      <c r="K30" s="2">
        <v>129.66666666666666</v>
      </c>
      <c r="L30" s="2">
        <v>147</v>
      </c>
      <c r="M30" s="2">
        <v>175.33333333333334</v>
      </c>
      <c r="N30" s="2">
        <v>196.33333333333334</v>
      </c>
      <c r="O30" s="4">
        <v>266.33333333333331</v>
      </c>
      <c r="P30" s="4">
        <v>419</v>
      </c>
      <c r="Q30" s="2">
        <v>772.33333333333337</v>
      </c>
      <c r="R30" s="2">
        <v>1607</v>
      </c>
      <c r="S30" s="3">
        <f>SUM(P30:Q30)/R30</f>
        <v>0.74133997096038173</v>
      </c>
    </row>
    <row r="31" spans="1:20">
      <c r="R31" s="2"/>
      <c r="S31" s="3"/>
    </row>
    <row r="32" spans="1:20" ht="15.6">
      <c r="A32" t="s">
        <v>51</v>
      </c>
      <c r="B32" t="s">
        <v>52</v>
      </c>
      <c r="C32" t="s">
        <v>53</v>
      </c>
      <c r="D32" s="15">
        <v>45681</v>
      </c>
      <c r="E32" s="11"/>
      <c r="F32" s="11">
        <v>53</v>
      </c>
      <c r="G32" s="11">
        <v>65</v>
      </c>
      <c r="H32" s="11">
        <v>77</v>
      </c>
      <c r="I32" s="11">
        <v>90</v>
      </c>
      <c r="J32" s="11">
        <v>99</v>
      </c>
      <c r="K32" s="11">
        <v>121</v>
      </c>
      <c r="L32" s="11">
        <v>138</v>
      </c>
      <c r="M32" s="11">
        <v>154</v>
      </c>
      <c r="N32" s="11">
        <v>169</v>
      </c>
      <c r="O32" s="11">
        <v>210</v>
      </c>
      <c r="P32" s="4">
        <v>317</v>
      </c>
      <c r="Q32" s="2">
        <v>473</v>
      </c>
      <c r="R32" s="2">
        <v>1607</v>
      </c>
      <c r="S32" s="3">
        <f>SUM(P32:Q32)/R32</f>
        <v>0.49159925326695708</v>
      </c>
      <c r="T32" s="13">
        <v>52</v>
      </c>
    </row>
    <row r="33" spans="1:20" ht="15.6">
      <c r="A33" t="s">
        <v>54</v>
      </c>
      <c r="B33" t="s">
        <v>55</v>
      </c>
      <c r="C33" t="s">
        <v>56</v>
      </c>
      <c r="D33" s="15">
        <v>45682</v>
      </c>
      <c r="E33" s="11"/>
      <c r="F33" s="11">
        <v>64</v>
      </c>
      <c r="G33" s="11">
        <v>75</v>
      </c>
      <c r="H33" s="11">
        <v>85</v>
      </c>
      <c r="I33" s="11">
        <v>94</v>
      </c>
      <c r="J33" s="11">
        <v>111</v>
      </c>
      <c r="K33" s="11">
        <v>133</v>
      </c>
      <c r="L33" s="11">
        <v>150</v>
      </c>
      <c r="M33" s="11">
        <v>139</v>
      </c>
      <c r="N33" s="11">
        <v>187</v>
      </c>
      <c r="O33" s="11">
        <v>220</v>
      </c>
      <c r="P33" s="4">
        <v>375</v>
      </c>
      <c r="Q33" s="2">
        <v>646</v>
      </c>
      <c r="R33" s="2">
        <v>1607</v>
      </c>
      <c r="S33" s="3">
        <f>SUM(P33:Q33)/R33</f>
        <v>0.63534536403235842</v>
      </c>
      <c r="T33" s="13">
        <v>52</v>
      </c>
    </row>
    <row r="34" spans="1:20" ht="15.6">
      <c r="A34" t="s">
        <v>57</v>
      </c>
      <c r="B34" t="s">
        <v>58</v>
      </c>
      <c r="C34" t="s">
        <v>56</v>
      </c>
      <c r="D34" s="15">
        <v>45683</v>
      </c>
      <c r="E34" s="11"/>
      <c r="F34" s="11">
        <v>59</v>
      </c>
      <c r="G34" s="11">
        <v>72</v>
      </c>
      <c r="H34" s="11">
        <v>75</v>
      </c>
      <c r="I34" s="11">
        <v>85</v>
      </c>
      <c r="J34" s="11">
        <v>98</v>
      </c>
      <c r="K34" s="11">
        <v>111</v>
      </c>
      <c r="L34" s="11">
        <v>126</v>
      </c>
      <c r="M34" s="11">
        <v>136</v>
      </c>
      <c r="N34" s="11">
        <v>162</v>
      </c>
      <c r="O34" s="11">
        <v>196</v>
      </c>
      <c r="P34" s="4">
        <v>284</v>
      </c>
      <c r="Q34" s="2">
        <v>600</v>
      </c>
      <c r="R34" s="2">
        <v>1607</v>
      </c>
      <c r="S34" s="3">
        <f>SUM(P34:Q34)/R34</f>
        <v>0.55009334163036716</v>
      </c>
      <c r="T34" s="13">
        <v>52</v>
      </c>
    </row>
    <row r="35" spans="1:20">
      <c r="R35" s="2"/>
      <c r="S35" s="3"/>
    </row>
    <row r="36" spans="1:20" ht="15.6">
      <c r="A36" t="s">
        <v>59</v>
      </c>
      <c r="B36" t="s">
        <v>60</v>
      </c>
      <c r="C36" t="s">
        <v>61</v>
      </c>
      <c r="D36" s="15">
        <v>45695</v>
      </c>
      <c r="F36" s="11">
        <v>27</v>
      </c>
      <c r="G36" s="11">
        <v>30</v>
      </c>
      <c r="H36" s="11">
        <v>52</v>
      </c>
      <c r="I36" s="11">
        <v>52</v>
      </c>
      <c r="J36" s="11">
        <v>62</v>
      </c>
      <c r="K36" s="11">
        <v>68</v>
      </c>
      <c r="L36" s="11">
        <v>70</v>
      </c>
      <c r="M36" s="11">
        <v>91</v>
      </c>
      <c r="N36" s="11">
        <v>99</v>
      </c>
      <c r="O36" s="11">
        <v>121</v>
      </c>
      <c r="P36" s="11">
        <v>186</v>
      </c>
      <c r="Q36" s="11">
        <v>585</v>
      </c>
      <c r="R36" s="2">
        <v>1607</v>
      </c>
      <c r="S36" s="3">
        <f>SUM(P36:Q36)/R36</f>
        <v>0.47977598008711886</v>
      </c>
      <c r="T36" s="13">
        <v>50</v>
      </c>
    </row>
    <row r="37" spans="1:20" ht="15.6">
      <c r="A37" t="s">
        <v>62</v>
      </c>
      <c r="B37" t="s">
        <v>63</v>
      </c>
      <c r="C37" t="s">
        <v>61</v>
      </c>
      <c r="D37" s="15">
        <v>45696</v>
      </c>
      <c r="F37" s="11">
        <v>49</v>
      </c>
      <c r="G37" s="11">
        <v>60</v>
      </c>
      <c r="H37" s="11">
        <v>66</v>
      </c>
      <c r="I37" s="11">
        <v>83</v>
      </c>
      <c r="J37" s="11">
        <v>90</v>
      </c>
      <c r="K37" s="11">
        <v>103</v>
      </c>
      <c r="L37" s="11">
        <v>111</v>
      </c>
      <c r="M37" s="11">
        <v>123</v>
      </c>
      <c r="N37" s="11">
        <v>148</v>
      </c>
      <c r="O37" s="11">
        <v>186</v>
      </c>
      <c r="P37" s="11">
        <v>316</v>
      </c>
      <c r="Q37" s="11">
        <v>611</v>
      </c>
      <c r="R37" s="2">
        <v>1607</v>
      </c>
      <c r="S37" s="3">
        <f>SUM(P37:Q37)/R37</f>
        <v>0.57685127566894834</v>
      </c>
      <c r="T37" s="13">
        <v>50</v>
      </c>
    </row>
    <row r="38" spans="1:20" ht="15.6">
      <c r="A38" t="s">
        <v>64</v>
      </c>
      <c r="B38" t="s">
        <v>65</v>
      </c>
      <c r="C38" t="s">
        <v>61</v>
      </c>
      <c r="D38" s="15">
        <v>45697</v>
      </c>
      <c r="F38" s="11">
        <v>17</v>
      </c>
      <c r="G38" s="11">
        <v>21</v>
      </c>
      <c r="H38" s="11">
        <v>24</v>
      </c>
      <c r="I38" s="11">
        <v>30</v>
      </c>
      <c r="J38" s="11">
        <v>33</v>
      </c>
      <c r="K38" s="11">
        <v>37</v>
      </c>
      <c r="L38" s="11">
        <v>38</v>
      </c>
      <c r="M38" s="17">
        <v>47</v>
      </c>
      <c r="N38" s="17">
        <v>64</v>
      </c>
      <c r="O38" s="11">
        <v>87</v>
      </c>
      <c r="P38" s="11">
        <v>143</v>
      </c>
      <c r="Q38" s="11">
        <v>560</v>
      </c>
      <c r="R38" s="2">
        <v>1607</v>
      </c>
      <c r="S38" s="3">
        <f>SUM(P38:Q38)/R38</f>
        <v>0.43746110765401369</v>
      </c>
      <c r="T38" s="13">
        <v>50</v>
      </c>
    </row>
    <row r="39" spans="1:20">
      <c r="R39" s="2"/>
      <c r="S39" s="3"/>
    </row>
    <row r="40" spans="1:20" ht="15.6">
      <c r="A40" t="s">
        <v>66</v>
      </c>
      <c r="B40" t="s">
        <v>67</v>
      </c>
      <c r="C40" t="s">
        <v>68</v>
      </c>
      <c r="D40" s="15">
        <v>45548</v>
      </c>
      <c r="F40" s="11">
        <v>50</v>
      </c>
      <c r="G40" s="11">
        <v>59</v>
      </c>
      <c r="H40" s="11">
        <v>76</v>
      </c>
      <c r="I40" s="11">
        <v>88</v>
      </c>
      <c r="J40" s="11">
        <v>100</v>
      </c>
      <c r="K40" s="11">
        <v>121</v>
      </c>
      <c r="L40" s="11">
        <v>141</v>
      </c>
      <c r="M40" s="11">
        <v>175</v>
      </c>
      <c r="N40" s="11">
        <v>195</v>
      </c>
      <c r="O40" s="11">
        <v>252</v>
      </c>
      <c r="P40" s="11">
        <v>372</v>
      </c>
      <c r="Q40" s="11">
        <v>628</v>
      </c>
      <c r="R40" s="2">
        <v>1607</v>
      </c>
      <c r="S40" s="3">
        <f>SUM(P40:Q40)/R40</f>
        <v>0.62227753578095835</v>
      </c>
      <c r="T40" s="13">
        <v>52</v>
      </c>
    </row>
    <row r="41" spans="1:20" ht="15.6">
      <c r="A41" t="s">
        <v>69</v>
      </c>
      <c r="B41" t="s">
        <v>70</v>
      </c>
      <c r="C41" t="s">
        <v>68</v>
      </c>
      <c r="D41" s="15">
        <v>45549</v>
      </c>
      <c r="F41" s="11">
        <v>47</v>
      </c>
      <c r="G41" s="11">
        <v>58</v>
      </c>
      <c r="H41" s="11">
        <v>80</v>
      </c>
      <c r="I41" s="11">
        <v>94</v>
      </c>
      <c r="J41" s="11">
        <v>105</v>
      </c>
      <c r="K41" s="11">
        <v>127</v>
      </c>
      <c r="L41" s="11">
        <v>139</v>
      </c>
      <c r="M41" s="11">
        <v>152</v>
      </c>
      <c r="N41" s="11">
        <v>180</v>
      </c>
      <c r="O41" s="11">
        <v>247</v>
      </c>
      <c r="P41" s="11">
        <v>424</v>
      </c>
      <c r="Q41" s="11">
        <v>610</v>
      </c>
      <c r="R41" s="2">
        <v>1607</v>
      </c>
      <c r="S41" s="3">
        <f>SUM(P41:Q41)/R41</f>
        <v>0.64343497199751087</v>
      </c>
      <c r="T41" s="13">
        <v>52</v>
      </c>
    </row>
    <row r="42" spans="1:20" ht="15.6">
      <c r="A42" t="s">
        <v>71</v>
      </c>
      <c r="B42" t="s">
        <v>72</v>
      </c>
      <c r="C42" t="s">
        <v>68</v>
      </c>
      <c r="D42" s="15">
        <v>45550</v>
      </c>
      <c r="F42" s="11">
        <v>89</v>
      </c>
      <c r="G42" s="11">
        <v>92</v>
      </c>
      <c r="H42" s="11">
        <v>106</v>
      </c>
      <c r="I42" s="11">
        <v>123</v>
      </c>
      <c r="J42" s="11">
        <v>129</v>
      </c>
      <c r="K42" s="11">
        <v>150</v>
      </c>
      <c r="L42" s="11">
        <v>161</v>
      </c>
      <c r="M42" s="11">
        <v>186</v>
      </c>
      <c r="N42" s="11">
        <v>202</v>
      </c>
      <c r="O42" s="11">
        <v>252</v>
      </c>
      <c r="P42" s="11">
        <v>375</v>
      </c>
      <c r="Q42" s="11">
        <v>633</v>
      </c>
      <c r="R42" s="2">
        <v>1607</v>
      </c>
      <c r="S42" s="3">
        <f>SUM(P42:Q42)/R42</f>
        <v>0.62725575606720596</v>
      </c>
      <c r="T42" s="13">
        <v>52</v>
      </c>
    </row>
    <row r="43" spans="1:20">
      <c r="R43" s="2"/>
      <c r="S43" s="3"/>
    </row>
    <row r="44" spans="1:20" ht="15.6">
      <c r="A44" t="s">
        <v>73</v>
      </c>
      <c r="B44" t="s">
        <v>74</v>
      </c>
      <c r="C44" t="s">
        <v>22</v>
      </c>
      <c r="F44" s="11">
        <v>45</v>
      </c>
      <c r="G44" s="11">
        <v>52</v>
      </c>
      <c r="H44" s="11">
        <v>53</v>
      </c>
      <c r="I44" s="11">
        <v>57</v>
      </c>
      <c r="J44" s="11">
        <v>58</v>
      </c>
      <c r="K44" s="11">
        <v>60</v>
      </c>
      <c r="L44" s="11">
        <v>70</v>
      </c>
      <c r="M44" s="11">
        <v>79</v>
      </c>
      <c r="N44" s="11">
        <v>123</v>
      </c>
      <c r="O44" s="11">
        <v>145</v>
      </c>
      <c r="P44" s="4">
        <v>245</v>
      </c>
      <c r="Q44" s="11">
        <v>613</v>
      </c>
      <c r="R44">
        <v>1457</v>
      </c>
      <c r="S44" s="12">
        <f>(P44+Q44)/R44</f>
        <v>0.58888126286890874</v>
      </c>
    </row>
    <row r="45" spans="1:20" ht="15.6">
      <c r="A45" t="s">
        <v>75</v>
      </c>
      <c r="B45" t="s">
        <v>76</v>
      </c>
      <c r="C45" t="s">
        <v>77</v>
      </c>
      <c r="D45" s="15">
        <v>45570</v>
      </c>
      <c r="F45" s="11">
        <v>34</v>
      </c>
      <c r="G45" s="11">
        <v>37</v>
      </c>
      <c r="H45" s="11">
        <v>42</v>
      </c>
      <c r="I45" s="11">
        <v>48</v>
      </c>
      <c r="J45" s="11">
        <v>48</v>
      </c>
      <c r="K45" s="11">
        <v>48</v>
      </c>
      <c r="L45" s="11">
        <v>57</v>
      </c>
      <c r="M45" s="11">
        <v>68</v>
      </c>
      <c r="N45" s="11">
        <v>85</v>
      </c>
      <c r="O45" s="11">
        <v>120</v>
      </c>
      <c r="P45" s="4">
        <v>273</v>
      </c>
      <c r="Q45" s="11">
        <v>546</v>
      </c>
      <c r="R45" s="2">
        <v>1452</v>
      </c>
      <c r="S45" s="3">
        <f>SUM(P45:Q45)/R45</f>
        <v>0.56404958677685946</v>
      </c>
      <c r="T45" s="13">
        <v>49</v>
      </c>
    </row>
    <row r="46" spans="1:20" ht="15.6">
      <c r="A46" t="s">
        <v>78</v>
      </c>
      <c r="B46" t="s">
        <v>79</v>
      </c>
      <c r="C46" t="s">
        <v>77</v>
      </c>
      <c r="D46" s="15">
        <v>45571</v>
      </c>
      <c r="F46" s="11">
        <v>50</v>
      </c>
      <c r="G46" s="11">
        <v>55</v>
      </c>
      <c r="H46" s="11">
        <v>58</v>
      </c>
      <c r="I46" s="11">
        <v>62</v>
      </c>
      <c r="J46" s="11">
        <v>66</v>
      </c>
      <c r="K46" s="11">
        <v>68</v>
      </c>
      <c r="L46" s="11">
        <v>69</v>
      </c>
      <c r="M46" s="11">
        <v>88</v>
      </c>
      <c r="N46" s="11">
        <v>176</v>
      </c>
      <c r="O46" s="11">
        <v>217</v>
      </c>
      <c r="P46" s="4">
        <v>300</v>
      </c>
      <c r="Q46" s="11">
        <v>614</v>
      </c>
      <c r="R46" s="2">
        <v>1450</v>
      </c>
      <c r="S46" s="3">
        <f>SUM(P46:Q46)/R46</f>
        <v>0.63034482758620691</v>
      </c>
      <c r="T46" s="13">
        <v>49</v>
      </c>
    </row>
    <row r="47" spans="1:20">
      <c r="R47" s="2"/>
      <c r="S47" s="3"/>
    </row>
    <row r="48" spans="1:20" ht="15.75">
      <c r="A48" t="s">
        <v>80</v>
      </c>
      <c r="B48" t="s">
        <v>81</v>
      </c>
      <c r="C48" t="s">
        <v>39</v>
      </c>
      <c r="D48" s="15">
        <v>45247</v>
      </c>
      <c r="F48" s="11">
        <v>42</v>
      </c>
      <c r="G48" s="11">
        <v>50</v>
      </c>
      <c r="H48" s="11">
        <v>60</v>
      </c>
      <c r="I48" s="11">
        <v>76</v>
      </c>
      <c r="J48" s="11">
        <v>80</v>
      </c>
      <c r="K48" s="11">
        <v>84</v>
      </c>
      <c r="L48" s="11">
        <v>105</v>
      </c>
      <c r="M48" s="11">
        <v>123</v>
      </c>
      <c r="N48" s="11">
        <v>169</v>
      </c>
      <c r="O48" s="11">
        <v>217</v>
      </c>
      <c r="P48" s="11">
        <v>338</v>
      </c>
      <c r="Q48" s="11">
        <v>546</v>
      </c>
      <c r="R48" s="2">
        <v>1607</v>
      </c>
      <c r="S48" s="3">
        <f>SUM(P48:Q48)/R48</f>
        <v>0.55009334163036716</v>
      </c>
    </row>
    <row r="49" spans="1:20" ht="15.75">
      <c r="A49" t="s">
        <v>82</v>
      </c>
      <c r="B49" t="s">
        <v>81</v>
      </c>
      <c r="C49" t="s">
        <v>39</v>
      </c>
      <c r="D49" s="15">
        <v>45238</v>
      </c>
      <c r="F49" s="11">
        <v>31</v>
      </c>
      <c r="G49" s="11">
        <v>39</v>
      </c>
      <c r="H49" s="11">
        <v>50</v>
      </c>
      <c r="I49" s="11">
        <v>65</v>
      </c>
      <c r="J49" s="11">
        <v>69</v>
      </c>
      <c r="K49" s="11">
        <v>76</v>
      </c>
      <c r="L49" s="11">
        <v>92</v>
      </c>
      <c r="M49" s="11">
        <v>114</v>
      </c>
      <c r="N49" s="11">
        <v>172</v>
      </c>
      <c r="O49" s="11">
        <v>259</v>
      </c>
      <c r="P49" s="11">
        <v>437</v>
      </c>
      <c r="Q49" s="11">
        <v>626</v>
      </c>
      <c r="R49" s="2">
        <v>1607</v>
      </c>
      <c r="S49" s="3">
        <f>SUM(P49:Q49)/R49</f>
        <v>0.66148102053515867</v>
      </c>
    </row>
    <row r="50" spans="1:20" ht="15.75">
      <c r="A50" t="s">
        <v>83</v>
      </c>
      <c r="B50" t="s">
        <v>81</v>
      </c>
      <c r="C50" t="s">
        <v>39</v>
      </c>
      <c r="D50" s="15">
        <v>45249</v>
      </c>
      <c r="F50" s="11">
        <v>39</v>
      </c>
      <c r="G50" s="11">
        <v>53</v>
      </c>
      <c r="H50" s="11">
        <v>53</v>
      </c>
      <c r="I50" s="11">
        <v>61</v>
      </c>
      <c r="J50" s="11">
        <v>62</v>
      </c>
      <c r="K50" s="11">
        <v>69</v>
      </c>
      <c r="L50" s="11">
        <v>82</v>
      </c>
      <c r="M50" s="11">
        <v>102</v>
      </c>
      <c r="N50" s="11">
        <v>163</v>
      </c>
      <c r="O50" s="11">
        <v>247</v>
      </c>
      <c r="P50" s="11">
        <v>423</v>
      </c>
      <c r="Q50" s="11">
        <v>680</v>
      </c>
      <c r="R50" s="2">
        <v>1607</v>
      </c>
      <c r="S50" s="3">
        <f>SUM(P50:Q50)/R50</f>
        <v>0.68637212196639696</v>
      </c>
    </row>
    <row r="51" spans="1:20">
      <c r="R51" s="2"/>
      <c r="S51" s="3"/>
    </row>
    <row r="52" spans="1:20">
      <c r="A52" t="s">
        <v>84</v>
      </c>
      <c r="B52" t="s">
        <v>85</v>
      </c>
    </row>
    <row r="53" spans="1:20">
      <c r="A53" t="s">
        <v>86</v>
      </c>
      <c r="B53" t="s">
        <v>85</v>
      </c>
    </row>
    <row r="54" spans="1:20">
      <c r="A54" t="s">
        <v>87</v>
      </c>
      <c r="B54" t="s">
        <v>85</v>
      </c>
    </row>
    <row r="56" spans="1:20">
      <c r="A56" t="s">
        <v>88</v>
      </c>
      <c r="B56" t="s">
        <v>89</v>
      </c>
      <c r="C56" t="s">
        <v>90</v>
      </c>
      <c r="D56" s="15">
        <v>45702</v>
      </c>
      <c r="P56" s="4">
        <v>671</v>
      </c>
      <c r="Q56" s="2">
        <v>588</v>
      </c>
      <c r="R56">
        <v>1601</v>
      </c>
      <c r="S56" s="3">
        <f>SUM(P56:Q56)/R56</f>
        <v>0.78638351030605869</v>
      </c>
      <c r="T56" s="13">
        <v>67</v>
      </c>
    </row>
    <row r="57" spans="1:20">
      <c r="A57" t="s">
        <v>91</v>
      </c>
      <c r="B57" t="s">
        <v>89</v>
      </c>
      <c r="C57" t="s">
        <v>90</v>
      </c>
      <c r="D57" s="15">
        <v>45703</v>
      </c>
      <c r="P57" s="4">
        <v>671</v>
      </c>
      <c r="Q57" s="2">
        <v>588</v>
      </c>
      <c r="R57">
        <v>1601</v>
      </c>
      <c r="S57" s="3">
        <f>SUM(P57:Q57)/R57</f>
        <v>0.78638351030605869</v>
      </c>
      <c r="T57" s="13">
        <v>67</v>
      </c>
    </row>
    <row r="58" spans="1:20">
      <c r="A58" t="s">
        <v>92</v>
      </c>
      <c r="B58" t="s">
        <v>89</v>
      </c>
      <c r="C58" t="s">
        <v>93</v>
      </c>
      <c r="D58" s="15">
        <v>45704</v>
      </c>
      <c r="P58" s="4">
        <v>695</v>
      </c>
      <c r="Q58" s="2">
        <v>380</v>
      </c>
      <c r="R58">
        <v>1601</v>
      </c>
      <c r="S58" s="3">
        <f>SUM(P58:Q58)/R58</f>
        <v>0.67145534041224231</v>
      </c>
      <c r="T58" s="13">
        <v>67</v>
      </c>
    </row>
    <row r="59" spans="1:20">
      <c r="S59" s="3"/>
    </row>
    <row r="60" spans="1:20">
      <c r="A60" t="s">
        <v>94</v>
      </c>
      <c r="B60" t="s">
        <v>95</v>
      </c>
      <c r="C60" t="s">
        <v>96</v>
      </c>
      <c r="P60" s="4">
        <v>772</v>
      </c>
      <c r="Q60" s="2">
        <v>667</v>
      </c>
      <c r="R60">
        <v>1601</v>
      </c>
      <c r="S60" s="3">
        <f>SUM(P60:Q60)/R60</f>
        <v>0.89881324172392252</v>
      </c>
    </row>
    <row r="61" spans="1:20">
      <c r="A61" t="s">
        <v>97</v>
      </c>
      <c r="B61" t="s">
        <v>95</v>
      </c>
      <c r="C61" t="s">
        <v>96</v>
      </c>
      <c r="P61" s="4">
        <v>772</v>
      </c>
      <c r="Q61" s="2">
        <v>667</v>
      </c>
      <c r="R61">
        <v>1601</v>
      </c>
      <c r="S61" s="3">
        <f>SUM(P61:Q61)/R61</f>
        <v>0.89881324172392252</v>
      </c>
    </row>
    <row r="62" spans="1:20">
      <c r="A62" t="s">
        <v>98</v>
      </c>
      <c r="B62" t="s">
        <v>99</v>
      </c>
      <c r="C62" t="s">
        <v>100</v>
      </c>
      <c r="P62" s="4">
        <v>955</v>
      </c>
      <c r="Q62" s="2">
        <v>366</v>
      </c>
      <c r="R62">
        <v>1601</v>
      </c>
      <c r="S62" s="3">
        <f>SUM(P62:Q62)/R62</f>
        <v>0.82510930668332294</v>
      </c>
    </row>
    <row r="63" spans="1:20">
      <c r="S63" s="3"/>
    </row>
    <row r="64" spans="1:20">
      <c r="A64" t="s">
        <v>101</v>
      </c>
      <c r="B64" t="s">
        <v>102</v>
      </c>
    </row>
    <row r="65" spans="1:20">
      <c r="A65" t="s">
        <v>103</v>
      </c>
      <c r="B65" t="s">
        <v>102</v>
      </c>
    </row>
    <row r="66" spans="1:20">
      <c r="A66" t="s">
        <v>104</v>
      </c>
      <c r="B66" t="s">
        <v>102</v>
      </c>
    </row>
    <row r="68" spans="1:20">
      <c r="A68" t="s">
        <v>105</v>
      </c>
      <c r="B68" t="s">
        <v>106</v>
      </c>
      <c r="C68" t="s">
        <v>107</v>
      </c>
      <c r="D68" s="15">
        <v>45645</v>
      </c>
      <c r="E68" s="2">
        <v>261</v>
      </c>
      <c r="F68" s="2">
        <v>283</v>
      </c>
      <c r="G68" s="2">
        <v>316</v>
      </c>
      <c r="H68" s="2">
        <v>360</v>
      </c>
      <c r="I68" s="2">
        <v>412</v>
      </c>
      <c r="J68" s="2">
        <v>494</v>
      </c>
      <c r="K68" s="2">
        <v>598</v>
      </c>
      <c r="L68" s="2">
        <v>700</v>
      </c>
      <c r="M68" s="2">
        <v>806</v>
      </c>
      <c r="N68" s="2">
        <v>955</v>
      </c>
      <c r="O68" s="4">
        <v>1111</v>
      </c>
      <c r="P68" s="4">
        <v>1289</v>
      </c>
      <c r="Q68" s="2">
        <v>0</v>
      </c>
      <c r="R68" s="2">
        <v>1480</v>
      </c>
      <c r="S68" s="3">
        <f>SUM(P68:Q68)/R68</f>
        <v>0.87094594594594599</v>
      </c>
      <c r="T68" s="13">
        <v>55</v>
      </c>
    </row>
    <row r="69" spans="1:20">
      <c r="A69" t="s">
        <v>108</v>
      </c>
      <c r="B69" t="s">
        <v>106</v>
      </c>
      <c r="C69" t="s">
        <v>107</v>
      </c>
      <c r="D69" s="15">
        <v>45646</v>
      </c>
      <c r="E69" s="2">
        <v>261</v>
      </c>
      <c r="F69" s="2">
        <v>283</v>
      </c>
      <c r="G69" s="2">
        <v>316</v>
      </c>
      <c r="H69" s="2">
        <v>360</v>
      </c>
      <c r="I69" s="2">
        <v>412</v>
      </c>
      <c r="J69" s="2">
        <v>494</v>
      </c>
      <c r="K69" s="2">
        <v>598</v>
      </c>
      <c r="L69" s="2">
        <v>700</v>
      </c>
      <c r="M69" s="2">
        <v>806</v>
      </c>
      <c r="N69" s="2">
        <v>955</v>
      </c>
      <c r="O69" s="4">
        <v>1111</v>
      </c>
      <c r="P69" s="4">
        <v>1289</v>
      </c>
      <c r="Q69" s="2">
        <v>0</v>
      </c>
      <c r="R69" s="2">
        <v>1480</v>
      </c>
      <c r="S69" s="3">
        <f t="shared" ref="S69:S75" si="0">SUM(P69:Q69)/R69</f>
        <v>0.87094594594594599</v>
      </c>
      <c r="T69" s="13">
        <v>55</v>
      </c>
    </row>
    <row r="70" spans="1:20">
      <c r="A70" t="s">
        <v>109</v>
      </c>
      <c r="B70" t="s">
        <v>106</v>
      </c>
      <c r="C70" t="s">
        <v>107</v>
      </c>
      <c r="D70" s="15">
        <v>45647</v>
      </c>
      <c r="E70" s="2">
        <v>261</v>
      </c>
      <c r="F70" s="2">
        <v>283</v>
      </c>
      <c r="G70" s="2">
        <v>316</v>
      </c>
      <c r="H70" s="2">
        <v>360</v>
      </c>
      <c r="I70" s="2">
        <v>412</v>
      </c>
      <c r="J70" s="2">
        <v>494</v>
      </c>
      <c r="K70" s="2">
        <v>598</v>
      </c>
      <c r="L70" s="2">
        <v>700</v>
      </c>
      <c r="M70" s="2">
        <v>806</v>
      </c>
      <c r="N70" s="2">
        <v>955</v>
      </c>
      <c r="O70" s="4">
        <v>1111</v>
      </c>
      <c r="P70" s="4">
        <v>1289</v>
      </c>
      <c r="Q70" s="2">
        <v>0</v>
      </c>
      <c r="R70" s="2">
        <v>1480</v>
      </c>
      <c r="S70" s="3">
        <f t="shared" si="0"/>
        <v>0.87094594594594599</v>
      </c>
      <c r="T70" s="13">
        <v>55</v>
      </c>
    </row>
    <row r="71" spans="1:20">
      <c r="A71" t="s">
        <v>110</v>
      </c>
      <c r="B71" t="s">
        <v>106</v>
      </c>
      <c r="C71" t="s">
        <v>107</v>
      </c>
      <c r="D71" s="15">
        <v>45647</v>
      </c>
      <c r="E71" s="2">
        <v>261</v>
      </c>
      <c r="F71" s="2">
        <v>283</v>
      </c>
      <c r="G71" s="2">
        <v>316</v>
      </c>
      <c r="H71" s="2">
        <v>360</v>
      </c>
      <c r="I71" s="2">
        <v>412</v>
      </c>
      <c r="J71" s="2">
        <v>494</v>
      </c>
      <c r="K71" s="2">
        <v>598</v>
      </c>
      <c r="L71" s="2">
        <v>700</v>
      </c>
      <c r="M71" s="2">
        <v>806</v>
      </c>
      <c r="N71" s="2">
        <v>955</v>
      </c>
      <c r="O71" s="4">
        <v>1111</v>
      </c>
      <c r="P71" s="4">
        <v>1289</v>
      </c>
      <c r="Q71" s="2">
        <v>0</v>
      </c>
      <c r="R71" s="2">
        <v>1480</v>
      </c>
      <c r="S71" s="3">
        <f t="shared" si="0"/>
        <v>0.87094594594594599</v>
      </c>
      <c r="T71" s="13">
        <v>55</v>
      </c>
    </row>
    <row r="72" spans="1:20">
      <c r="A72" t="s">
        <v>111</v>
      </c>
      <c r="B72" t="s">
        <v>106</v>
      </c>
      <c r="C72" t="s">
        <v>107</v>
      </c>
      <c r="D72" s="15">
        <v>45648</v>
      </c>
      <c r="P72" s="4">
        <v>1103</v>
      </c>
      <c r="Q72" s="2">
        <v>334</v>
      </c>
      <c r="R72" s="2">
        <v>1480</v>
      </c>
      <c r="S72" s="3">
        <f t="shared" si="0"/>
        <v>0.97094594594594597</v>
      </c>
      <c r="T72" s="13">
        <v>55</v>
      </c>
    </row>
    <row r="73" spans="1:20">
      <c r="A73" t="s">
        <v>112</v>
      </c>
      <c r="B73" t="s">
        <v>106</v>
      </c>
      <c r="C73" t="s">
        <v>107</v>
      </c>
      <c r="D73" s="15">
        <v>45648</v>
      </c>
      <c r="E73" s="2">
        <v>261</v>
      </c>
      <c r="F73" s="2">
        <v>283</v>
      </c>
      <c r="G73" s="2">
        <v>316</v>
      </c>
      <c r="H73" s="2">
        <v>360</v>
      </c>
      <c r="I73" s="2">
        <v>412</v>
      </c>
      <c r="J73" s="2">
        <v>494</v>
      </c>
      <c r="K73" s="2">
        <v>598</v>
      </c>
      <c r="L73" s="2">
        <v>700</v>
      </c>
      <c r="M73" s="2">
        <v>806</v>
      </c>
      <c r="N73" s="2">
        <v>955</v>
      </c>
      <c r="O73" s="4">
        <v>1111</v>
      </c>
      <c r="P73" s="4">
        <v>1289</v>
      </c>
      <c r="Q73" s="2">
        <v>0</v>
      </c>
      <c r="R73" s="2">
        <v>1480</v>
      </c>
      <c r="S73" s="3">
        <f t="shared" si="0"/>
        <v>0.87094594594594599</v>
      </c>
      <c r="T73" s="13">
        <v>55</v>
      </c>
    </row>
    <row r="74" spans="1:20">
      <c r="R74" s="2"/>
      <c r="S74" s="3"/>
    </row>
    <row r="75" spans="1:20">
      <c r="A75" t="s">
        <v>113</v>
      </c>
      <c r="B75" t="s">
        <v>114</v>
      </c>
      <c r="C75" t="s">
        <v>115</v>
      </c>
      <c r="D75" s="15">
        <v>45632</v>
      </c>
      <c r="E75" s="2">
        <v>300</v>
      </c>
      <c r="F75" s="2">
        <v>322</v>
      </c>
      <c r="G75" s="2">
        <v>360</v>
      </c>
      <c r="H75" s="2">
        <v>396</v>
      </c>
      <c r="I75" s="2">
        <v>431</v>
      </c>
      <c r="J75" s="2">
        <v>486</v>
      </c>
      <c r="K75" s="2">
        <v>568</v>
      </c>
      <c r="L75" s="2">
        <v>667</v>
      </c>
      <c r="M75" s="2">
        <v>790</v>
      </c>
      <c r="N75" s="2">
        <v>954</v>
      </c>
      <c r="O75" s="4">
        <v>1146</v>
      </c>
      <c r="P75" s="4">
        <v>1379</v>
      </c>
      <c r="Q75" s="2">
        <v>0</v>
      </c>
      <c r="R75" s="2">
        <v>1480</v>
      </c>
      <c r="S75" s="3">
        <f t="shared" si="0"/>
        <v>0.93175675675675673</v>
      </c>
      <c r="T75" s="13">
        <v>52</v>
      </c>
    </row>
    <row r="76" spans="1:20">
      <c r="A76" t="s">
        <v>116</v>
      </c>
      <c r="B76" t="s">
        <v>114</v>
      </c>
      <c r="C76" t="s">
        <v>115</v>
      </c>
      <c r="D76" s="15">
        <v>45633</v>
      </c>
      <c r="E76" s="2">
        <v>300</v>
      </c>
      <c r="F76" s="2">
        <v>322</v>
      </c>
      <c r="G76" s="2">
        <v>360</v>
      </c>
      <c r="H76" s="2">
        <v>396</v>
      </c>
      <c r="I76" s="2">
        <v>431</v>
      </c>
      <c r="J76" s="2">
        <v>486</v>
      </c>
      <c r="K76" s="2">
        <v>568</v>
      </c>
      <c r="L76" s="2">
        <v>667</v>
      </c>
      <c r="M76" s="2">
        <v>790</v>
      </c>
      <c r="N76" s="2">
        <v>954</v>
      </c>
      <c r="O76" s="4">
        <v>1146</v>
      </c>
      <c r="P76" s="4">
        <v>1379</v>
      </c>
      <c r="Q76" s="2">
        <v>0</v>
      </c>
      <c r="R76" s="2">
        <v>1480</v>
      </c>
      <c r="S76" s="3">
        <f t="shared" ref="S76:S82" si="1">SUM(P76:Q76)/R76</f>
        <v>0.93175675675675673</v>
      </c>
      <c r="T76" s="13">
        <v>52</v>
      </c>
    </row>
    <row r="77" spans="1:20">
      <c r="A77" t="s">
        <v>117</v>
      </c>
      <c r="B77" t="s">
        <v>114</v>
      </c>
      <c r="C77" t="s">
        <v>115</v>
      </c>
      <c r="D77" s="15">
        <v>45634</v>
      </c>
      <c r="E77" s="2">
        <v>300</v>
      </c>
      <c r="F77" s="2">
        <v>322</v>
      </c>
      <c r="G77" s="2">
        <v>360</v>
      </c>
      <c r="H77" s="2">
        <v>396</v>
      </c>
      <c r="I77" s="2">
        <v>431</v>
      </c>
      <c r="J77" s="2">
        <v>486</v>
      </c>
      <c r="K77" s="2">
        <v>568</v>
      </c>
      <c r="L77" s="2">
        <v>667</v>
      </c>
      <c r="M77" s="2">
        <v>790</v>
      </c>
      <c r="N77" s="2">
        <v>954</v>
      </c>
      <c r="O77" s="4">
        <v>1146</v>
      </c>
      <c r="P77" s="4">
        <v>1379</v>
      </c>
      <c r="Q77" s="2">
        <v>0</v>
      </c>
      <c r="R77" s="2">
        <v>1480</v>
      </c>
      <c r="S77" s="3">
        <f t="shared" si="1"/>
        <v>0.93175675675675673</v>
      </c>
      <c r="T77" s="13">
        <v>52</v>
      </c>
    </row>
    <row r="78" spans="1:20">
      <c r="R78" s="2"/>
      <c r="S78" s="3"/>
    </row>
    <row r="79" spans="1:20">
      <c r="A79" t="s">
        <v>118</v>
      </c>
      <c r="B79" t="s">
        <v>119</v>
      </c>
      <c r="C79" t="s">
        <v>120</v>
      </c>
      <c r="D79" s="15">
        <v>45625</v>
      </c>
      <c r="E79" s="2">
        <v>481</v>
      </c>
      <c r="F79" s="2">
        <v>533</v>
      </c>
      <c r="G79" s="2">
        <v>571</v>
      </c>
      <c r="H79" s="2">
        <v>608</v>
      </c>
      <c r="I79" s="2">
        <v>646</v>
      </c>
      <c r="J79" s="2">
        <v>720</v>
      </c>
      <c r="K79" s="2">
        <v>837</v>
      </c>
      <c r="L79" s="2">
        <v>957</v>
      </c>
      <c r="M79" s="2">
        <v>1100</v>
      </c>
      <c r="N79" s="2">
        <v>1227</v>
      </c>
      <c r="O79" s="4">
        <v>1293</v>
      </c>
      <c r="P79" s="4">
        <v>1311</v>
      </c>
      <c r="Q79" s="2">
        <v>0</v>
      </c>
      <c r="R79" s="2">
        <v>1342</v>
      </c>
      <c r="S79" s="3">
        <f t="shared" si="1"/>
        <v>0.97690014903129663</v>
      </c>
      <c r="T79" s="13">
        <v>73</v>
      </c>
    </row>
    <row r="80" spans="1:20">
      <c r="A80" t="s">
        <v>121</v>
      </c>
      <c r="B80" t="s">
        <v>119</v>
      </c>
      <c r="C80" t="s">
        <v>120</v>
      </c>
      <c r="D80" s="15">
        <v>45626</v>
      </c>
      <c r="E80" s="2">
        <v>481</v>
      </c>
      <c r="F80" s="2">
        <v>533</v>
      </c>
      <c r="G80" s="2">
        <v>571</v>
      </c>
      <c r="H80" s="2">
        <v>608</v>
      </c>
      <c r="I80" s="2">
        <v>646</v>
      </c>
      <c r="J80" s="2">
        <v>720</v>
      </c>
      <c r="K80" s="2">
        <v>837</v>
      </c>
      <c r="L80" s="2">
        <v>957</v>
      </c>
      <c r="M80" s="2">
        <v>1100</v>
      </c>
      <c r="N80" s="2">
        <v>1227</v>
      </c>
      <c r="O80" s="4">
        <v>1293</v>
      </c>
      <c r="P80" s="4">
        <v>1311</v>
      </c>
      <c r="Q80" s="2">
        <v>0</v>
      </c>
      <c r="R80" s="2">
        <v>1342</v>
      </c>
      <c r="S80" s="3">
        <f t="shared" si="1"/>
        <v>0.97690014903129663</v>
      </c>
      <c r="T80" s="13">
        <v>73</v>
      </c>
    </row>
    <row r="81" spans="1:20">
      <c r="A81" t="s">
        <v>122</v>
      </c>
      <c r="B81" t="s">
        <v>119</v>
      </c>
      <c r="C81" t="s">
        <v>120</v>
      </c>
      <c r="D81" s="15">
        <v>45626</v>
      </c>
      <c r="E81" s="2">
        <v>481</v>
      </c>
      <c r="F81" s="2">
        <v>533</v>
      </c>
      <c r="G81" s="2">
        <v>571</v>
      </c>
      <c r="H81" s="2">
        <v>608</v>
      </c>
      <c r="I81" s="2">
        <v>646</v>
      </c>
      <c r="J81" s="2">
        <v>720</v>
      </c>
      <c r="K81" s="2">
        <v>837</v>
      </c>
      <c r="L81" s="2">
        <v>957</v>
      </c>
      <c r="M81" s="2">
        <v>1100</v>
      </c>
      <c r="N81" s="2">
        <v>1227</v>
      </c>
      <c r="O81" s="4">
        <v>1293</v>
      </c>
      <c r="P81" s="4">
        <v>1311</v>
      </c>
      <c r="Q81" s="2">
        <v>0</v>
      </c>
      <c r="R81" s="2">
        <v>1342</v>
      </c>
      <c r="S81" s="3">
        <f t="shared" si="1"/>
        <v>0.97690014903129663</v>
      </c>
      <c r="T81" s="13">
        <v>73</v>
      </c>
    </row>
    <row r="82" spans="1:20">
      <c r="A82" t="s">
        <v>123</v>
      </c>
      <c r="B82" t="s">
        <v>119</v>
      </c>
      <c r="C82" t="s">
        <v>120</v>
      </c>
      <c r="D82" s="15">
        <v>45627</v>
      </c>
      <c r="E82" s="2">
        <v>481</v>
      </c>
      <c r="F82" s="2">
        <v>533</v>
      </c>
      <c r="G82" s="2">
        <v>571</v>
      </c>
      <c r="H82" s="2">
        <v>608</v>
      </c>
      <c r="I82" s="2">
        <v>646</v>
      </c>
      <c r="J82" s="2">
        <v>720</v>
      </c>
      <c r="K82" s="2">
        <v>837</v>
      </c>
      <c r="L82" s="2">
        <v>957</v>
      </c>
      <c r="M82" s="2">
        <v>1100</v>
      </c>
      <c r="N82" s="2">
        <v>1227</v>
      </c>
      <c r="O82" s="4">
        <v>1293</v>
      </c>
      <c r="P82" s="4">
        <v>1311</v>
      </c>
      <c r="Q82" s="2">
        <v>0</v>
      </c>
      <c r="R82" s="2">
        <v>1342</v>
      </c>
      <c r="S82" s="3">
        <f t="shared" si="1"/>
        <v>0.97690014903129663</v>
      </c>
      <c r="T82" s="13">
        <v>73</v>
      </c>
    </row>
    <row r="83" spans="1:20">
      <c r="R83" s="2"/>
      <c r="S83" s="3"/>
    </row>
    <row r="84" spans="1:20">
      <c r="A84" t="s">
        <v>124</v>
      </c>
      <c r="B84" t="s">
        <v>125</v>
      </c>
      <c r="C84" t="s">
        <v>126</v>
      </c>
      <c r="D84" s="15">
        <v>45649</v>
      </c>
      <c r="P84" s="4">
        <v>1307</v>
      </c>
      <c r="Q84" s="2">
        <v>0</v>
      </c>
      <c r="R84" s="2">
        <v>1342</v>
      </c>
      <c r="S84" s="3">
        <f t="shared" ref="S84:S85" si="2">SUM(P84:Q84)/R84</f>
        <v>0.97391952309985097</v>
      </c>
      <c r="T84" s="13">
        <v>72</v>
      </c>
    </row>
    <row r="85" spans="1:20">
      <c r="A85" t="s">
        <v>127</v>
      </c>
      <c r="B85" t="s">
        <v>125</v>
      </c>
      <c r="C85" t="s">
        <v>126</v>
      </c>
      <c r="D85" s="15">
        <v>45650</v>
      </c>
      <c r="P85" s="4">
        <v>1307</v>
      </c>
      <c r="Q85" s="2">
        <v>0</v>
      </c>
      <c r="R85" s="2">
        <v>1342</v>
      </c>
      <c r="S85" s="3">
        <f t="shared" si="2"/>
        <v>0.97391952309985097</v>
      </c>
      <c r="T85" s="13">
        <v>72</v>
      </c>
    </row>
    <row r="86" spans="1:20">
      <c r="R86" s="2"/>
      <c r="S86" s="3"/>
    </row>
    <row r="87" spans="1:20">
      <c r="A87" t="s">
        <v>128</v>
      </c>
      <c r="B87" t="s">
        <v>129</v>
      </c>
      <c r="C87" t="s">
        <v>130</v>
      </c>
      <c r="D87" s="15">
        <v>45555</v>
      </c>
      <c r="P87" s="4">
        <v>1155</v>
      </c>
      <c r="Q87" s="2">
        <v>0</v>
      </c>
      <c r="R87" s="2">
        <v>1342</v>
      </c>
      <c r="S87" s="3">
        <f t="shared" ref="S87:S93" si="3">SUM(P87:Q87)/R87</f>
        <v>0.86065573770491799</v>
      </c>
      <c r="T87" s="13">
        <v>69</v>
      </c>
    </row>
    <row r="88" spans="1:20">
      <c r="A88" t="s">
        <v>131</v>
      </c>
      <c r="B88" t="s">
        <v>129</v>
      </c>
      <c r="C88" t="s">
        <v>130</v>
      </c>
      <c r="D88" s="15">
        <v>45556</v>
      </c>
      <c r="P88" s="4">
        <v>1155</v>
      </c>
      <c r="Q88" s="2">
        <v>0</v>
      </c>
      <c r="R88" s="2">
        <v>1342</v>
      </c>
      <c r="S88" s="3">
        <f t="shared" si="3"/>
        <v>0.86065573770491799</v>
      </c>
      <c r="T88" s="13">
        <v>69</v>
      </c>
    </row>
    <row r="89" spans="1:20">
      <c r="A89" t="s">
        <v>132</v>
      </c>
      <c r="B89" t="s">
        <v>129</v>
      </c>
      <c r="C89" t="s">
        <v>130</v>
      </c>
      <c r="D89" s="15">
        <v>45557</v>
      </c>
      <c r="P89" s="4">
        <v>1155</v>
      </c>
      <c r="Q89" s="2">
        <v>0</v>
      </c>
      <c r="R89" s="2">
        <v>1342</v>
      </c>
      <c r="S89" s="3">
        <f t="shared" si="3"/>
        <v>0.86065573770491799</v>
      </c>
      <c r="T89" s="13">
        <v>69</v>
      </c>
    </row>
    <row r="90" spans="1:20">
      <c r="A90" t="s">
        <v>133</v>
      </c>
      <c r="B90" t="s">
        <v>129</v>
      </c>
      <c r="C90" t="s">
        <v>130</v>
      </c>
      <c r="D90" s="15">
        <v>45557</v>
      </c>
      <c r="P90" s="4">
        <v>1155</v>
      </c>
      <c r="Q90" s="2">
        <v>0</v>
      </c>
      <c r="R90" s="2">
        <v>1342</v>
      </c>
      <c r="S90" s="3">
        <f t="shared" si="3"/>
        <v>0.86065573770491799</v>
      </c>
      <c r="T90" s="13">
        <v>69</v>
      </c>
    </row>
    <row r="91" spans="1:20">
      <c r="R91" s="2"/>
      <c r="S91" s="3"/>
    </row>
    <row r="92" spans="1:20">
      <c r="A92" t="s">
        <v>134</v>
      </c>
      <c r="B92" t="s">
        <v>135</v>
      </c>
      <c r="C92" t="s">
        <v>136</v>
      </c>
      <c r="D92" s="15">
        <v>45583</v>
      </c>
      <c r="P92" s="4">
        <v>672</v>
      </c>
      <c r="Q92" s="2">
        <v>632</v>
      </c>
      <c r="R92" s="2">
        <v>1601</v>
      </c>
      <c r="S92" s="3">
        <f t="shared" si="3"/>
        <v>0.81449094316052473</v>
      </c>
      <c r="T92" s="13">
        <v>79</v>
      </c>
    </row>
    <row r="93" spans="1:20">
      <c r="A93" t="s">
        <v>137</v>
      </c>
      <c r="B93" t="s">
        <v>135</v>
      </c>
      <c r="C93" t="s">
        <v>136</v>
      </c>
      <c r="D93" s="15">
        <v>45584</v>
      </c>
      <c r="P93" s="4">
        <v>672</v>
      </c>
      <c r="Q93" s="2">
        <v>632</v>
      </c>
      <c r="R93" s="2">
        <v>1601</v>
      </c>
      <c r="S93" s="3">
        <f t="shared" si="3"/>
        <v>0.81449094316052473</v>
      </c>
      <c r="T93" s="13">
        <v>79</v>
      </c>
    </row>
  </sheetData>
  <mergeCells count="1">
    <mergeCell ref="E11:O11"/>
  </mergeCells>
  <hyperlinks>
    <hyperlink ref="G5" r:id="rId1" xr:uid="{621A782B-42A0-4E02-9C9C-AD4426402018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Julius Lai</dc:creator>
  <cp:keywords/>
  <dc:description/>
  <cp:lastModifiedBy/>
  <cp:revision/>
  <dcterms:created xsi:type="dcterms:W3CDTF">2025-10-24T15:19:00Z</dcterms:created>
  <dcterms:modified xsi:type="dcterms:W3CDTF">2025-11-11T21:31:53Z</dcterms:modified>
  <cp:category/>
  <cp:contentStatus/>
</cp:coreProperties>
</file>